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mo" sheetId="1" state="visible" r:id="rId3"/>
    <sheet name="Premissas" sheetId="2" state="visible" r:id="rId4"/>
    <sheet name="DRE Projetada" sheetId="3" state="visible" r:id="rId5"/>
    <sheet name="Análise Fluxo" sheetId="4" state="visible" r:id="rId6"/>
    <sheet name="Faturamento" sheetId="5" state="visible" r:id="rId7"/>
    <sheet name="Usuários" sheetId="6" state="visible" r:id="rId8"/>
    <sheet name="Cenários" sheetId="7" state="visible" r:id="rId9"/>
    <sheet name="Investimentos" sheetId="8" state="visible" r:id="rId10"/>
    <sheet name="Aportes" sheetId="9" state="visible" r:id="rId11"/>
    <sheet name="Tributos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1" authorId="0">
      <text>
        <r>
          <rPr>
            <sz val="10"/>
            <rFont val="Arial"/>
            <family val="2"/>
          </rPr>
          <t xml:space="preserve">Taxa de desconto. A planilha original usava 16% a.a. Para uma startup pré-receita a faixa usual é 25%–40% a.a. (custo de capital de venture early-stage). 25% a.a. adotado como premissa central — ajustável.</t>
        </r>
      </text>
    </comment>
    <comment ref="B16" authorId="0">
      <text>
        <r>
          <rPr>
            <sz val="10"/>
            <rFont val="Arial"/>
            <family val="2"/>
          </rPr>
          <t xml:space="preserve">ATENÇÃO — Fator R. Licenciamento/cessão de uso de software é Anexo V, migrando para Anexo III somente se o Fator R (folha de salários + pró-labore dos últimos 12 meses ÷ RBT12) for &gt;= 28%. Pagamento a equipe PJ NÃO conta como folha para esse cálculo. Veja a aba Tributos.</t>
        </r>
      </text>
    </comment>
    <comment ref="B17" authorId="0">
      <text>
        <r>
          <rPr>
            <sz val="10"/>
            <rFont val="Arial"/>
            <family val="2"/>
          </rPr>
          <t xml:space="preserve">Serviços: PIS 0,65% + COFINS 3,00% + ISS 5,00% + IRPJ 4,80% (32% de presunção × 15%) + CSLL 2,88% (32% × 9%) = 16,33% sobre a receita bruta. Sem o adicional de IRPJ. ISS varia de 2% a 5% conforme o município.</t>
        </r>
      </text>
    </comment>
    <comment ref="B53" authorId="0">
      <text>
        <r>
          <rPr>
            <sz val="10"/>
            <rFont val="Arial"/>
            <family val="2"/>
          </rPr>
          <t xml:space="preserve">Google Play cobra 15% em TODAS as assinaturas auto-renováveis desde o 1º dia. Apple cobra 30%, reduzidos a 15% no App Store Small Business Program (receita anual &lt; US$ 1 mi) ou a partir do 2º ano de assinatura. Acima de US$ 1 mi/ano a Apple volta a 30% — risco a monitorar a partir de 2028.</t>
        </r>
      </text>
    </comment>
    <comment ref="B80" authorId="0">
      <text>
        <r>
          <rPr>
            <sz val="10"/>
            <rFont val="Arial"/>
            <family val="2"/>
          </rPr>
          <t xml:space="preserve">Acordo NÃO confirmado. Mantido fora do caso-base para que a viabilidade não dependa de receita não contratada. Ligue esta célula (=1) para dimensionar o upside.</t>
        </r>
      </text>
    </comment>
    <comment ref="C26" authorId="0">
      <text>
        <r>
          <rPr>
            <sz val="10"/>
            <rFont val="Arial"/>
            <family val="2"/>
          </rPr>
          <t xml:space="preserve">Em assinatura B2C de ticket baixo a decisão é 'pagar ou não pagar', não 'qual plano' — o degrau de entrada concentra a base. Referências de mercado mostram o plano individual/entrada com 60–75% dos assinantes. O efeito compromisso / center-stage (Simonson &amp; Tversky, 1992) puxa parte da base para o plano do meio ao longo do tempo, à medida que o produto ganha funcionalidades. Por isso o mix migra de 75/20/5 (2026) para 60/28/12 (2030).</t>
        </r>
      </text>
    </comment>
    <comment ref="C36" authorId="0">
      <text>
        <r>
          <rPr>
            <sz val="10"/>
            <rFont val="Arial"/>
            <family val="2"/>
          </rPr>
          <t xml:space="preserve">Calibrado para a meta do brief: ~50.000 usuários na base ao final de 2026. Com lançamento em out/2026 e churn de 8%/mês, 18.100 novos/mês em out+nov+dez resulta em base de ~50.100 em dez/2026.</t>
        </r>
      </text>
    </comment>
    <comment ref="C40" authorId="0">
      <text>
        <r>
          <rPr>
            <sz val="10"/>
            <rFont val="Arial"/>
            <family val="2"/>
          </rPr>
          <t xml:space="preserve">Benchmarks 2025/2026 de apps de assinatura em Saúde &amp; Fitness: churn mensal de 7% a 10% (mediana ~9,2%); os melhores apps ficam abaixo de 5%. Adotado 8% em 2026 caindo a 6% em 2030, assumindo que monitoramento de saúde retém melhor que fitness (necessidade médica, não motivação). Fonte: RevenueCat State of Subscription Apps 2025; Business of Apps Health &amp; Fitness Benchmarks.</t>
        </r>
      </text>
    </comment>
    <comment ref="C44" authorId="0">
      <text>
        <r>
          <rPr>
            <sz val="10"/>
            <rFont val="Arial"/>
            <family val="2"/>
          </rPr>
          <t xml:space="preserve">Premissa do brief: 5% de pagantes. Benchmarks de freemium: mediana 2,2%–2,6%, faixa típica 2%–5%, quartil superior 5%–8%. 5% posiciona a Oppa no quartil superior — defensável para app de saúde com feature paga clara (histórico de dados), mas é premissa agressiva. Fontes: RevenueCat 2025; Userpilot; Geneo Freemium Benchmarks.</t>
        </r>
      </text>
    </comment>
    <comment ref="C48" authorId="0">
      <text>
        <r>
          <rPr>
            <sz val="10"/>
            <rFont val="Arial"/>
            <family val="2"/>
          </rPr>
          <t xml:space="preserve">CPI (custo por instalação) no Brasil em Meta/Google Ads para apps de saúde: R$ 1,50–4,00. Adotado R$ 2,50 em 2026, subindo até R$ 4,50 em 2030 conforme se esgotam as audiências baratas. A agência da Shaiane reduz o custo de produção criativa, não o custo de mídia.</t>
        </r>
      </text>
    </comment>
    <comment ref="C63" authorId="0">
      <text>
        <r>
          <rPr>
            <sz val="10"/>
            <rFont val="Arial"/>
            <family val="2"/>
          </rPr>
          <t xml:space="preserve">Ancorado no gasto real de R$ 532,29 em 04/05/2026 (pré-lançamento). Cresce com ambientes, observabilidade, banco gerenciado e redundância.</t>
        </r>
      </text>
    </comment>
    <comment ref="C64" authorId="0">
      <text>
        <r>
          <rPr>
            <sz val="10"/>
            <rFont val="Arial"/>
            <family val="2"/>
          </rPr>
          <t xml:space="preserve">Usuário pagante tem histórico: série temporal de sinais vitais armazenada e consultável. Custo de banco time-series + storage + processamento. Cai com escala (compressão, tiering de armazenamento, contratos de volume).</t>
        </r>
      </text>
    </comment>
    <comment ref="C65" authorId="0">
      <text>
        <r>
          <rPr>
            <sz val="10"/>
            <rFont val="Arial"/>
            <family val="2"/>
          </rPr>
          <t xml:space="preserve">O brief assume custo ~zero para o usuário gratuito, pois não há histórico. Não é exatamente zero: a ingestão em tempo real e as chamadas de API consomem compute mesmo sem persistência. R$ 0,02/mês (R$ 0,24/ano) é o custo residual dessa pipeline.</t>
        </r>
      </text>
    </comment>
    <comment ref="C69" authorId="0">
      <text>
        <r>
          <rPr>
            <sz val="10"/>
            <rFont val="Arial"/>
            <family val="2"/>
          </rPr>
          <t xml:space="preserve">O orçamento de R$ 21.000 do brief é o custo TOTAL do MVP (ago–out/2026) e está na aba Investimentos. Esta linha é a equipe recorrente pós-lançamento, que o brief não dimensiona. PREMISSA A VALIDAR: uma base de 50 mil usuários exige engenharia contínua.</t>
        </r>
      </text>
    </comment>
    <comment ref="C74" authorId="0">
      <text>
        <r>
          <rPr>
            <sz val="10"/>
            <rFont val="Arial"/>
            <family val="2"/>
          </rPr>
          <t xml:space="preserve">Reduzido pela entrada da Shaiane, sócia com agência de marketing própria, que absorve produção criativa e gestão. Não elimina o custo: ferramentas, mídia de conteúdo, influenciadores e produção seguem sendo desembolso.</t>
        </r>
      </text>
    </comment>
    <comment ref="D26" authorId="0">
      <text>
        <r>
          <rPr>
            <sz val="10"/>
            <rFont val="Arial"/>
            <family val="2"/>
          </rPr>
          <t xml:space="preserve">Em assinatura B2C de ticket baixo a decisão é 'pagar ou não pagar', não 'qual plano' — o degrau de entrada concentra a base. Referências de mercado mostram o plano individual/entrada com 60–75% dos assinantes. O efeito compromisso / center-stage (Simonson &amp; Tversky, 1992) puxa parte da base para o plano do meio ao longo do tempo, à medida que o produto ganha funcionalidades. Por isso o mix migra de 75/20/5 (2026) para 60/28/12 (2030).</t>
        </r>
      </text>
    </comment>
    <comment ref="D36" authorId="0">
      <text>
        <r>
          <rPr>
            <sz val="10"/>
            <rFont val="Arial"/>
            <family val="2"/>
          </rPr>
          <t xml:space="preserve">Calibrado para a meta do brief: ~50.000 usuários na base ao final de 2026. Com lançamento em out/2026 e churn de 8%/mês, 18.100 novos/mês em out+nov+dez resulta em base de ~50.100 em dez/2026.</t>
        </r>
      </text>
    </comment>
    <comment ref="D40" authorId="0">
      <text>
        <r>
          <rPr>
            <sz val="10"/>
            <rFont val="Arial"/>
            <family val="2"/>
          </rPr>
          <t xml:space="preserve">Benchmarks 2025/2026 de apps de assinatura em Saúde &amp; Fitness: churn mensal de 7% a 10% (mediana ~9,2%); os melhores apps ficam abaixo de 5%. Adotado 8% em 2026 caindo a 6% em 2030, assumindo que monitoramento de saúde retém melhor que fitness (necessidade médica, não motivação). Fonte: RevenueCat State of Subscription Apps 2025; Business of Apps Health &amp; Fitness Benchmarks.</t>
        </r>
      </text>
    </comment>
    <comment ref="D44" authorId="0">
      <text>
        <r>
          <rPr>
            <sz val="10"/>
            <rFont val="Arial"/>
            <family val="2"/>
          </rPr>
          <t xml:space="preserve">Premissa do brief: 5% de pagantes. Benchmarks de freemium: mediana 2,2%–2,6%, faixa típica 2%–5%, quartil superior 5%–8%. 5% posiciona a Oppa no quartil superior — defensável para app de saúde com feature paga clara (histórico de dados), mas é premissa agressiva. Fontes: RevenueCat 2025; Userpilot; Geneo Freemium Benchmarks.</t>
        </r>
      </text>
    </comment>
    <comment ref="D48" authorId="0">
      <text>
        <r>
          <rPr>
            <sz val="10"/>
            <rFont val="Arial"/>
            <family val="2"/>
          </rPr>
          <t xml:space="preserve">CPI (custo por instalação) no Brasil em Meta/Google Ads para apps de saúde: R$ 1,50–4,00. Adotado R$ 2,50 em 2026, subindo até R$ 4,50 em 2030 conforme se esgotam as audiências baratas. A agência da Shaiane reduz o custo de produção criativa, não o custo de mídia.</t>
        </r>
      </text>
    </comment>
    <comment ref="D63" authorId="0">
      <text>
        <r>
          <rPr>
            <sz val="10"/>
            <rFont val="Arial"/>
            <family val="2"/>
          </rPr>
          <t xml:space="preserve">Ancorado no gasto real de R$ 532,29 em 04/05/2026 (pré-lançamento). Cresce com ambientes, observabilidade, banco gerenciado e redundância.</t>
        </r>
      </text>
    </comment>
    <comment ref="D64" authorId="0">
      <text>
        <r>
          <rPr>
            <sz val="10"/>
            <rFont val="Arial"/>
            <family val="2"/>
          </rPr>
          <t xml:space="preserve">Usuário pagante tem histórico: série temporal de sinais vitais armazenada e consultável. Custo de banco time-series + storage + processamento. Cai com escala (compressão, tiering de armazenamento, contratos de volume).</t>
        </r>
      </text>
    </comment>
    <comment ref="D65" authorId="0">
      <text>
        <r>
          <rPr>
            <sz val="10"/>
            <rFont val="Arial"/>
            <family val="2"/>
          </rPr>
          <t xml:space="preserve">O brief assume custo ~zero para o usuário gratuito, pois não há histórico. Não é exatamente zero: a ingestão em tempo real e as chamadas de API consomem compute mesmo sem persistência. R$ 0,02/mês (R$ 0,24/ano) é o custo residual dessa pipeline.</t>
        </r>
      </text>
    </comment>
    <comment ref="D69" authorId="0">
      <text>
        <r>
          <rPr>
            <sz val="10"/>
            <rFont val="Arial"/>
            <family val="2"/>
          </rPr>
          <t xml:space="preserve">O orçamento de R$ 21.000 do brief é o custo TOTAL do MVP (ago–out/2026) e está na aba Investimentos. Esta linha é a equipe recorrente pós-lançamento, que o brief não dimensiona. PREMISSA A VALIDAR: uma base de 50 mil usuários exige engenharia contínua.</t>
        </r>
      </text>
    </comment>
    <comment ref="D74" authorId="0">
      <text>
        <r>
          <rPr>
            <sz val="10"/>
            <rFont val="Arial"/>
            <family val="2"/>
          </rPr>
          <t xml:space="preserve">Reduzido pela entrada da Shaiane, sócia com agência de marketing própria, que absorve produção criativa e gestão. Não elimina o custo: ferramentas, mídia de conteúdo, influenciadores e produção seguem sendo desembolso.</t>
        </r>
      </text>
    </comment>
    <comment ref="E26" authorId="0">
      <text>
        <r>
          <rPr>
            <sz val="10"/>
            <rFont val="Arial"/>
            <family val="2"/>
          </rPr>
          <t xml:space="preserve">Em assinatura B2C de ticket baixo a decisão é 'pagar ou não pagar', não 'qual plano' — o degrau de entrada concentra a base. Referências de mercado mostram o plano individual/entrada com 60–75% dos assinantes. O efeito compromisso / center-stage (Simonson &amp; Tversky, 1992) puxa parte da base para o plano do meio ao longo do tempo, à medida que o produto ganha funcionalidades. Por isso o mix migra de 75/20/5 (2026) para 60/28/12 (2030).</t>
        </r>
      </text>
    </comment>
    <comment ref="E36" authorId="0">
      <text>
        <r>
          <rPr>
            <sz val="10"/>
            <rFont val="Arial"/>
            <family val="2"/>
          </rPr>
          <t xml:space="preserve">Calibrado para a meta do brief: ~50.000 usuários na base ao final de 2026. Com lançamento em out/2026 e churn de 8%/mês, 18.100 novos/mês em out+nov+dez resulta em base de ~50.100 em dez/2026.</t>
        </r>
      </text>
    </comment>
    <comment ref="E40" authorId="0">
      <text>
        <r>
          <rPr>
            <sz val="10"/>
            <rFont val="Arial"/>
            <family val="2"/>
          </rPr>
          <t xml:space="preserve">Benchmarks 2025/2026 de apps de assinatura em Saúde &amp; Fitness: churn mensal de 7% a 10% (mediana ~9,2%); os melhores apps ficam abaixo de 5%. Adotado 8% em 2026 caindo a 6% em 2030, assumindo que monitoramento de saúde retém melhor que fitness (necessidade médica, não motivação). Fonte: RevenueCat State of Subscription Apps 2025; Business of Apps Health &amp; Fitness Benchmarks.</t>
        </r>
      </text>
    </comment>
    <comment ref="E44" authorId="0">
      <text>
        <r>
          <rPr>
            <sz val="10"/>
            <rFont val="Arial"/>
            <family val="2"/>
          </rPr>
          <t xml:space="preserve">Premissa do brief: 5% de pagantes. Benchmarks de freemium: mediana 2,2%–2,6%, faixa típica 2%–5%, quartil superior 5%–8%. 5% posiciona a Oppa no quartil superior — defensável para app de saúde com feature paga clara (histórico de dados), mas é premissa agressiva. Fontes: RevenueCat 2025; Userpilot; Geneo Freemium Benchmarks.</t>
        </r>
      </text>
    </comment>
    <comment ref="E48" authorId="0">
      <text>
        <r>
          <rPr>
            <sz val="10"/>
            <rFont val="Arial"/>
            <family val="2"/>
          </rPr>
          <t xml:space="preserve">CPI (custo por instalação) no Brasil em Meta/Google Ads para apps de saúde: R$ 1,50–4,00. Adotado R$ 2,50 em 2026, subindo até R$ 4,50 em 2030 conforme se esgotam as audiências baratas. A agência da Shaiane reduz o custo de produção criativa, não o custo de mídia.</t>
        </r>
      </text>
    </comment>
    <comment ref="E63" authorId="0">
      <text>
        <r>
          <rPr>
            <sz val="10"/>
            <rFont val="Arial"/>
            <family val="2"/>
          </rPr>
          <t xml:space="preserve">Ancorado no gasto real de R$ 532,29 em 04/05/2026 (pré-lançamento). Cresce com ambientes, observabilidade, banco gerenciado e redundância.</t>
        </r>
      </text>
    </comment>
    <comment ref="E64" authorId="0">
      <text>
        <r>
          <rPr>
            <sz val="10"/>
            <rFont val="Arial"/>
            <family val="2"/>
          </rPr>
          <t xml:space="preserve">Usuário pagante tem histórico: série temporal de sinais vitais armazenada e consultável. Custo de banco time-series + storage + processamento. Cai com escala (compressão, tiering de armazenamento, contratos de volume).</t>
        </r>
      </text>
    </comment>
    <comment ref="E65" authorId="0">
      <text>
        <r>
          <rPr>
            <sz val="10"/>
            <rFont val="Arial"/>
            <family val="2"/>
          </rPr>
          <t xml:space="preserve">O brief assume custo ~zero para o usuário gratuito, pois não há histórico. Não é exatamente zero: a ingestão em tempo real e as chamadas de API consomem compute mesmo sem persistência. R$ 0,02/mês (R$ 0,24/ano) é o custo residual dessa pipeline.</t>
        </r>
      </text>
    </comment>
    <comment ref="E69" authorId="0">
      <text>
        <r>
          <rPr>
            <sz val="10"/>
            <rFont val="Arial"/>
            <family val="2"/>
          </rPr>
          <t xml:space="preserve">O orçamento de R$ 21.000 do brief é o custo TOTAL do MVP (ago–out/2026) e está na aba Investimentos. Esta linha é a equipe recorrente pós-lançamento, que o brief não dimensiona. PREMISSA A VALIDAR: uma base de 50 mil usuários exige engenharia contínua.</t>
        </r>
      </text>
    </comment>
    <comment ref="E74" authorId="0">
      <text>
        <r>
          <rPr>
            <sz val="10"/>
            <rFont val="Arial"/>
            <family val="2"/>
          </rPr>
          <t xml:space="preserve">Reduzido pela entrada da Shaiane, sócia com agência de marketing própria, que absorve produção criativa e gestão. Não elimina o custo: ferramentas, mídia de conteúdo, influenciadores e produção seguem sendo desembolso.</t>
        </r>
      </text>
    </comment>
    <comment ref="F26" authorId="0">
      <text>
        <r>
          <rPr>
            <sz val="10"/>
            <rFont val="Arial"/>
            <family val="2"/>
          </rPr>
          <t xml:space="preserve">Em assinatura B2C de ticket baixo a decisão é 'pagar ou não pagar', não 'qual plano' — o degrau de entrada concentra a base. Referências de mercado mostram o plano individual/entrada com 60–75% dos assinantes. O efeito compromisso / center-stage (Simonson &amp; Tversky, 1992) puxa parte da base para o plano do meio ao longo do tempo, à medida que o produto ganha funcionalidades. Por isso o mix migra de 75/20/5 (2026) para 60/28/12 (2030).</t>
        </r>
      </text>
    </comment>
    <comment ref="F36" authorId="0">
      <text>
        <r>
          <rPr>
            <sz val="10"/>
            <rFont val="Arial"/>
            <family val="2"/>
          </rPr>
          <t xml:space="preserve">Calibrado para a meta do brief: ~50.000 usuários na base ao final de 2026. Com lançamento em out/2026 e churn de 8%/mês, 18.100 novos/mês em out+nov+dez resulta em base de ~50.100 em dez/2026.</t>
        </r>
      </text>
    </comment>
    <comment ref="F40" authorId="0">
      <text>
        <r>
          <rPr>
            <sz val="10"/>
            <rFont val="Arial"/>
            <family val="2"/>
          </rPr>
          <t xml:space="preserve">Benchmarks 2025/2026 de apps de assinatura em Saúde &amp; Fitness: churn mensal de 7% a 10% (mediana ~9,2%); os melhores apps ficam abaixo de 5%. Adotado 8% em 2026 caindo a 6% em 2030, assumindo que monitoramento de saúde retém melhor que fitness (necessidade médica, não motivação). Fonte: RevenueCat State of Subscription Apps 2025; Business of Apps Health &amp; Fitness Benchmarks.</t>
        </r>
      </text>
    </comment>
    <comment ref="F44" authorId="0">
      <text>
        <r>
          <rPr>
            <sz val="10"/>
            <rFont val="Arial"/>
            <family val="2"/>
          </rPr>
          <t xml:space="preserve">Premissa do brief: 5% de pagantes. Benchmarks de freemium: mediana 2,2%–2,6%, faixa típica 2%–5%, quartil superior 5%–8%. 5% posiciona a Oppa no quartil superior — defensável para app de saúde com feature paga clara (histórico de dados), mas é premissa agressiva. Fontes: RevenueCat 2025; Userpilot; Geneo Freemium Benchmarks.</t>
        </r>
      </text>
    </comment>
    <comment ref="F48" authorId="0">
      <text>
        <r>
          <rPr>
            <sz val="10"/>
            <rFont val="Arial"/>
            <family val="2"/>
          </rPr>
          <t xml:space="preserve">CPI (custo por instalação) no Brasil em Meta/Google Ads para apps de saúde: R$ 1,50–4,00. Adotado R$ 2,50 em 2026, subindo até R$ 4,50 em 2030 conforme se esgotam as audiências baratas. A agência da Shaiane reduz o custo de produção criativa, não o custo de mídia.</t>
        </r>
      </text>
    </comment>
    <comment ref="F63" authorId="0">
      <text>
        <r>
          <rPr>
            <sz val="10"/>
            <rFont val="Arial"/>
            <family val="2"/>
          </rPr>
          <t xml:space="preserve">Ancorado no gasto real de R$ 532,29 em 04/05/2026 (pré-lançamento). Cresce com ambientes, observabilidade, banco gerenciado e redundância.</t>
        </r>
      </text>
    </comment>
    <comment ref="F64" authorId="0">
      <text>
        <r>
          <rPr>
            <sz val="10"/>
            <rFont val="Arial"/>
            <family val="2"/>
          </rPr>
          <t xml:space="preserve">Usuário pagante tem histórico: série temporal de sinais vitais armazenada e consultável. Custo de banco time-series + storage + processamento. Cai com escala (compressão, tiering de armazenamento, contratos de volume).</t>
        </r>
      </text>
    </comment>
    <comment ref="F65" authorId="0">
      <text>
        <r>
          <rPr>
            <sz val="10"/>
            <rFont val="Arial"/>
            <family val="2"/>
          </rPr>
          <t xml:space="preserve">O brief assume custo ~zero para o usuário gratuito, pois não há histórico. Não é exatamente zero: a ingestão em tempo real e as chamadas de API consomem compute mesmo sem persistência. R$ 0,02/mês (R$ 0,24/ano) é o custo residual dessa pipeline.</t>
        </r>
      </text>
    </comment>
    <comment ref="F69" authorId="0">
      <text>
        <r>
          <rPr>
            <sz val="10"/>
            <rFont val="Arial"/>
            <family val="2"/>
          </rPr>
          <t xml:space="preserve">O orçamento de R$ 21.000 do brief é o custo TOTAL do MVP (ago–out/2026) e está na aba Investimentos. Esta linha é a equipe recorrente pós-lançamento, que o brief não dimensiona. PREMISSA A VALIDAR: uma base de 50 mil usuários exige engenharia contínua.</t>
        </r>
      </text>
    </comment>
    <comment ref="F74" authorId="0">
      <text>
        <r>
          <rPr>
            <sz val="10"/>
            <rFont val="Arial"/>
            <family val="2"/>
          </rPr>
          <t xml:space="preserve">Reduzido pela entrada da Shaiane, sócia com agência de marketing própria, que absorve produção criativa e gestão. Não elimina o custo: ferramentas, mídia de conteúdo, influenciadores e produção seguem sendo desembolso.</t>
        </r>
      </text>
    </comment>
    <comment ref="G26" authorId="0">
      <text>
        <r>
          <rPr>
            <sz val="10"/>
            <rFont val="Arial"/>
            <family val="2"/>
          </rPr>
          <t xml:space="preserve">Em assinatura B2C de ticket baixo a decisão é 'pagar ou não pagar', não 'qual plano' — o degrau de entrada concentra a base. Referências de mercado mostram o plano individual/entrada com 60–75% dos assinantes. O efeito compromisso / center-stage (Simonson &amp; Tversky, 1992) puxa parte da base para o plano do meio ao longo do tempo, à medida que o produto ganha funcionalidades. Por isso o mix migra de 75/20/5 (2026) para 60/28/12 (2030).</t>
        </r>
      </text>
    </comment>
    <comment ref="G36" authorId="0">
      <text>
        <r>
          <rPr>
            <sz val="10"/>
            <rFont val="Arial"/>
            <family val="2"/>
          </rPr>
          <t xml:space="preserve">Calibrado para a meta do brief: ~50.000 usuários na base ao final de 2026. Com lançamento em out/2026 e churn de 8%/mês, 18.100 novos/mês em out+nov+dez resulta em base de ~50.100 em dez/2026.</t>
        </r>
      </text>
    </comment>
    <comment ref="G40" authorId="0">
      <text>
        <r>
          <rPr>
            <sz val="10"/>
            <rFont val="Arial"/>
            <family val="2"/>
          </rPr>
          <t xml:space="preserve">Benchmarks 2025/2026 de apps de assinatura em Saúde &amp; Fitness: churn mensal de 7% a 10% (mediana ~9,2%); os melhores apps ficam abaixo de 5%. Adotado 8% em 2026 caindo a 6% em 2030, assumindo que monitoramento de saúde retém melhor que fitness (necessidade médica, não motivação). Fonte: RevenueCat State of Subscription Apps 2025; Business of Apps Health &amp; Fitness Benchmarks.</t>
        </r>
      </text>
    </comment>
    <comment ref="G44" authorId="0">
      <text>
        <r>
          <rPr>
            <sz val="10"/>
            <rFont val="Arial"/>
            <family val="2"/>
          </rPr>
          <t xml:space="preserve">Premissa do brief: 5% de pagantes. Benchmarks de freemium: mediana 2,2%–2,6%, faixa típica 2%–5%, quartil superior 5%–8%. 5% posiciona a Oppa no quartil superior — defensável para app de saúde com feature paga clara (histórico de dados), mas é premissa agressiva. Fontes: RevenueCat 2025; Userpilot; Geneo Freemium Benchmarks.</t>
        </r>
      </text>
    </comment>
    <comment ref="G48" authorId="0">
      <text>
        <r>
          <rPr>
            <sz val="10"/>
            <rFont val="Arial"/>
            <family val="2"/>
          </rPr>
          <t xml:space="preserve">CPI (custo por instalação) no Brasil em Meta/Google Ads para apps de saúde: R$ 1,50–4,00. Adotado R$ 2,50 em 2026, subindo até R$ 4,50 em 2030 conforme se esgotam as audiências baratas. A agência da Shaiane reduz o custo de produção criativa, não o custo de mídia.</t>
        </r>
      </text>
    </comment>
    <comment ref="G63" authorId="0">
      <text>
        <r>
          <rPr>
            <sz val="10"/>
            <rFont val="Arial"/>
            <family val="2"/>
          </rPr>
          <t xml:space="preserve">Ancorado no gasto real de R$ 532,29 em 04/05/2026 (pré-lançamento). Cresce com ambientes, observabilidade, banco gerenciado e redundância.</t>
        </r>
      </text>
    </comment>
    <comment ref="G64" authorId="0">
      <text>
        <r>
          <rPr>
            <sz val="10"/>
            <rFont val="Arial"/>
            <family val="2"/>
          </rPr>
          <t xml:space="preserve">Usuário pagante tem histórico: série temporal de sinais vitais armazenada e consultável. Custo de banco time-series + storage + processamento. Cai com escala (compressão, tiering de armazenamento, contratos de volume).</t>
        </r>
      </text>
    </comment>
    <comment ref="G65" authorId="0">
      <text>
        <r>
          <rPr>
            <sz val="10"/>
            <rFont val="Arial"/>
            <family val="2"/>
          </rPr>
          <t xml:space="preserve">O brief assume custo ~zero para o usuário gratuito, pois não há histórico. Não é exatamente zero: a ingestão em tempo real e as chamadas de API consomem compute mesmo sem persistência. R$ 0,02/mês (R$ 0,24/ano) é o custo residual dessa pipeline.</t>
        </r>
      </text>
    </comment>
    <comment ref="G69" authorId="0">
      <text>
        <r>
          <rPr>
            <sz val="10"/>
            <rFont val="Arial"/>
            <family val="2"/>
          </rPr>
          <t xml:space="preserve">O orçamento de R$ 21.000 do brief é o custo TOTAL do MVP (ago–out/2026) e está na aba Investimentos. Esta linha é a equipe recorrente pós-lançamento, que o brief não dimensiona. PREMISSA A VALIDAR: uma base de 50 mil usuários exige engenharia contínua.</t>
        </r>
      </text>
    </comment>
    <comment ref="G74" authorId="0">
      <text>
        <r>
          <rPr>
            <sz val="10"/>
            <rFont val="Arial"/>
            <family val="2"/>
          </rPr>
          <t xml:space="preserve">Reduzido pela entrada da Shaiane, sócia com agência de marketing própria, que absorve produção criativa e gestão. Não elimina o custo: ferramentas, mídia de conteúdo, influenciadores e produção seguem sendo desembolso.</t>
        </r>
      </text>
    </comment>
  </commentList>
</comments>
</file>

<file path=xl/sharedStrings.xml><?xml version="1.0" encoding="utf-8"?>
<sst xmlns="http://schemas.openxmlformats.org/spreadsheetml/2006/main" count="758" uniqueCount="455">
  <si>
    <t xml:space="preserve">OPPA — VIABILIDADE FINANCEIRA · PAINEL EXECUTIVO</t>
  </si>
  <si>
    <t xml:space="preserve">Projeção de 60 meses (jan/2026 – dez/2030). Os três cenários são calculados simultaneamente. Todos os números vêm de fórmulas — nada está digitado à mão.</t>
  </si>
  <si>
    <t xml:space="preserve">INDICADOR</t>
  </si>
  <si>
    <t xml:space="preserve">CONSERVADOR</t>
  </si>
  <si>
    <t xml:space="preserve">PROVÁVEL</t>
  </si>
  <si>
    <t xml:space="preserve">AGRESSIVO</t>
  </si>
  <si>
    <t xml:space="preserve">Cenário em uso nas abas de detalhe</t>
  </si>
  <si>
    <t xml:space="preserve">TRAÇÃO — USUÁRIOS E RECEITA</t>
  </si>
  <si>
    <t xml:space="preserve">Usuários na base em dez/2026</t>
  </si>
  <si>
    <t xml:space="preserve">Meta do brief: 50 mil usuários ao final de 2026.</t>
  </si>
  <si>
    <t xml:space="preserve">Usuários na base em dez/2030</t>
  </si>
  <si>
    <t xml:space="preserve">Assinantes pagantes em dez/2026</t>
  </si>
  <si>
    <t xml:space="preserve">Meta do brief: 5% da base pagante.</t>
  </si>
  <si>
    <t xml:space="preserve">Assinantes pagantes em dez/2030</t>
  </si>
  <si>
    <t xml:space="preserve">Receita bruta de 2026</t>
  </si>
  <si>
    <t xml:space="preserve">Receita bruta de 2030</t>
  </si>
  <si>
    <t xml:space="preserve">Receita bruta acumulada em 5 anos</t>
  </si>
  <si>
    <t xml:space="preserve">RESULTADO OPERACIONAL</t>
  </si>
  <si>
    <t xml:space="preserve">EBITDA de 2026</t>
  </si>
  <si>
    <t xml:space="preserve">EBITDA de 2030</t>
  </si>
  <si>
    <t xml:space="preserve">EBITDA acumulado em 5 anos</t>
  </si>
  <si>
    <t xml:space="preserve">Margem EBITDA em 2030 (% da receita bruta)</t>
  </si>
  <si>
    <t xml:space="preserve">Break-even do EBITDA</t>
  </si>
  <si>
    <t xml:space="preserve">Primeiro mês com EBITDA positivo — quando a operação passa a se pagar.</t>
  </si>
  <si>
    <t xml:space="preserve">CAPITAL E CAIXA</t>
  </si>
  <si>
    <t xml:space="preserve">Investimento total (CAPEX)</t>
  </si>
  <si>
    <t xml:space="preserve">Capital requerido (pico de caixa negativo do FCL)</t>
  </si>
  <si>
    <t xml:space="preserve">Quanto a operação precisa de capital antes de se sustentar sozinha.</t>
  </si>
  <si>
    <t xml:space="preserve">Capital disponível (aportes previstos)</t>
  </si>
  <si>
    <t xml:space="preserve">Caixa mínimo ao longo do período</t>
  </si>
  <si>
    <t xml:space="preserve">Se ficar negativo, o capital planejado não é suficiente — falta captar a diferença.</t>
  </si>
  <si>
    <t xml:space="preserve">Caixa em dez/2030</t>
  </si>
  <si>
    <t xml:space="preserve">INDICADORES DE VIABILIDADE (sobre o Fluxo de Caixa Livre)</t>
  </si>
  <si>
    <t xml:space="preserve">VPL — Valor Presente Líquido</t>
  </si>
  <si>
    <t xml:space="preserve">Descontado à TMA definida em Premissas. Positivo = o projeto cria valor.</t>
  </si>
  <si>
    <t xml:space="preserve">TIR mensal</t>
  </si>
  <si>
    <t xml:space="preserve">TIR anual</t>
  </si>
  <si>
    <t xml:space="preserve">Compare com a TMA. Atenção: quando o investimento inicial é pequeno diante do caixa gerado, a TIR fica muito alta e perde poder de comparação — olhe o VPL junto.</t>
  </si>
  <si>
    <t xml:space="preserve">Payback simples (meses)</t>
  </si>
  <si>
    <t xml:space="preserve">Payback descontado (meses)</t>
  </si>
  <si>
    <t xml:space="preserve">Critério de decisão: payback desejado definido em Premissas.</t>
  </si>
  <si>
    <t xml:space="preserve">FCL acumulado em 5 anos</t>
  </si>
  <si>
    <t xml:space="preserve">ROI sobre o capital requerido</t>
  </si>
  <si>
    <t xml:space="preserve">TESTE DE DECISÃO — GO / NO-GO</t>
  </si>
  <si>
    <t xml:space="preserve">O caixa nunca fica negativo?</t>
  </si>
  <si>
    <t xml:space="preserve">O VPL é positivo?</t>
  </si>
  <si>
    <t xml:space="preserve">A TIR anual supera a TMA?</t>
  </si>
  <si>
    <t xml:space="preserve">O payback descontado cabe no prazo desejado?</t>
  </si>
  <si>
    <t xml:space="preserve">DIAGNÓSTICO</t>
  </si>
  <si>
    <t xml:space="preserve">Critério herdado da planilha de viabilidade da EMS (Go / No-Go).</t>
  </si>
  <si>
    <t xml:space="preserve">MÉTRICAS DE UNIDADE — CENÁRIO ATIVO (dez/2030)</t>
  </si>
  <si>
    <t xml:space="preserve">LTV — valor do assinante</t>
  </si>
  <si>
    <t xml:space="preserve">CAC por assinante pagante</t>
  </si>
  <si>
    <t xml:space="preserve">LTV ÷ CAC</t>
  </si>
  <si>
    <t xml:space="preserve">Referência: ≥ 3,0x é saudável. Abaixo de 1,0x destrói valor.</t>
  </si>
  <si>
    <t xml:space="preserve">Payback do CAC (meses)</t>
  </si>
  <si>
    <t xml:space="preserve">Ideal abaixo de 12 meses.</t>
  </si>
  <si>
    <t xml:space="preserve">ARPPU — receita por assinante</t>
  </si>
  <si>
    <t xml:space="preserve">Runway em dez/2026 (meses de caixa)</t>
  </si>
  <si>
    <t xml:space="preserve">PONTOS DE ATENÇÃO IDENTIFICADOS NA MODELAGEM</t>
  </si>
  <si>
    <t xml:space="preserve">▸  Fator R e enquadramento tributário</t>
  </si>
  <si>
    <t xml:space="preserve">Licenciamento de software é Anexo V do Simples (15,5% inicial) e só migra para o Anexo III (6% inicial) se o Fator R — folha e pró-labore ÷ receita — for ≥ 28%. Pagamento a equipe PJ NÃO conta como folha. Com a estrutura do brief, a Oppa tende ao Anexo V. Ver aba Tributos para o custo anual dessa diferença.</t>
  </si>
  <si>
    <t xml:space="preserve">▸  Dependência dos aportes não assinados</t>
  </si>
  <si>
    <t xml:space="preserve">Dos R$ 200 mil do caso-base, R$ 120 mil vêm de C-ioT, Felipe Martinelli e Shaiane — ainda não formalizados. Sem eles, o capital cai para R$ 80 mil e o lançamento com aquisição paga não se sustenta. Este é o maior risco de curto prazo do plano.</t>
  </si>
  <si>
    <t xml:space="preserve">▸  Comissão das lojas de aplicativos</t>
  </si>
  <si>
    <t xml:space="preserve">Apple e Google retêm 15% da assinatura (Google desde o primeiro dia; Apple pelo Small Business Program, válido enquanto a receita anual for inferior a US$ 1 milhão). Acima disso a Apple volta a 30%. É a maior dedução isolada da receita e não estava no brief.</t>
  </si>
  <si>
    <t xml:space="preserve">▸  Conversão de 5% é premissa de quartil superior</t>
  </si>
  <si>
    <t xml:space="preserve">Benchmarks de freemium apontam mediana de 2,2% a 2,6% e faixa típica de 2% a 5%. Os 5% do brief são defensáveis para saúde com feature paga clara (histórico de dados), mas são a premissa mais sensível do modelo — teste o cenário Conservador (3%).</t>
  </si>
  <si>
    <t xml:space="preserve">▸  Teto do Simples Nacional</t>
  </si>
  <si>
    <t xml:space="preserve">O modelo troca automaticamente para o Lucro Presumido quando o RBT12 ultrapassa R$ 4,8 milhões. No cenário Provável isso acontece dentro do horizonte e eleva a carga tributária — planeje a transição societária e contábil com antecedência.</t>
  </si>
  <si>
    <t xml:space="preserve">▸  Custo de equipe recorrente não estava no brief</t>
  </si>
  <si>
    <t xml:space="preserve">Os R$ 21 mil citados cobrem a construção do MVP até outubro. Uma base de dezenas de milhares de usuários exige engenharia contínua; o modelo assume equipe recorrente a partir de nov/2026 (editável em Premissas). É a premissa de custo que mais desloca o resultado.</t>
  </si>
  <si>
    <t xml:space="preserve">▸  O cenário Conservador mantém a estrutura de custos do Provável</t>
  </si>
  <si>
    <t xml:space="preserve">É proposital: mede o risco de dimensionar equipe, marketing e infraestrutura para uma tração que não se confirma. Na prática a gestão cortaria custos — ajuste as linhas de equipe, marketing recorrente e administrativas em Premissas para ver o Conservador com a operação redimensionada.</t>
  </si>
  <si>
    <t xml:space="preserve">▸  Cruzamento dos anexos no teto do Simples</t>
  </si>
  <si>
    <t xml:space="preserve">Na última faixa (RBT12 entre R$ 3,6 mi e R$ 4,8 mi) o Anexo V passa a ser ligeiramente mais barato que o Anexo III, porque a alíquota nominal do Anexo III sobe para 33%. Não é erro da tabela — é o desenho da LC 123/2006. Até essa faixa, o Anexo III é sempre melhor.</t>
  </si>
  <si>
    <t xml:space="preserve">▸  Boston Scientific fora do caso-base</t>
  </si>
  <si>
    <t xml:space="preserve">O acordo não está confirmado e por isso está desligado. Ligue a célula em Premissas para dimensionar o upside — e considere que a exclusividade B2B hospitalar limita outras receitas do mesmo canal.</t>
  </si>
  <si>
    <t xml:space="preserve">OPPA — PREMISSAS DO MODELO</t>
  </si>
  <si>
    <t xml:space="preserve">Células AZUIS são entradas editáveis · fundo AMARELO = premissa-chave · PRETO = fórmula. Passe o mouse sobre as células com marca vermelha para ver a fonte de cada número.</t>
  </si>
  <si>
    <t xml:space="preserve">1. CONTROLES DO MODELO</t>
  </si>
  <si>
    <t xml:space="preserve">Ano →</t>
  </si>
  <si>
    <t xml:space="preserve">Cenário ativo  (1 = Conservador · 2 = Provável · 3 = Agressivo)</t>
  </si>
  <si>
    <t xml:space="preserve">Troque este número para recalcular todo o modelo no cenário desejado.</t>
  </si>
  <si>
    <t xml:space="preserve">Cenário ativo — nome</t>
  </si>
  <si>
    <t xml:space="preserve">Data de início do modelo</t>
  </si>
  <si>
    <t xml:space="preserve">Horizonte de projeção (meses)</t>
  </si>
  <si>
    <t xml:space="preserve">Mês de lançamento do app ao público</t>
  </si>
  <si>
    <t xml:space="preserve">Brief: 'app majoritariamente pronto em Outubro'.</t>
  </si>
  <si>
    <t xml:space="preserve">TMA — taxa mínima de atratividade (a.a.)</t>
  </si>
  <si>
    <t xml:space="preserve">Original usava 16% a.a.; 25% reflete risco de startup pré-receita.</t>
  </si>
  <si>
    <t xml:space="preserve">TMA equivalente mensal</t>
  </si>
  <si>
    <t xml:space="preserve">Payback desejado (meses) — critério de decisão</t>
  </si>
  <si>
    <t xml:space="preserve">Critério Go/No-Go, herdado da planilha de viabilidade da EMS.</t>
  </si>
  <si>
    <t xml:space="preserve">2. TRIBUTAÇÃO</t>
  </si>
  <si>
    <t xml:space="preserve">Regime  (1 = Simples Anexo III · 2 = Simples Anexo V · 3 = Lucro Presumido)</t>
  </si>
  <si>
    <t xml:space="preserve">Ver aba Tributos: com equipe PJ o Fator R tende a ficar &lt; 28% → Anexo V.</t>
  </si>
  <si>
    <t xml:space="preserve">Alíquota Lucro Presumido / acima do teto do Simples</t>
  </si>
  <si>
    <t xml:space="preserve">PIS 0,65 + COFINS 3,00 + ISS 5,00 + IRPJ 4,80 + CSLL 2,88 = 16,33%</t>
  </si>
  <si>
    <t xml:space="preserve">Teto do Simples Nacional (RBT12)</t>
  </si>
  <si>
    <t xml:space="preserve">LC 123/2006. Acima disso o modelo passa automaticamente ao Lucro Presumido.</t>
  </si>
  <si>
    <t xml:space="preserve">3. PREÇOS E MIX DE PLANOS</t>
  </si>
  <si>
    <t xml:space="preserve">Plano Básico (R$/mês)</t>
  </si>
  <si>
    <t xml:space="preserve">Plano Intermediário (R$/mês)</t>
  </si>
  <si>
    <t xml:space="preserve">Plano Premium (R$/mês)</t>
  </si>
  <si>
    <t xml:space="preserve">Reajuste anual de preços (a.a.)</t>
  </si>
  <si>
    <t xml:space="preserve">Reajuste inflacionário aplicado a partir de 2027 (IPCA projetado ~4,5%).</t>
  </si>
  <si>
    <t xml:space="preserve">Mix de pagantes por plano (% dos assinantes)</t>
  </si>
  <si>
    <t xml:space="preserve">Plano Básico</t>
  </si>
  <si>
    <t xml:space="preserve">Efeito compromisso (Simonson &amp; Tversky, 1992) + padrão de assinatura B2C de ticket baixo.</t>
  </si>
  <si>
    <t xml:space="preserve">Plano Intermediário</t>
  </si>
  <si>
    <t xml:space="preserve">Plano-ponte: cresce conforme o Premium ganha valor percebido (efeito center-stage).</t>
  </si>
  <si>
    <t xml:space="preserve">Plano Premium</t>
  </si>
  <si>
    <t xml:space="preserve">Fatia menor mas crescente — ancoragem de preço que sustenta o Intermediário.</t>
  </si>
  <si>
    <t xml:space="preserve">Verificação do mix (deve somar 100%)</t>
  </si>
  <si>
    <t xml:space="preserve">ARPPU implícita (receita média por assinante pagante)</t>
  </si>
  <si>
    <t xml:space="preserve">4. DRIVERS POR CENÁRIO</t>
  </si>
  <si>
    <t xml:space="preserve">Cada driver tem 3 linhas: Conservador / Provável / Agressivo. O modelo usa a linha do cenário ativo (controle 1.1).</t>
  </si>
  <si>
    <t xml:space="preserve">Novos usuários captados por mês (média do ano)</t>
  </si>
  <si>
    <t xml:space="preserve">Conservador</t>
  </si>
  <si>
    <t xml:space="preserve">Provável</t>
  </si>
  <si>
    <t xml:space="preserve">Calibrado para atingir a meta de ~50.000 usuários em dez/2026.</t>
  </si>
  <si>
    <t xml:space="preserve">Agressivo</t>
  </si>
  <si>
    <t xml:space="preserve">Churn mensal da base de usuários</t>
  </si>
  <si>
    <t xml:space="preserve">Saúde &amp; Fitness: 7–10%/mês de churn (mediana 9,2%). Monitoramento retém melhor que fitness.</t>
  </si>
  <si>
    <t xml:space="preserve">Taxa de conversão (pagantes ÷ base ativa)</t>
  </si>
  <si>
    <t xml:space="preserve">Premissa do brief (5%). Benchmark freemium: mediana 2,2%; quartil superior 5–8%.</t>
  </si>
  <si>
    <t xml:space="preserve">CAC — custo de aquisição por novo usuário (R$)</t>
  </si>
  <si>
    <t xml:space="preserve">CPI Brasil saúde: R$ 1,50–4,00. Sobe com a escala (audiências baratas se esgotam).</t>
  </si>
  <si>
    <t xml:space="preserve">Aquisição orgânica (% dos novos usuários, sem custo de mídia)</t>
  </si>
  <si>
    <t xml:space="preserve">Boca a boca + conteúdo da agência da Shaiane. Reduz a fatia de novos usuários paga com mídia.</t>
  </si>
  <si>
    <t xml:space="preserve">5. MONETIZAÇÃO — CANAIS E TAXAS</t>
  </si>
  <si>
    <t xml:space="preserve">Taxa das lojas de aplicativos (App Store / Google Play)</t>
  </si>
  <si>
    <t xml:space="preserve">Google Play 15% desde o 1º dia; Apple 15% no Small Business Program (&lt; US$ 1 mi/ano).</t>
  </si>
  <si>
    <t xml:space="preserve">% da receita de assinaturas cobrada pelas lojas</t>
  </si>
  <si>
    <t xml:space="preserve">Migração gradual para checkout web/PIX próprio, que não paga comissão de loja.</t>
  </si>
  <si>
    <t xml:space="preserve">Taxa de meio de pagamento (venda direta web/PIX)</t>
  </si>
  <si>
    <t xml:space="preserve">Média ponderada cartão (~4,99%) e PIX (~1,0%).</t>
  </si>
  <si>
    <t xml:space="preserve">Marketplace de dispositivos</t>
  </si>
  <si>
    <t xml:space="preserve">Comissão média sobre GMV</t>
  </si>
  <si>
    <t xml:space="preserve">Brief: faixa de 5% a 15% de comissão. Adotado o ponto médio.</t>
  </si>
  <si>
    <t xml:space="preserve">Ticket médio do dispositivo (R$)</t>
  </si>
  <si>
    <t xml:space="preserve">Oxímetro ~R$150, smartwatch de saúde ~R$400, balança/pressão ~R$250.</t>
  </si>
  <si>
    <t xml:space="preserve">Taxa de compra mensal (% da base ativa que compra no mês)</t>
  </si>
  <si>
    <t xml:space="preserve">Marketplace só entra no ar em 2027. Compra de device é evento raro e de alto ticket.</t>
  </si>
  <si>
    <t xml:space="preserve">6. CUSTOS OPERACIONAIS</t>
  </si>
  <si>
    <t xml:space="preserve">Início dos custos de nuvem</t>
  </si>
  <si>
    <t xml:space="preserve">Primeiro gasto real registrado: R$ 532,29 em 04/05/2026.</t>
  </si>
  <si>
    <t xml:space="preserve">Nuvem — custo fixo mensal (R$)</t>
  </si>
  <si>
    <t xml:space="preserve">Base: gasto real de R$ 532,29 em 04/05/2026.</t>
  </si>
  <si>
    <t xml:space="preserve">Nuvem — custo variável por usuário PAGANTE (R$/mês)</t>
  </si>
  <si>
    <t xml:space="preserve">Só o pagante gera histórico (série temporal armazenada) — premissa do brief.</t>
  </si>
  <si>
    <t xml:space="preserve">Nuvem — custo variável por usuário GRATUITO (R$/mês)</t>
  </si>
  <si>
    <t xml:space="preserve">Não é zero: ingestão em tempo real e API consomem compute mesmo sem persistir histórico.</t>
  </si>
  <si>
    <t xml:space="preserve">Suporte — custo por usuário pagante (R$/mês)</t>
  </si>
  <si>
    <t xml:space="preserve">Autoatendimento + chatbot; humano só na exceção.</t>
  </si>
  <si>
    <t xml:space="preserve">Suporte — custo fixo mensal (R$)</t>
  </si>
  <si>
    <t xml:space="preserve">Início da equipe PJ recorrente</t>
  </si>
  <si>
    <t xml:space="preserve">Após a entrega do MVP (out/2026), a equipe passa de projeto para manutenção/evolução.</t>
  </si>
  <si>
    <t xml:space="preserve">Equipe PJ recorrente (R$/mês)</t>
  </si>
  <si>
    <t xml:space="preserve">⚠ Não está no brief. Escalonado com o porte da operação — em 2030 equivale a ~14% da receita.</t>
  </si>
  <si>
    <t xml:space="preserve">Início do pró-labore dos sócios</t>
  </si>
  <si>
    <t xml:space="preserve">Pró-labore total dos sócios (R$/mês)</t>
  </si>
  <si>
    <t xml:space="preserve">Zero em 2026 (sócios sem retirada). Também é a base do Fator R — ver aba Tributos.</t>
  </si>
  <si>
    <t xml:space="preserve">Início das despesas administrativas</t>
  </si>
  <si>
    <t xml:space="preserve">A partir da constituição da empresa / primeiro aporte (16/04/2026).</t>
  </si>
  <si>
    <t xml:space="preserve">Administrativas (contabilidade, jurídico, ferramentas) — R$/mês</t>
  </si>
  <si>
    <t xml:space="preserve">Marketing recorrente — agência/conteúdo (R$/mês)</t>
  </si>
  <si>
    <t xml:space="preserve">Reduzido pela agência da Shaiane, mas não eliminado (ferramentas, mídia, produção).</t>
  </si>
  <si>
    <t xml:space="preserve">Início do marketing recorrente</t>
  </si>
  <si>
    <t xml:space="preserve">Propaganda de lançamento — valor único (R$)</t>
  </si>
  <si>
    <t xml:space="preserve">Mês da propaganda de lançamento</t>
  </si>
  <si>
    <t xml:space="preserve">7. BOSTON SCIENTIFIC (cenário opcional — desligado por padrão)</t>
  </si>
  <si>
    <t xml:space="preserve">Acordo ativo?  (1 = Sim · 0 = Não)</t>
  </si>
  <si>
    <t xml:space="preserve">⚠ Desligado por padrão. Mude para 1 para ver o impacto do acordo.</t>
  </si>
  <si>
    <t xml:space="preserve">Aporte da Boston Scientific (R$)</t>
  </si>
  <si>
    <t xml:space="preserve">Brief: 'casa dos seis dígitos'. Adotado o ponto médio da faixa R$ 100 mil – R$ 999 mil.</t>
  </si>
  <si>
    <t xml:space="preserve">Mês do aporte</t>
  </si>
  <si>
    <t xml:space="preserve">Receita B2B recorrente (R$/mês, a partir do mês do aporte)</t>
  </si>
  <si>
    <t xml:space="preserve">Monitoramento de pacientes pós-operatórios. Contrapartida: exclusividade B2B hospitalar.</t>
  </si>
  <si>
    <t xml:space="preserve">8. NOTAS METODOLÓGICAS</t>
  </si>
  <si>
    <t xml:space="preserve">•  FCL (Fluxo de Caixa Livre) NÃO inclui aportes de sócios. Aporte é financiamento, não geração de caixa — incluí-lo infla VPL e TIR artificialmente. A planilha original somava o aporte à receita; aqui os dois fluxos estão separados (ver aba Análise Fluxo).</t>
  </si>
  <si>
    <t xml:space="preserve">•  VPL, TIR e Payback são calculados sobre o FCL. Caixa Acumulado e Runway usam FCL + Aportes.</t>
  </si>
  <si>
    <t xml:space="preserve">•  Rendimento financeiro do caixa não é considerado (premissa conservadora).</t>
  </si>
  <si>
    <t xml:space="preserve">•  Investimentos (desenvolvimento do app, equipamentos, marca, certificações) saem do caixa no mês do desembolso e são amortizados linearmente em 60 meses na DRE — por isso EBITDA da DRE e FCL diferem.</t>
  </si>
  <si>
    <t xml:space="preserve">•  Propaganda de lançamento é tratada como despesa de marketing (regime de competência), não como investimento — diferente da planilha original, que a colocava em 'Projeto'.</t>
  </si>
  <si>
    <t xml:space="preserve">•  O modelo troca automaticamente do Simples para o Lucro Presumido quando o RBT12 ultrapassa R$ 4,8 milhões, sem intervenção manual.</t>
  </si>
  <si>
    <t xml:space="preserve">•  Todas as células azuis são editáveis; o modelo inteiro recalcula a partir delas.</t>
  </si>
  <si>
    <t xml:space="preserve">DRE PROJETADA — DEMONSTRAÇÃO DO RESULTADO DO EXERCÍCIO</t>
  </si>
  <si>
    <t xml:space="preserve">Linha do tempo</t>
  </si>
  <si>
    <t xml:space="preserve">TOTAL</t>
  </si>
  <si>
    <t xml:space="preserve">% / Nota</t>
  </si>
  <si>
    <t xml:space="preserve">Mês nº</t>
  </si>
  <si>
    <t xml:space="preserve">Ano</t>
  </si>
  <si>
    <t xml:space="preserve">Índice do ano (auxiliar)</t>
  </si>
  <si>
    <t xml:space="preserve">RECEITA OPERACIONAL BRUTA</t>
  </si>
  <si>
    <t xml:space="preserve">Assinaturas — Plano Básico</t>
  </si>
  <si>
    <t xml:space="preserve">Assinaturas — Plano Intermediário</t>
  </si>
  <si>
    <t xml:space="preserve">Assinaturas — Plano Premium</t>
  </si>
  <si>
    <t xml:space="preserve">Marketplace — comissões</t>
  </si>
  <si>
    <t xml:space="preserve">B2B — Boston Scientific</t>
  </si>
  <si>
    <t xml:space="preserve">(=) RECEITA BRUTA</t>
  </si>
  <si>
    <t xml:space="preserve">DEDUÇÕES DA RECEITA BRUTA</t>
  </si>
  <si>
    <t xml:space="preserve">(−) Impostos sobre a receita (Simples / Lucro Presumido)</t>
  </si>
  <si>
    <t xml:space="preserve">(−) Comissão das lojas de aplicativos</t>
  </si>
  <si>
    <t xml:space="preserve">Apple/Google. A maior dedução isolada da receita de assinatura.</t>
  </si>
  <si>
    <t xml:space="preserve">(−) Taxas de meios de pagamento</t>
  </si>
  <si>
    <t xml:space="preserve">(=) RECEITA OPERACIONAL LÍQUIDA</t>
  </si>
  <si>
    <t xml:space="preserve">CUSTO DOS SERVIÇOS PRESTADOS</t>
  </si>
  <si>
    <t xml:space="preserve">(−) Infraestrutura e nuvem</t>
  </si>
  <si>
    <t xml:space="preserve">(−) Suporte ao cliente</t>
  </si>
  <si>
    <t xml:space="preserve">(=) LUCRO BRUTO</t>
  </si>
  <si>
    <t xml:space="preserve">Margem bruta (% da receita líquida)</t>
  </si>
  <si>
    <t xml:space="preserve">DESPESAS OPERACIONAIS</t>
  </si>
  <si>
    <t xml:space="preserve">(−) Pessoal — equipe PJ e pró-labore</t>
  </si>
  <si>
    <t xml:space="preserve">(−) Marketing e aquisição</t>
  </si>
  <si>
    <t xml:space="preserve">Inclui a propaganda de lançamento, tratada como despesa e não como investimento.</t>
  </si>
  <si>
    <t xml:space="preserve">(−) Despesas administrativas</t>
  </si>
  <si>
    <t xml:space="preserve">(=) EBITDA</t>
  </si>
  <si>
    <t xml:space="preserve">Margem EBITDA (% da receita líquida)</t>
  </si>
  <si>
    <t xml:space="preserve">RESULTADO</t>
  </si>
  <si>
    <t xml:space="preserve">(−) Depreciação e amortização</t>
  </si>
  <si>
    <t xml:space="preserve">Investimentos amortizados linearmente em 60 meses.</t>
  </si>
  <si>
    <t xml:space="preserve">(=) EBIT — resultado operacional</t>
  </si>
  <si>
    <t xml:space="preserve">(+/−) Resultado financeiro</t>
  </si>
  <si>
    <t xml:space="preserve">Rendimento do caixa não considerado (premissa conservadora).</t>
  </si>
  <si>
    <t xml:space="preserve">(=) RESULTADO ANTES DO IR</t>
  </si>
  <si>
    <t xml:space="preserve">(−) IRPJ e CSLL</t>
  </si>
  <si>
    <t xml:space="preserve">Já incluídos na linha de impostos sobre a receita (DAS do Simples ou Lucro Presumido).</t>
  </si>
  <si>
    <t xml:space="preserve">(=) LUCRO LÍQUIDO DO EXERCÍCIO</t>
  </si>
  <si>
    <t xml:space="preserve">Margem líquida (% da receita líquida)</t>
  </si>
  <si>
    <t xml:space="preserve">Lucro líquido acumulado</t>
  </si>
  <si>
    <t xml:space="preserve">DRE ANUAL CONSOLIDADA</t>
  </si>
  <si>
    <t xml:space="preserve">Demonstração do Resultado</t>
  </si>
  <si>
    <t xml:space="preserve">5 ANOS</t>
  </si>
  <si>
    <t xml:space="preserve">RECEITA BRUTA</t>
  </si>
  <si>
    <t xml:space="preserve">(−) Impostos sobre a receita</t>
  </si>
  <si>
    <t xml:space="preserve">(=) RECEITA LÍQUIDA</t>
  </si>
  <si>
    <t xml:space="preserve">Margem bruta</t>
  </si>
  <si>
    <t xml:space="preserve">(−) Pessoal</t>
  </si>
  <si>
    <t xml:space="preserve">Margem EBITDA</t>
  </si>
  <si>
    <t xml:space="preserve">(=) EBIT</t>
  </si>
  <si>
    <t xml:space="preserve">(=) LUCRO LÍQUIDO</t>
  </si>
  <si>
    <t xml:space="preserve">Margem líquida</t>
  </si>
  <si>
    <t xml:space="preserve">ANÁLISE DE FLUXO DE CAIXA E VIABILIDADE</t>
  </si>
  <si>
    <t xml:space="preserve">PROJETO — INVESTIMENTOS</t>
  </si>
  <si>
    <t xml:space="preserve">Desenvolvimento do app (MVP e evoluções)</t>
  </si>
  <si>
    <t xml:space="preserve">Equipamentos</t>
  </si>
  <si>
    <t xml:space="preserve">Constituição, marca e jurídico</t>
  </si>
  <si>
    <t xml:space="preserve">Certificações e conformidade</t>
  </si>
  <si>
    <t xml:space="preserve">TOTAL PROJETO</t>
  </si>
  <si>
    <t xml:space="preserve">OPERACIONAIS</t>
  </si>
  <si>
    <t xml:space="preserve">Infraestrutura e nuvem</t>
  </si>
  <si>
    <t xml:space="preserve">Suporte ao cliente</t>
  </si>
  <si>
    <t xml:space="preserve">Equipe PJ (produto e engenharia)</t>
  </si>
  <si>
    <t xml:space="preserve">Pró-labore dos sócios</t>
  </si>
  <si>
    <t xml:space="preserve">Marketing de performance (aquisição)</t>
  </si>
  <si>
    <t xml:space="preserve">Marketing recorrente (agência e conteúdo)</t>
  </si>
  <si>
    <t xml:space="preserve">Propaganda de lançamento</t>
  </si>
  <si>
    <t xml:space="preserve">Comissão das lojas de aplicativos</t>
  </si>
  <si>
    <t xml:space="preserve">Taxas de meios de pagamento</t>
  </si>
  <si>
    <t xml:space="preserve">Impostos sobre a receita</t>
  </si>
  <si>
    <t xml:space="preserve">Despesas administrativas</t>
  </si>
  <si>
    <t xml:space="preserve">TOTAL OPERACIONAIS</t>
  </si>
  <si>
    <t xml:space="preserve">FLUXO DE CAIXA</t>
  </si>
  <si>
    <t xml:space="preserve">Receita bruta total</t>
  </si>
  <si>
    <t xml:space="preserve">FLUXO DE CAIXA LIVRE (FCL)</t>
  </si>
  <si>
    <t xml:space="preserve">Sem aportes — aporte é financiamento, não geração de caixa.</t>
  </si>
  <si>
    <t xml:space="preserve">FCL descontado</t>
  </si>
  <si>
    <t xml:space="preserve">FCL descontado acumulado</t>
  </si>
  <si>
    <t xml:space="preserve">FCL acumulado (nominal)</t>
  </si>
  <si>
    <t xml:space="preserve">(+) Aportes de sócios</t>
  </si>
  <si>
    <t xml:space="preserve">Fluxo de caixa do período (FCL + aportes)</t>
  </si>
  <si>
    <t xml:space="preserve">CAIXA ACUMULADO</t>
  </si>
  <si>
    <t xml:space="preserve">✔ Verificação: FCL desta aba − FCL do motor (deve ser zero)</t>
  </si>
  <si>
    <t xml:space="preserve">Zero confirma que o detalhamento reconcilia com o motor de cenários.</t>
  </si>
  <si>
    <t xml:space="preserve">INDICADORES DE VIABILIDADE — CENÁRIO SELECIONADO</t>
  </si>
  <si>
    <t xml:space="preserve">Soma do FCL trazido a valor presente pela TMA. Positivo = cria valor.</t>
  </si>
  <si>
    <t xml:space="preserve">Taxa que zera o VPL.</t>
  </si>
  <si>
    <t xml:space="preserve">Compare com a TMA. Acima dela, o projeto remunera o risco.</t>
  </si>
  <si>
    <t xml:space="preserve">Mês em que o FCL acumulado vira positivo.</t>
  </si>
  <si>
    <t xml:space="preserve">Idem, com o dinheiro trazido a valor presente.</t>
  </si>
  <si>
    <t xml:space="preserve">Capital requerido (pico de caixa negativo)</t>
  </si>
  <si>
    <t xml:space="preserve">Quanto de capital o projeto precisa antes de se sustentar.</t>
  </si>
  <si>
    <t xml:space="preserve">Se negativo, o capital planejado não é suficiente.</t>
  </si>
  <si>
    <t xml:space="preserve">Receita bruta acumulada</t>
  </si>
  <si>
    <t xml:space="preserve">FCL acumulado no período</t>
  </si>
  <si>
    <t xml:space="preserve">FCL total ÷ capital requerido.</t>
  </si>
  <si>
    <t xml:space="preserve">TMA utilizada (a.a.)</t>
  </si>
  <si>
    <t xml:space="preserve">Alíquota efetiva média de impostos</t>
  </si>
  <si>
    <t xml:space="preserve">PREMISSAS — RESUMO (editar na aba Premissas)</t>
  </si>
  <si>
    <t xml:space="preserve">Taxa das lojas de aplicativos</t>
  </si>
  <si>
    <t xml:space="preserve">Comissão do marketplace</t>
  </si>
  <si>
    <t xml:space="preserve">TMA (a.a.)</t>
  </si>
  <si>
    <t xml:space="preserve">Payback desejado (meses)</t>
  </si>
  <si>
    <t xml:space="preserve">FATURAMENTO PROJETADO</t>
  </si>
  <si>
    <t xml:space="preserve">Marketplace — comissões sobre dispositivos</t>
  </si>
  <si>
    <t xml:space="preserve">B2B — Boston Scientific (se acordo ativo)</t>
  </si>
  <si>
    <t xml:space="preserve">RECEITA BRUTA TOTAL</t>
  </si>
  <si>
    <t xml:space="preserve">DEDUÇÕES DA RECEITA</t>
  </si>
  <si>
    <t xml:space="preserve">RECEITA LÍQUIDA</t>
  </si>
  <si>
    <t xml:space="preserve">Alíquota efetiva de impostos</t>
  </si>
  <si>
    <t xml:space="preserve">Simples Nacional progressivo; migra para Lucro Presumido acima de R$ 4,8 mi.</t>
  </si>
  <si>
    <t xml:space="preserve">RESUMO ANUAL</t>
  </si>
  <si>
    <t xml:space="preserve">Receita bruta</t>
  </si>
  <si>
    <t xml:space="preserve">Receita líquida</t>
  </si>
  <si>
    <t xml:space="preserve">Impostos sobre receita</t>
  </si>
  <si>
    <t xml:space="preserve">Comissão de lojas</t>
  </si>
  <si>
    <t xml:space="preserve">USUÁRIOS E INDICADORES DE UNIDADE</t>
  </si>
  <si>
    <t xml:space="preserve">FUNIL DE USUÁRIOS</t>
  </si>
  <si>
    <t xml:space="preserve">Novos usuários captados</t>
  </si>
  <si>
    <t xml:space="preserve">Base de usuários — início do mês</t>
  </si>
  <si>
    <t xml:space="preserve">Saldo em dez/2030.</t>
  </si>
  <si>
    <t xml:space="preserve">(−) Usuários perdidos (churn)</t>
  </si>
  <si>
    <t xml:space="preserve">Base de usuários — fim do mês</t>
  </si>
  <si>
    <t xml:space="preserve">Taxa de conversão</t>
  </si>
  <si>
    <t xml:space="preserve">Usuários pagantes</t>
  </si>
  <si>
    <t xml:space="preserve">Pagantes — Plano Básico</t>
  </si>
  <si>
    <t xml:space="preserve">Pagantes — Plano Intermediário</t>
  </si>
  <si>
    <t xml:space="preserve">Pagantes — Plano Premium</t>
  </si>
  <si>
    <t xml:space="preserve">Usuários gratuitos</t>
  </si>
  <si>
    <t xml:space="preserve">INDICADORES DE UNIDADE</t>
  </si>
  <si>
    <t xml:space="preserve">Investimento em mídia de aquisição</t>
  </si>
  <si>
    <t xml:space="preserve">CAC — custo por usuário adquirido</t>
  </si>
  <si>
    <t xml:space="preserve">Média do período.</t>
  </si>
  <si>
    <t xml:space="preserve">CAC por usuário PAGANTE conquistado</t>
  </si>
  <si>
    <t xml:space="preserve">É este o CAC que a receita de assinatura precisa pagar.</t>
  </si>
  <si>
    <t xml:space="preserve">ARPPU — receita média por assinante pagante</t>
  </si>
  <si>
    <t xml:space="preserve">ARPU — receita média por usuário da base</t>
  </si>
  <si>
    <t xml:space="preserve">Margem de contribuição por pagante (R$/mês)</t>
  </si>
  <si>
    <t xml:space="preserve">Receita líquida menos nuvem e suporte, por assinante.</t>
  </si>
  <si>
    <t xml:space="preserve">LTV — valor do assinante ao longo da vida</t>
  </si>
  <si>
    <t xml:space="preserve">Margem de contribuição ÷ churn mensal.</t>
  </si>
  <si>
    <t xml:space="preserve">LTV ÷ CAC por pagante</t>
  </si>
  <si>
    <t xml:space="preserve">Referência de mercado: ≥ 3,0x é saudável; &lt; 1,0x destrói valor.</t>
  </si>
  <si>
    <t xml:space="preserve">Meses de assinatura para recuperar o custo de aquisição. Ideal: &lt; 12.</t>
  </si>
  <si>
    <t xml:space="preserve">CAIXA E FÔLEGO</t>
  </si>
  <si>
    <t xml:space="preserve">Caixa acumulado</t>
  </si>
  <si>
    <t xml:space="preserve">Queima de caixa do mês (burn)</t>
  </si>
  <si>
    <t xml:space="preserve">Runway (meses de caixa restantes)</t>
  </si>
  <si>
    <t xml:space="preserve">Caixa ÷ queima média dos últimos 3 meses. 999 = sem queima.</t>
  </si>
  <si>
    <t xml:space="preserve">MOTOR DE CENÁRIOS — CONSERVADOR · PROVÁVEL · AGRESSIVO</t>
  </si>
  <si>
    <t xml:space="preserve">Os três cenários rodam sempre, lado a lado. As demais abas mostram em detalhe o cenário selecionado em Premissas. Esta aba é a única fonte de verdade dos números.</t>
  </si>
  <si>
    <t xml:space="preserve">CENÁRIO 1 — CONSERVADOR</t>
  </si>
  <si>
    <t xml:space="preserve">Saldo no último mês (dez/2030), não soma.</t>
  </si>
  <si>
    <t xml:space="preserve">Taxa de conversão (pagantes ÷ base)</t>
  </si>
  <si>
    <t xml:space="preserve">Receita — Plano Básico</t>
  </si>
  <si>
    <t xml:space="preserve">Receita — Plano Intermediário</t>
  </si>
  <si>
    <t xml:space="preserve">Receita — Plano Premium</t>
  </si>
  <si>
    <t xml:space="preserve">Receita de assinaturas</t>
  </si>
  <si>
    <t xml:space="preserve">Receita de marketplace (comissões)</t>
  </si>
  <si>
    <t xml:space="preserve">Receita B2B — Boston Scientific</t>
  </si>
  <si>
    <t xml:space="preserve">RBT12 — base de cálculo do Simples</t>
  </si>
  <si>
    <t xml:space="preserve">Alíquota efetiva média ponderada do período.</t>
  </si>
  <si>
    <t xml:space="preserve">(−) Pessoal (equipe PJ + pró-labore)</t>
  </si>
  <si>
    <t xml:space="preserve">EBITDA</t>
  </si>
  <si>
    <t xml:space="preserve">(−) Investimentos (CAPEX)</t>
  </si>
  <si>
    <t xml:space="preserve">Marcador — EBITDA já ficou positivo</t>
  </si>
  <si>
    <t xml:space="preserve">Fluxo de caixa do período</t>
  </si>
  <si>
    <t xml:space="preserve">CENÁRIO 2 — PROVÁVEL</t>
  </si>
  <si>
    <t xml:space="preserve">CENÁRIO 3 — AGRESSIVO</t>
  </si>
  <si>
    <t xml:space="preserve">INVESTIMENTOS (CAPEX) — CRONOGRAMA E AMORTIZAÇÃO</t>
  </si>
  <si>
    <t xml:space="preserve">Desembolsos de capital. Saem do caixa no mês do lançamento (aba Análise Fluxo) e são amortizados linearmente em 60 meses na DRE. Verde = já realizado.</t>
  </si>
  <si>
    <t xml:space="preserve">LANÇAMENTOS DE INVESTIMENTO</t>
  </si>
  <si>
    <t xml:space="preserve">Data</t>
  </si>
  <si>
    <t xml:space="preserve">Item</t>
  </si>
  <si>
    <t xml:space="preserve">Categoria</t>
  </si>
  <si>
    <t xml:space="preserve">Valor</t>
  </si>
  <si>
    <t xml:space="preserve">Status</t>
  </si>
  <si>
    <t xml:space="preserve">Constituição da empresa, registro de marca e assessoria jurídica</t>
  </si>
  <si>
    <t xml:space="preserve">Marca e jurídico</t>
  </si>
  <si>
    <t xml:space="preserve">Previsto</t>
  </si>
  <si>
    <t xml:space="preserve">2 notebooks Lenovo</t>
  </si>
  <si>
    <t xml:space="preserve">Realizado</t>
  </si>
  <si>
    <t xml:space="preserve">Fatos do brief: 2 notebooks Lenovo por R$ 9.127,82.</t>
  </si>
  <si>
    <t xml:space="preserve">Desenvolvimento do MVP — parcela 1/3</t>
  </si>
  <si>
    <t xml:space="preserve">Desenvolvimento</t>
  </si>
  <si>
    <t xml:space="preserve">Contratado</t>
  </si>
  <si>
    <t xml:space="preserve">Orçamento de R$ 21.000 da equipe PJ para entregar o MVP até outubro.</t>
  </si>
  <si>
    <t xml:space="preserve">Desenvolvimento do MVP — parcela 2/3</t>
  </si>
  <si>
    <t xml:space="preserve">Desenvolvimento do MVP — parcela 3/3</t>
  </si>
  <si>
    <t xml:space="preserve">Release v2 — atualizações de janeiro</t>
  </si>
  <si>
    <t xml:space="preserve">Adequação LGPD e segurança da informação</t>
  </si>
  <si>
    <t xml:space="preserve">Certificações</t>
  </si>
  <si>
    <t xml:space="preserve">Equipamentos — expansão da equipe</t>
  </si>
  <si>
    <t xml:space="preserve">Certificação de conformidade em saúde (SBIS / ANVISA se houver device)</t>
  </si>
  <si>
    <t xml:space="preserve">Evolução da plataforma — módulo marketplace</t>
  </si>
  <si>
    <t xml:space="preserve">Evolução da plataforma</t>
  </si>
  <si>
    <t xml:space="preserve">CRONOGRAMA MENSAL DE DESEMBOLSO</t>
  </si>
  <si>
    <t xml:space="preserve">TOTAL DE INVESTIMENTOS</t>
  </si>
  <si>
    <t xml:space="preserve">DEPRECIAÇÃO E AMORTIZAÇÃO (linear, 60 meses)</t>
  </si>
  <si>
    <t xml:space="preserve">Vida útil adotada (meses)</t>
  </si>
  <si>
    <t xml:space="preserve">Equipamentos de informática: 5 anos (20% a.a., IN RFB 1.700). Software e intangíveis amortizados no mesmo prazo.</t>
  </si>
  <si>
    <t xml:space="preserve">Investimento acumulado (base amortizável)</t>
  </si>
  <si>
    <t xml:space="preserve">Depreciação e amortização do mês</t>
  </si>
  <si>
    <t xml:space="preserve">Cada item começa a amortizar no mês seguinte ao desembolso.</t>
  </si>
  <si>
    <t xml:space="preserve">Saldo contábil do ativo (imobilizado + intangível)</t>
  </si>
  <si>
    <t xml:space="preserve">APORTES DE SÓCIOS — CRONOGRAMA E CAP TABLE</t>
  </si>
  <si>
    <t xml:space="preserve">Fatos em azul vêm do brief. 'Compromisso' = regra dos R$ 20.000 por fundador (R$ 10.000 ainda em 2026, saldo até 2027). 'Previsto' = negociação em curso, não assinada.</t>
  </si>
  <si>
    <t xml:space="preserve">LANÇAMENTOS</t>
  </si>
  <si>
    <t xml:space="preserve">Sócio</t>
  </si>
  <si>
    <t xml:space="preserve">Tipo</t>
  </si>
  <si>
    <t xml:space="preserve">Paulo Kapp</t>
  </si>
  <si>
    <t xml:space="preserve">Fundador</t>
  </si>
  <si>
    <t xml:space="preserve">Lucas Medina</t>
  </si>
  <si>
    <t xml:space="preserve">Felipe Toescher</t>
  </si>
  <si>
    <t xml:space="preserve">Lucas Iung</t>
  </si>
  <si>
    <t xml:space="preserve">C-ioT</t>
  </si>
  <si>
    <t xml:space="preserve">Novo sócio</t>
  </si>
  <si>
    <t xml:space="preserve">Felipe Martinelli</t>
  </si>
  <si>
    <t xml:space="preserve">Shaiane</t>
  </si>
  <si>
    <t xml:space="preserve">Compromisso</t>
  </si>
  <si>
    <t xml:space="preserve">RESUMO</t>
  </si>
  <si>
    <t xml:space="preserve">Realizado até 29/08/2026</t>
  </si>
  <si>
    <t xml:space="preserve">Compromisso de fundadores a integralizar</t>
  </si>
  <si>
    <t xml:space="preserve">Previsto — novos sócios (não assinado)</t>
  </si>
  <si>
    <t xml:space="preserve">Capital total do caso-base (sem Boston Scientific)</t>
  </si>
  <si>
    <t xml:space="preserve">(+) Aporte Boston Scientific, se ativo</t>
  </si>
  <si>
    <t xml:space="preserve">CONTROLE DO COMPROMISSO DOS FUNDADORES (R$ 20.000 cada · R$ 10.000 ainda em 2026)</t>
  </si>
  <si>
    <t xml:space="preserve">Meta total</t>
  </si>
  <si>
    <t xml:space="preserve">Aportado até 2026</t>
  </si>
  <si>
    <t xml:space="preserve">Aportado total</t>
  </si>
  <si>
    <t xml:space="preserve">Falta em 2026</t>
  </si>
  <si>
    <t xml:space="preserve">Falta total</t>
  </si>
  <si>
    <t xml:space="preserve">Paulo Kapp já integralizou os R$ 20.000. Os demais têm saldo a aportar.</t>
  </si>
  <si>
    <t xml:space="preserve">Aportes de fundadores</t>
  </si>
  <si>
    <t xml:space="preserve">Aportes de novos sócios</t>
  </si>
  <si>
    <t xml:space="preserve">Aporte Boston Scientific (se ativo)</t>
  </si>
  <si>
    <t xml:space="preserve">TOTAL DE APORTES NO MÊS</t>
  </si>
  <si>
    <t xml:space="preserve">Capital acumulado</t>
  </si>
  <si>
    <t xml:space="preserve">TRIBUTAÇÃO — SIMPLES NACIONAL E LUCRO PRESUMIDO</t>
  </si>
  <si>
    <t xml:space="preserve">Tabelas da LC 123/2006. A 'Tabela Ativa' é a que o modelo usa, conforme o regime escolhido em Premissas.</t>
  </si>
  <si>
    <t xml:space="preserve">ANEXO III — Serviços em geral (alíquota efetiva de 6% a ~19,5%)</t>
  </si>
  <si>
    <t xml:space="preserve">Faixa</t>
  </si>
  <si>
    <t xml:space="preserve">RBT12 — de</t>
  </si>
  <si>
    <t xml:space="preserve">RBT12 — até</t>
  </si>
  <si>
    <t xml:space="preserve">Alíquota nominal</t>
  </si>
  <si>
    <t xml:space="preserve">Parcela a deduzir</t>
  </si>
  <si>
    <t xml:space="preserve">Aplica-se a software/SaaS SOMENTE se o Fator R ≥ 28%.</t>
  </si>
  <si>
    <t xml:space="preserve">ANEXO V — Licenciamento/cessão de uso de software (Fator R &lt; 28%)</t>
  </si>
  <si>
    <t xml:space="preserve">Regra padrão para licenciamento de software quando o Fator R fica abaixo de 28%.</t>
  </si>
  <si>
    <t xml:space="preserve">TABELA ATIVA — selecionada pelo regime definido em Premissas</t>
  </si>
  <si>
    <t xml:space="preserve">FATOR R — o teste que decide entre Anexo III e Anexo V</t>
  </si>
  <si>
    <t xml:space="preserve">Fator R = (folha de salários + pró-labore + encargos dos últimos 12 meses) ÷ RBT12</t>
  </si>
  <si>
    <t xml:space="preserve">Fator R ≥ 28%  →  Anexo III (alíquota efetiva a partir de 6%)</t>
  </si>
  <si>
    <t xml:space="preserve">Fator R &lt; 28%   →  Anexo V (alíquota efetiva a partir de 15,5%)</t>
  </si>
  <si>
    <t xml:space="preserve">⚠ RISCO MATERIAL PARA A OPPA: pagamento a equipe PJ (prestadores de serviço) NÃO entra no cálculo do Fator R. Só contam folha CLT e pró-labore dos sócios. Com a estrutura descrita no brief — equipe PJ e pró-labore zero em 2026 — o Fator R fica próximo de 0% e a empresa cai no Anexo V, com alíquota inicial de 15,5% em vez de 6%.</t>
  </si>
  <si>
    <t xml:space="preserve">Como reverter: (a) registrar pró-labore relevante para os sócios; (b) contratar parte da equipe em regime CLT. Ambos aumentam o custo de folha, mas podem valer a pena pela economia tributária. O quadro abaixo compara os dois anexos no faturamento projetado.</t>
  </si>
  <si>
    <t xml:space="preserve">COMPARATIVO — alíquota efetiva por faixa de faturamento anual</t>
  </si>
  <si>
    <t xml:space="preserve">RBT12</t>
  </si>
  <si>
    <t xml:space="preserve">Anexo III efetivo</t>
  </si>
  <si>
    <t xml:space="preserve">Anexo V efetivo</t>
  </si>
  <si>
    <t xml:space="preserve">Diferença</t>
  </si>
  <si>
    <t xml:space="preserve">Custo anual da diferença</t>
  </si>
  <si>
    <t xml:space="preserve">Quanto a Oppa paga a mais por ano se cair no Anexo V em vez do Anexo III.</t>
  </si>
</sst>
</file>

<file path=xl/styles.xml><?xml version="1.0" encoding="utf-8"?>
<styleSheet xmlns="http://schemas.openxmlformats.org/spreadsheetml/2006/main">
  <numFmts count="15">
    <numFmt numFmtId="164" formatCode="General"/>
    <numFmt numFmtId="165" formatCode="#,##0;\(#,##0\);\–"/>
    <numFmt numFmtId="166" formatCode="&quot;R$ &quot;#,##0;&quot;(R$ &quot;#,##0\);\–"/>
    <numFmt numFmtId="167" formatCode="0.0%;\(0.0%\);\–"/>
    <numFmt numFmtId="168" formatCode="@"/>
    <numFmt numFmtId="169" formatCode="0.00%;\(0.00%\);\–"/>
    <numFmt numFmtId="170" formatCode="&quot;R$ &quot;#,##0.00;&quot;(R$ &quot;#,##0.00\);\–"/>
    <numFmt numFmtId="171" formatCode="0.0\x;\(0.0&quot;x)&quot;;\–"/>
    <numFmt numFmtId="172" formatCode="0.0"/>
    <numFmt numFmtId="173" formatCode="0"/>
    <numFmt numFmtId="174" formatCode="dd/mm/yyyy"/>
    <numFmt numFmtId="175" formatCode="mmm/yy"/>
    <numFmt numFmtId="176" formatCode="0.00%"/>
    <numFmt numFmtId="177" formatCode="0.0;\(0.0\);\–"/>
    <numFmt numFmtId="178" formatCode="0;\(0\);\–"/>
  </numFmts>
  <fonts count="3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9"/>
      <color rgb="FF008000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8"/>
      <color rgb="FF595959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C00000"/>
      <name val="Arial"/>
      <family val="0"/>
      <charset val="1"/>
    </font>
    <font>
      <sz val="9"/>
      <color rgb="FF595959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i val="true"/>
      <sz val="10"/>
      <color rgb="FF000000"/>
      <name val="Arial"/>
      <family val="0"/>
      <charset val="1"/>
    </font>
    <font>
      <b val="true"/>
      <sz val="9"/>
      <color rgb="FF000000"/>
      <name val="Arial"/>
      <family val="0"/>
      <charset val="1"/>
    </font>
    <font>
      <sz val="10"/>
      <name val="Arial"/>
      <family val="2"/>
    </font>
    <font>
      <b val="true"/>
      <sz val="9"/>
      <color rgb="FF595959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8"/>
      <color rgb="FF595959"/>
      <name val="Arial"/>
      <family val="0"/>
      <charset val="1"/>
    </font>
    <font>
      <sz val="8"/>
      <color rgb="FFBFBFBF"/>
      <name val="Arial"/>
      <family val="0"/>
      <charset val="1"/>
    </font>
    <font>
      <sz val="10"/>
      <color rgb="FF008000"/>
      <name val="Arial"/>
      <family val="0"/>
      <charset val="1"/>
    </font>
    <font>
      <sz val="9"/>
      <color rgb="FF008000"/>
      <name val="Arial"/>
      <family val="0"/>
      <charset val="1"/>
    </font>
    <font>
      <sz val="10"/>
      <color rgb="FF595959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9"/>
      <color rgb="FFC00000"/>
      <name val="Arial"/>
      <family val="0"/>
      <charset val="1"/>
    </font>
    <font>
      <b val="true"/>
      <sz val="9"/>
      <color rgb="FF0000FF"/>
      <name val="Arial"/>
      <family val="0"/>
      <charset val="1"/>
    </font>
    <font>
      <sz val="9"/>
      <color rgb="FFBF8F00"/>
      <name val="Arial"/>
      <family val="0"/>
      <charset val="1"/>
    </font>
    <font>
      <i val="true"/>
      <sz val="9"/>
      <color rgb="FF000000"/>
      <name val="Arial"/>
      <family val="0"/>
      <charset val="1"/>
    </font>
    <font>
      <sz val="9"/>
      <color rgb="FF0000FF"/>
      <name val="Arial"/>
      <family val="0"/>
      <charset val="1"/>
    </font>
    <font>
      <i val="true"/>
      <sz val="9"/>
      <color rgb="FFC00000"/>
      <name val="Arial"/>
      <family val="0"/>
      <charset val="1"/>
    </font>
  </fonts>
  <fills count="12">
    <fill>
      <patternFill patternType="none"/>
    </fill>
    <fill>
      <patternFill patternType="gray125"/>
    </fill>
    <fill>
      <patternFill patternType="solid">
        <fgColor rgb="FF1F3864"/>
        <bgColor rgb="FF404040"/>
      </patternFill>
    </fill>
    <fill>
      <patternFill patternType="solid">
        <fgColor rgb="FF404040"/>
        <bgColor rgb="FF1F3864"/>
      </patternFill>
    </fill>
    <fill>
      <patternFill patternType="solid">
        <fgColor rgb="FFC00000"/>
        <bgColor rgb="FF800000"/>
      </patternFill>
    </fill>
    <fill>
      <patternFill patternType="solid">
        <fgColor rgb="FF1F7040"/>
        <bgColor rgb="FF008000"/>
      </patternFill>
    </fill>
    <fill>
      <patternFill patternType="solid">
        <fgColor rgb="FF2E5C8A"/>
        <bgColor rgb="FF595959"/>
      </patternFill>
    </fill>
    <fill>
      <patternFill patternType="solid">
        <fgColor rgb="FFBDD7EE"/>
        <bgColor rgb="FFD9E2F3"/>
      </patternFill>
    </fill>
    <fill>
      <patternFill patternType="solid">
        <fgColor rgb="FFFFFF00"/>
        <bgColor rgb="FFFFFF00"/>
      </patternFill>
    </fill>
    <fill>
      <patternFill patternType="solid">
        <fgColor rgb="FFD9E2F3"/>
        <bgColor rgb="FFE2EFDA"/>
      </patternFill>
    </fill>
    <fill>
      <patternFill patternType="solid">
        <fgColor rgb="FFE2EFDA"/>
        <bgColor rgb="FFD9E2F3"/>
      </patternFill>
    </fill>
    <fill>
      <patternFill patternType="solid">
        <fgColor rgb="FFFCE4D6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center" textRotation="0" wrapText="false" indent="1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false" indent="1" shrinkToFit="false"/>
      <protection locked="true" hidden="false"/>
    </xf>
    <xf numFmtId="164" fontId="6" fillId="3" borderId="0" xfId="0" applyFont="true" applyBorder="false" applyAlignment="true" applyProtection="false">
      <alignment horizontal="general" vertical="center" textRotation="0" wrapText="false" indent="1" shrinkToFit="false"/>
      <protection locked="true" hidden="false"/>
    </xf>
    <xf numFmtId="164" fontId="6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1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center" textRotation="0" wrapText="false" indent="1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center" textRotation="0" wrapText="false" indent="1" shrinkToFit="false"/>
      <protection locked="true" hidden="false"/>
    </xf>
    <xf numFmtId="166" fontId="10" fillId="7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7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1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2" borderId="0" xfId="0" applyFont="true" applyBorder="false" applyAlignment="true" applyProtection="false">
      <alignment horizontal="general" vertical="center" textRotation="0" wrapText="false" indent="1" shrinkToFit="false"/>
      <protection locked="true" hidden="false"/>
    </xf>
    <xf numFmtId="164" fontId="12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2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2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0" fontId="10" fillId="7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10" fillId="7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10" fillId="7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10" fillId="7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1" shrinkToFit="false"/>
      <protection locked="true" hidden="false"/>
    </xf>
    <xf numFmtId="164" fontId="14" fillId="0" borderId="0" xfId="0" applyFont="true" applyBorder="true" applyAlignment="true" applyProtection="false">
      <alignment horizontal="general" vertical="top" textRotation="0" wrapText="true" indent="2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3" fontId="6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15" fillId="8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4" fontId="15" fillId="9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5" fillId="9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5" fontId="15" fillId="8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5" fillId="8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5" fillId="9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5" fillId="9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15" fillId="8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5" fillId="9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center" textRotation="0" wrapText="false" indent="2" shrinkToFit="false"/>
      <protection locked="true" hidden="false"/>
    </xf>
    <xf numFmtId="167" fontId="1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1" shrinkToFit="false"/>
      <protection locked="true" hidden="false"/>
    </xf>
    <xf numFmtId="165" fontId="15" fillId="8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15" fillId="9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6" fontId="15" fillId="9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5" fontId="15" fillId="9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5" fillId="8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false" indent="1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21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1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2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2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center" textRotation="0" wrapText="false" indent="1" shrinkToFit="false"/>
      <protection locked="true" hidden="false"/>
    </xf>
    <xf numFmtId="166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8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7" fontId="18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center" textRotation="0" wrapText="false" indent="1" shrinkToFit="false"/>
      <protection locked="true" hidden="false"/>
    </xf>
    <xf numFmtId="166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center" textRotation="0" wrapText="false" indent="1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18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8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8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7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0" fillId="7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2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2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2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8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8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8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4" fontId="27" fillId="0" borderId="1" xfId="0" applyFont="true" applyBorder="true" applyAlignment="true" applyProtection="false">
      <alignment horizontal="center" vertical="bottom" textRotation="0" wrapText="false" indent="1" shrinkToFit="false"/>
      <protection locked="true" hidden="false"/>
    </xf>
    <xf numFmtId="164" fontId="27" fillId="0" borderId="1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27" fillId="0" borderId="1" xfId="0" applyFont="true" applyBorder="true" applyAlignment="true" applyProtection="false">
      <alignment horizontal="center" vertical="bottom" textRotation="0" wrapText="false" indent="1" shrinkToFit="false"/>
      <protection locked="true" hidden="false"/>
    </xf>
    <xf numFmtId="170" fontId="27" fillId="0" borderId="1" xfId="0" applyFont="true" applyBorder="true" applyAlignment="true" applyProtection="false">
      <alignment horizontal="center" vertical="bottom" textRotation="0" wrapText="false" indent="1" shrinkToFit="false"/>
      <protection locked="true" hidden="false"/>
    </xf>
    <xf numFmtId="174" fontId="29" fillId="10" borderId="1" xfId="0" applyFont="true" applyBorder="true" applyAlignment="true" applyProtection="false">
      <alignment horizontal="center" vertical="bottom" textRotation="0" wrapText="false" indent="1" shrinkToFit="false"/>
      <protection locked="true" hidden="false"/>
    </xf>
    <xf numFmtId="164" fontId="29" fillId="10" borderId="1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29" fillId="10" borderId="1" xfId="0" applyFont="true" applyBorder="true" applyAlignment="true" applyProtection="false">
      <alignment horizontal="center" vertical="bottom" textRotation="0" wrapText="false" indent="1" shrinkToFit="false"/>
      <protection locked="true" hidden="false"/>
    </xf>
    <xf numFmtId="170" fontId="29" fillId="10" borderId="1" xfId="0" applyFont="true" applyBorder="true" applyAlignment="true" applyProtection="false">
      <alignment horizontal="center" vertical="bottom" textRotation="0" wrapText="false" indent="1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29" fillId="1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29" fillId="1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9" fillId="1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4" fontId="30" fillId="11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0" fillId="11" borderId="1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6" fontId="30" fillId="11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0" fillId="11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4" fontId="2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2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0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3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8" fillId="0" borderId="1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6" fontId="32" fillId="0" borderId="1" xfId="0" applyFont="true" applyBorder="true" applyAlignment="true" applyProtection="false">
      <alignment horizontal="center" vertical="bottom" textRotation="0" wrapText="false" indent="1" shrinkToFit="false"/>
      <protection locked="true" hidden="false"/>
    </xf>
    <xf numFmtId="166" fontId="27" fillId="0" borderId="1" xfId="0" applyFont="true" applyBorder="true" applyAlignment="true" applyProtection="false">
      <alignment horizontal="center" vertical="bottom" textRotation="0" wrapText="false" indent="1" shrinkToFit="false"/>
      <protection locked="true" hidden="false"/>
    </xf>
    <xf numFmtId="165" fontId="32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32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32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9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9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7" fillId="9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0" fillId="0" borderId="0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33" fillId="0" borderId="0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9" fontId="2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2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F7040"/>
      <rgbColor rgb="FFBFBFBF"/>
      <rgbColor rgb="FF808080"/>
      <rgbColor rgb="FF9999FF"/>
      <rgbColor rgb="FF7030A0"/>
      <rgbColor rgb="FFFCE4D6"/>
      <rgbColor rgb="FFD9E2F3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BF8F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2E5C8A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H7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52"/>
    <col collapsed="false" customWidth="true" hidden="false" outlineLevel="0" max="5" min="3" style="0" width="21"/>
    <col collapsed="false" customWidth="true" hidden="false" outlineLevel="0" max="6" min="6" style="0" width="4"/>
    <col collapsed="false" customWidth="true" hidden="false" outlineLevel="0" max="7" min="7" style="0" width="60"/>
    <col collapsed="false" customWidth="true" hidden="false" outlineLevel="0" max="8" min="8" style="0" width="4"/>
  </cols>
  <sheetData>
    <row r="1" customFormat="false" ht="25.5" hidden="false" customHeight="true" outlineLevel="0" collapsed="false">
      <c r="A1" s="1" t="s">
        <v>0</v>
      </c>
      <c r="B1" s="2"/>
      <c r="C1" s="2"/>
      <c r="D1" s="2"/>
      <c r="E1" s="2"/>
      <c r="F1" s="2"/>
      <c r="G1" s="2"/>
      <c r="H1" s="2"/>
    </row>
    <row r="2" customFormat="false" ht="15.75" hidden="false" customHeight="true" outlineLevel="0" collapsed="false">
      <c r="A2" s="3" t="s">
        <v>1</v>
      </c>
    </row>
    <row r="4" customFormat="false" ht="21.75" hidden="false" customHeight="true" outlineLevel="0" collapsed="false">
      <c r="B4" s="4" t="s">
        <v>2</v>
      </c>
      <c r="C4" s="5" t="s">
        <v>3</v>
      </c>
      <c r="D4" s="6" t="s">
        <v>4</v>
      </c>
      <c r="E4" s="7" t="s">
        <v>5</v>
      </c>
    </row>
    <row r="5" customFormat="false" ht="15" hidden="false" customHeight="false" outlineLevel="0" collapsed="false">
      <c r="B5" s="8" t="s">
        <v>6</v>
      </c>
      <c r="C5" s="9" t="str">
        <f aca="false">IF(Premissas!$B$6=1,"◀ ATIVO","")</f>
        <v/>
      </c>
      <c r="D5" s="9" t="str">
        <f aca="false">IF(Premissas!$B$6=2,"◀ ATIVO","")</f>
        <v>◀ ATIVO</v>
      </c>
      <c r="E5" s="9" t="str">
        <f aca="false">IF(Premissas!$B$6=3,"◀ ATIVO","")</f>
        <v/>
      </c>
    </row>
    <row r="7" customFormat="false" ht="18" hidden="false" customHeight="true" outlineLevel="0" collapsed="false">
      <c r="A7" s="10" t="s">
        <v>7</v>
      </c>
      <c r="B7" s="11"/>
      <c r="C7" s="11"/>
      <c r="D7" s="11"/>
      <c r="E7" s="11"/>
    </row>
    <row r="8" customFormat="false" ht="15" hidden="false" customHeight="false" outlineLevel="0" collapsed="false">
      <c r="B8" s="12" t="s">
        <v>8</v>
      </c>
      <c r="C8" s="13" t="n">
        <f aca="false">Cenários!$M$13</f>
        <v>29430.6</v>
      </c>
      <c r="D8" s="13" t="n">
        <f aca="false">Cenários!$M$57</f>
        <v>50071.84</v>
      </c>
      <c r="E8" s="13" t="n">
        <f aca="false">Cenários!$M$101</f>
        <v>71550.024</v>
      </c>
      <c r="G8" s="14" t="s">
        <v>9</v>
      </c>
    </row>
    <row r="9" customFormat="false" ht="15" hidden="false" customHeight="false" outlineLevel="0" collapsed="false">
      <c r="B9" s="12" t="s">
        <v>10</v>
      </c>
      <c r="C9" s="13" t="n">
        <f aca="false">Cenários!$BI$13</f>
        <v>599702.762306079</v>
      </c>
      <c r="D9" s="13" t="n">
        <f aca="false">Cenários!$BI$57</f>
        <v>1210528.15237494</v>
      </c>
      <c r="E9" s="13" t="n">
        <f aca="false">Cenários!$BI$101</f>
        <v>2166808.5625586</v>
      </c>
    </row>
    <row r="10" customFormat="false" ht="15" hidden="false" customHeight="false" outlineLevel="0" collapsed="false">
      <c r="B10" s="12" t="s">
        <v>11</v>
      </c>
      <c r="C10" s="13" t="n">
        <f aca="false">Cenários!$M$15</f>
        <v>883</v>
      </c>
      <c r="D10" s="13" t="n">
        <f aca="false">Cenários!$M$59</f>
        <v>2504</v>
      </c>
      <c r="E10" s="13" t="n">
        <f aca="false">Cenários!$M$103</f>
        <v>5009</v>
      </c>
      <c r="G10" s="14" t="s">
        <v>12</v>
      </c>
    </row>
    <row r="11" customFormat="false" ht="15" hidden="false" customHeight="false" outlineLevel="0" collapsed="false">
      <c r="B11" s="12" t="s">
        <v>13</v>
      </c>
      <c r="C11" s="13" t="n">
        <f aca="false">Cenários!$BI$15</f>
        <v>26987</v>
      </c>
      <c r="D11" s="13" t="n">
        <f aca="false">Cenários!$BI$59</f>
        <v>84737</v>
      </c>
      <c r="E11" s="13" t="n">
        <f aca="false">Cenários!$BI$103</f>
        <v>216681</v>
      </c>
    </row>
    <row r="12" customFormat="false" ht="15" hidden="false" customHeight="false" outlineLevel="0" collapsed="false">
      <c r="B12" s="12" t="s">
        <v>14</v>
      </c>
      <c r="C12" s="15" t="n">
        <f aca="false">SUMIFS(Cenários!$B$25:$BI$25,Cenários!$B$6:$BI$6,2026)</f>
        <v>49157.2</v>
      </c>
      <c r="D12" s="15" t="n">
        <f aca="false">SUMIFS(Cenários!$B$69:$BI$69,Cenários!$B$6:$BI$6,2026)</f>
        <v>138385.3</v>
      </c>
      <c r="E12" s="15" t="n">
        <f aca="false">SUMIFS(Cenários!$B$113:$BI$113,Cenários!$B$6:$BI$6,2026)</f>
        <v>274957.6</v>
      </c>
    </row>
    <row r="13" customFormat="false" ht="15" hidden="false" customHeight="false" outlineLevel="0" collapsed="false">
      <c r="B13" s="12" t="s">
        <v>15</v>
      </c>
      <c r="C13" s="15" t="n">
        <f aca="false">SUMIFS(Cenários!$B$25:$BI$25,Cenários!$B$6:$BI$6,2030)</f>
        <v>12194378.9949588</v>
      </c>
      <c r="D13" s="15" t="n">
        <f aca="false">SUMIFS(Cenários!$B$69:$BI$69,Cenários!$B$6:$BI$6,2030)</f>
        <v>36507104.2275836</v>
      </c>
      <c r="E13" s="15" t="n">
        <f aca="false">SUMIFS(Cenários!$B$113:$BI$113,Cenários!$B$6:$BI$6,2030)</f>
        <v>90891765.8206448</v>
      </c>
    </row>
    <row r="14" customFormat="false" ht="15" hidden="false" customHeight="false" outlineLevel="0" collapsed="false">
      <c r="B14" s="16" t="s">
        <v>16</v>
      </c>
      <c r="C14" s="17" t="n">
        <f aca="false">SUM(Cenários!$B$25:$BI$25)</f>
        <v>22942885.5446828</v>
      </c>
      <c r="D14" s="17" t="n">
        <f aca="false">SUM(Cenários!$B$69:$BI$69)</f>
        <v>67631238.93492</v>
      </c>
      <c r="E14" s="17" t="n">
        <f aca="false">SUM(Cenários!$B$113:$BI$113)</f>
        <v>165161879.352796</v>
      </c>
    </row>
    <row r="16" customFormat="false" ht="18" hidden="false" customHeight="true" outlineLevel="0" collapsed="false">
      <c r="A16" s="10" t="s">
        <v>17</v>
      </c>
      <c r="B16" s="11"/>
      <c r="C16" s="11"/>
      <c r="D16" s="11"/>
      <c r="E16" s="11"/>
    </row>
    <row r="17" customFormat="false" ht="15" hidden="false" customHeight="false" outlineLevel="0" collapsed="false">
      <c r="B17" s="12" t="s">
        <v>18</v>
      </c>
      <c r="C17" s="15" t="n">
        <f aca="false">SUMIFS(Cenários!$B$37:$BI$37,Cenários!$B$6:$BI$6,2026)</f>
        <v>-116479.3181</v>
      </c>
      <c r="D17" s="15" t="n">
        <f aca="false">SUMIFS(Cenários!$B$81:$BI$81,Cenários!$B$6:$BI$6,2026)</f>
        <v>-55298.531325</v>
      </c>
      <c r="E17" s="15" t="n">
        <f aca="false">SUMIFS(Cenários!$B$125:$BI$125,Cenários!$B$6:$BI$6,2026)</f>
        <v>59795.17372</v>
      </c>
    </row>
    <row r="18" customFormat="false" ht="15" hidden="false" customHeight="false" outlineLevel="0" collapsed="false">
      <c r="B18" s="12" t="s">
        <v>19</v>
      </c>
      <c r="C18" s="15" t="n">
        <f aca="false">SUMIFS(Cenários!$B$37:$BI$37,Cenários!$B$6:$BI$6,2030)</f>
        <v>-7341446.91329174</v>
      </c>
      <c r="D18" s="15" t="n">
        <f aca="false">SUMIFS(Cenários!$B$81:$BI$81,Cenários!$B$6:$BI$6,2030)</f>
        <v>9635981.40849778</v>
      </c>
      <c r="E18" s="15" t="n">
        <f aca="false">SUMIFS(Cenários!$B$125:$BI$125,Cenários!$B$6:$BI$6,2030)</f>
        <v>47130109.2564221</v>
      </c>
    </row>
    <row r="19" customFormat="false" ht="15" hidden="false" customHeight="false" outlineLevel="0" collapsed="false">
      <c r="B19" s="16" t="s">
        <v>20</v>
      </c>
      <c r="C19" s="17" t="n">
        <f aca="false">SUM(Cenários!$B$37:$BI$37)</f>
        <v>-14588423.5383555</v>
      </c>
      <c r="D19" s="17" t="n">
        <f aca="false">SUM(Cenários!$B$81:$BI$81)</f>
        <v>16242269.3236971</v>
      </c>
      <c r="E19" s="17" t="n">
        <f aca="false">SUM(Cenários!$B$125:$BI$125)</f>
        <v>82993869.9182161</v>
      </c>
    </row>
    <row r="20" customFormat="false" ht="15" hidden="false" customHeight="false" outlineLevel="0" collapsed="false">
      <c r="B20" s="12" t="s">
        <v>21</v>
      </c>
      <c r="C20" s="18" t="n">
        <f aca="false">IFERROR(C18/C13,0)</f>
        <v>-0.602035324334818</v>
      </c>
      <c r="D20" s="18" t="n">
        <f aca="false">IFERROR(D18/D13,0)</f>
        <v>0.263948116739896</v>
      </c>
      <c r="E20" s="18" t="n">
        <f aca="false">IFERROR(E18/E13,0)</f>
        <v>0.518530021183912</v>
      </c>
    </row>
    <row r="21" customFormat="false" ht="15" hidden="false" customHeight="false" outlineLevel="0" collapsed="false">
      <c r="B21" s="12" t="s">
        <v>22</v>
      </c>
      <c r="C21" s="19" t="str">
        <f aca="false">IF(SUM(Cenários!$B$43:$BI$43)=0,"não atinge",CHOOSE(MOD(60-SUM(Cenários!$B$43:$BI$43),12)+1,"jan","fev","mar","abr","mai","jun","jul","ago","set","out","nov","dez")&amp;"/"&amp;(2026+INT((60-SUM(Cenários!$B$43:$BI$43))/12)))</f>
        <v>não atinge</v>
      </c>
      <c r="D21" s="19" t="str">
        <f aca="false">IF(SUM(Cenários!$B$87:$BI$87)=0,"não atinge",CHOOSE(MOD(60-SUM(Cenários!$B$87:$BI$87),12)+1,"jan","fev","mar","abr","mai","jun","jul","ago","set","out","nov","dez")&amp;"/"&amp;(2026+INT((60-SUM(Cenários!$B$87:$BI$87))/12)))</f>
        <v>dez/2026</v>
      </c>
      <c r="E21" s="19" t="str">
        <f aca="false">IF(SUM(Cenários!$B$131:$BI$131)=0,"não atinge",CHOOSE(MOD(60-SUM(Cenários!$B$131:$BI$131),12)+1,"jan","fev","mar","abr","mai","jun","jul","ago","set","out","nov","dez")&amp;"/"&amp;(2026+INT((60-SUM(Cenários!$B$131:$BI$131))/12)))</f>
        <v>nov/2026</v>
      </c>
      <c r="G21" s="14" t="s">
        <v>23</v>
      </c>
    </row>
    <row r="23" customFormat="false" ht="18" hidden="false" customHeight="true" outlineLevel="0" collapsed="false">
      <c r="A23" s="10" t="s">
        <v>24</v>
      </c>
      <c r="B23" s="11"/>
      <c r="C23" s="11"/>
      <c r="D23" s="11"/>
      <c r="E23" s="11"/>
    </row>
    <row r="24" customFormat="false" ht="15" hidden="false" customHeight="false" outlineLevel="0" collapsed="false">
      <c r="B24" s="12" t="s">
        <v>25</v>
      </c>
      <c r="C24" s="15" t="n">
        <f aca="false">-SUM(Cenários!$B$38:$BI$38)</f>
        <v>339127.82</v>
      </c>
      <c r="D24" s="15" t="n">
        <f aca="false">-SUM(Cenários!$B$82:$BI$82)</f>
        <v>339127.82</v>
      </c>
      <c r="E24" s="15" t="n">
        <f aca="false">-SUM(Cenários!$B$126:$BI$126)</f>
        <v>339127.82</v>
      </c>
    </row>
    <row r="25" customFormat="false" ht="15" hidden="false" customHeight="false" outlineLevel="0" collapsed="false">
      <c r="B25" s="16" t="s">
        <v>26</v>
      </c>
      <c r="C25" s="17" t="n">
        <f aca="false">-MIN(Cenários!$B$42:$BI$42)</f>
        <v>14927551.3583555</v>
      </c>
      <c r="D25" s="17" t="n">
        <f aca="false">-MIN(Cenários!$B$86:$BI$86)</f>
        <v>145628.113484163</v>
      </c>
      <c r="E25" s="17" t="n">
        <f aca="false">-MIN(Cenários!$B$130:$BI$130)</f>
        <v>70167.78505</v>
      </c>
      <c r="G25" s="14" t="s">
        <v>27</v>
      </c>
    </row>
    <row r="26" customFormat="false" ht="15" hidden="false" customHeight="false" outlineLevel="0" collapsed="false">
      <c r="B26" s="12" t="s">
        <v>28</v>
      </c>
      <c r="C26" s="15" t="n">
        <f aca="false">SUM(Aportes!$B$48:$BI$48)</f>
        <v>200000</v>
      </c>
      <c r="D26" s="15" t="n">
        <f aca="false">SUM(Aportes!$B$48:$BI$48)</f>
        <v>200000</v>
      </c>
      <c r="E26" s="15" t="n">
        <f aca="false">SUM(Aportes!$B$48:$BI$48)</f>
        <v>200000</v>
      </c>
    </row>
    <row r="27" customFormat="false" ht="15" hidden="false" customHeight="false" outlineLevel="0" collapsed="false">
      <c r="B27" s="16" t="s">
        <v>29</v>
      </c>
      <c r="C27" s="17" t="n">
        <f aca="false">MIN(Cenários!$B$46:$BI$46)</f>
        <v>-14727551.3583555</v>
      </c>
      <c r="D27" s="17" t="n">
        <f aca="false">MIN(Cenários!$B$90:$BI$90)</f>
        <v>-8127.82</v>
      </c>
      <c r="E27" s="17" t="n">
        <f aca="false">MIN(Cenários!$B$134:$BI$134)</f>
        <v>-8127.82</v>
      </c>
      <c r="G27" s="14" t="s">
        <v>30</v>
      </c>
    </row>
    <row r="28" customFormat="false" ht="15" hidden="false" customHeight="false" outlineLevel="0" collapsed="false">
      <c r="B28" s="12" t="s">
        <v>31</v>
      </c>
      <c r="C28" s="15" t="n">
        <f aca="false">Cenários!$BI$46</f>
        <v>-14727551.3583555</v>
      </c>
      <c r="D28" s="15" t="n">
        <f aca="false">Cenários!$BI$90</f>
        <v>16103141.5036971</v>
      </c>
      <c r="E28" s="15" t="n">
        <f aca="false">Cenários!$BI$134</f>
        <v>82854742.0982161</v>
      </c>
    </row>
    <row r="30" customFormat="false" ht="18" hidden="false" customHeight="true" outlineLevel="0" collapsed="false">
      <c r="A30" s="10" t="s">
        <v>32</v>
      </c>
      <c r="B30" s="11"/>
      <c r="C30" s="11"/>
      <c r="D30" s="11"/>
      <c r="E30" s="11"/>
    </row>
    <row r="31" customFormat="false" ht="15" hidden="false" customHeight="false" outlineLevel="0" collapsed="false">
      <c r="B31" s="16" t="s">
        <v>33</v>
      </c>
      <c r="C31" s="17" t="n">
        <f aca="false">NPV(Premissas!$B$12,Cenários!$B$39:$BI$39)</f>
        <v>-6655127.68299067</v>
      </c>
      <c r="D31" s="17" t="n">
        <f aca="false">NPV(Premissas!$B$12,Cenários!$B$83:$BI$83)</f>
        <v>6443408.55676655</v>
      </c>
      <c r="E31" s="17" t="n">
        <f aca="false">NPV(Premissas!$B$12,Cenários!$B$127:$BI$127)</f>
        <v>34684523.6048338</v>
      </c>
      <c r="G31" s="14" t="s">
        <v>34</v>
      </c>
    </row>
    <row r="32" customFormat="false" ht="15" hidden="false" customHeight="false" outlineLevel="0" collapsed="false">
      <c r="B32" s="12" t="s">
        <v>35</v>
      </c>
      <c r="C32" s="20" t="str">
        <f aca="false">IFERROR(IRR(Cenários!$B$39:$BI$39),"n/d")</f>
        <v>n/d</v>
      </c>
      <c r="D32" s="20" t="n">
        <f aca="false">IFERROR(IRR(Cenários!$B$83:$BI$83),"n/d")</f>
        <v>0.182972057270098</v>
      </c>
      <c r="E32" s="20" t="n">
        <f aca="false">IFERROR(IRR(Cenários!$B$127:$BI$127),"n/d")</f>
        <v>0.486132777990058</v>
      </c>
    </row>
    <row r="33" customFormat="false" ht="15" hidden="false" customHeight="false" outlineLevel="0" collapsed="false">
      <c r="B33" s="16" t="s">
        <v>36</v>
      </c>
      <c r="C33" s="21" t="str">
        <f aca="false">IFERROR((1+C32)^12-1,"n/d")</f>
        <v>n/d</v>
      </c>
      <c r="D33" s="21" t="n">
        <f aca="false">IFERROR((1+D32)^12-1,"n/d")</f>
        <v>6.51093210962297</v>
      </c>
      <c r="E33" s="21" t="n">
        <f aca="false">IFERROR((1+E32)^12-1,"n/d")</f>
        <v>115.062349112703</v>
      </c>
      <c r="G33" s="14" t="s">
        <v>37</v>
      </c>
    </row>
    <row r="34" customFormat="false" ht="15" hidden="false" customHeight="false" outlineLevel="0" collapsed="false">
      <c r="B34" s="12" t="s">
        <v>38</v>
      </c>
      <c r="C34" s="13" t="str">
        <f aca="false">IF(Cenários!$BI$42&lt;0,"&gt; 60",COUNTIF(Cenários!$B$42:$BI$42,"&lt;0")+1)</f>
        <v>&gt; 60</v>
      </c>
      <c r="D34" s="13" t="n">
        <f aca="false">IF(Cenários!$BI$86&lt;0,"&gt; 60",COUNTIF(Cenários!$B$86:$BI$86,"&lt;0")+1)</f>
        <v>17</v>
      </c>
      <c r="E34" s="13" t="n">
        <f aca="false">IF(Cenários!$BI$130&lt;0,"&gt; 60",COUNTIF(Cenários!$B$130:$BI$130,"&lt;0")+1)</f>
        <v>9</v>
      </c>
    </row>
    <row r="35" customFormat="false" ht="15" hidden="false" customHeight="false" outlineLevel="0" collapsed="false">
      <c r="B35" s="12" t="s">
        <v>39</v>
      </c>
      <c r="C35" s="13" t="str">
        <f aca="false">IF(Cenários!$BI$41&lt;0,"&gt; 60",COUNTIF(Cenários!$B$41:$BI$41,"&lt;0")+1)</f>
        <v>&gt; 60</v>
      </c>
      <c r="D35" s="13" t="n">
        <f aca="false">IF(Cenários!$BI$85&lt;0,"&gt; 60",COUNTIF(Cenários!$B$85:$BI$85,"&lt;0")+1)</f>
        <v>17</v>
      </c>
      <c r="E35" s="13" t="n">
        <f aca="false">IF(Cenários!$BI$129&lt;0,"&gt; 60",COUNTIF(Cenários!$B$129:$BI$129,"&lt;0")+1)</f>
        <v>9</v>
      </c>
      <c r="G35" s="14" t="s">
        <v>40</v>
      </c>
    </row>
    <row r="36" customFormat="false" ht="15" hidden="false" customHeight="false" outlineLevel="0" collapsed="false">
      <c r="B36" s="12" t="s">
        <v>41</v>
      </c>
      <c r="C36" s="15" t="n">
        <f aca="false">SUM(Cenários!$B$39:$BI$39)</f>
        <v>-14927551.3583555</v>
      </c>
      <c r="D36" s="15" t="n">
        <f aca="false">SUM(Cenários!$B$83:$BI$83)</f>
        <v>15903141.5036971</v>
      </c>
      <c r="E36" s="15" t="n">
        <f aca="false">SUM(Cenários!$B$127:$BI$127)</f>
        <v>82654742.0982161</v>
      </c>
    </row>
    <row r="37" customFormat="false" ht="15" hidden="false" customHeight="false" outlineLevel="0" collapsed="false">
      <c r="B37" s="12" t="s">
        <v>42</v>
      </c>
      <c r="C37" s="18" t="n">
        <f aca="false">IFERROR(C36/C25,0)</f>
        <v>-1</v>
      </c>
      <c r="D37" s="18" t="n">
        <f aca="false">IFERROR(D36/D25,0)</f>
        <v>109.203787120586</v>
      </c>
      <c r="E37" s="18" t="n">
        <f aca="false">IFERROR(E36/E25,0)</f>
        <v>1177.95854663673</v>
      </c>
    </row>
    <row r="39" customFormat="false" ht="18" hidden="false" customHeight="true" outlineLevel="0" collapsed="false">
      <c r="A39" s="10" t="s">
        <v>43</v>
      </c>
      <c r="B39" s="11"/>
      <c r="C39" s="11"/>
      <c r="D39" s="11"/>
      <c r="E39" s="11"/>
    </row>
    <row r="40" customFormat="false" ht="15" hidden="false" customHeight="false" outlineLevel="0" collapsed="false">
      <c r="B40" s="22" t="s">
        <v>44</v>
      </c>
      <c r="C40" s="23" t="str">
        <f aca="false">IF(C27&gt;=0,"SIM","NÃO")</f>
        <v>NÃO</v>
      </c>
      <c r="D40" s="23" t="str">
        <f aca="false">IF(D27&gt;=0,"SIM","NÃO")</f>
        <v>NÃO</v>
      </c>
      <c r="E40" s="23" t="str">
        <f aca="false">IF(E27&gt;=0,"SIM","NÃO")</f>
        <v>NÃO</v>
      </c>
    </row>
    <row r="41" customFormat="false" ht="15" hidden="false" customHeight="false" outlineLevel="0" collapsed="false">
      <c r="B41" s="22" t="s">
        <v>45</v>
      </c>
      <c r="C41" s="23" t="str">
        <f aca="false">IF(C31&gt;0,"SIM","NÃO")</f>
        <v>NÃO</v>
      </c>
      <c r="D41" s="23" t="str">
        <f aca="false">IF(D31&gt;0,"SIM","NÃO")</f>
        <v>SIM</v>
      </c>
      <c r="E41" s="23" t="str">
        <f aca="false">IF(E31&gt;0,"SIM","NÃO")</f>
        <v>SIM</v>
      </c>
    </row>
    <row r="42" customFormat="false" ht="15" hidden="false" customHeight="false" outlineLevel="0" collapsed="false">
      <c r="B42" s="22" t="s">
        <v>46</v>
      </c>
      <c r="C42" s="23" t="str">
        <f aca="false">IF(N(C33)&gt;Premissas!$B$11,"SIM","NÃO")</f>
        <v>NÃO</v>
      </c>
      <c r="D42" s="23" t="str">
        <f aca="false">IF(N(D33)&gt;Premissas!$B$11,"SIM","NÃO")</f>
        <v>SIM</v>
      </c>
      <c r="E42" s="23" t="str">
        <f aca="false">IF(N(E33)&gt;Premissas!$B$11,"SIM","NÃO")</f>
        <v>SIM</v>
      </c>
    </row>
    <row r="43" customFormat="false" ht="15" hidden="false" customHeight="false" outlineLevel="0" collapsed="false">
      <c r="B43" s="22" t="s">
        <v>47</v>
      </c>
      <c r="C43" s="23" t="str">
        <f aca="false">IF(AND(ISNUMBER(C35),N(C35)&lt;=Premissas!$B$13),"SIM","NÃO")</f>
        <v>NÃO</v>
      </c>
      <c r="D43" s="23" t="str">
        <f aca="false">IF(AND(ISNUMBER(D35),N(D35)&lt;=Premissas!$B$13),"SIM","NÃO")</f>
        <v>SIM</v>
      </c>
      <c r="E43" s="23" t="str">
        <f aca="false">IF(AND(ISNUMBER(E35),N(E35)&lt;=Premissas!$B$13),"SIM","NÃO")</f>
        <v>SIM</v>
      </c>
    </row>
    <row r="44" customFormat="false" ht="24" hidden="false" customHeight="true" outlineLevel="0" collapsed="false">
      <c r="B44" s="24" t="s">
        <v>48</v>
      </c>
      <c r="C44" s="25" t="str">
        <f aca="false">IF(COUNTIF(C40:C43,"SIM")=4,"GO — VIÁVEL",IF(COUNTIF(C40:C43,"SIM")&gt;=2,"GO COM RESSALVAS","NO GO — INVIÁVEL"))</f>
        <v>NO GO — INVIÁVEL</v>
      </c>
      <c r="D44" s="26" t="str">
        <f aca="false">IF(COUNTIF(D40:D43,"SIM")=4,"GO — VIÁVEL",IF(COUNTIF(D40:D43,"SIM")&gt;=2,"GO COM RESSALVAS","NO GO — INVIÁVEL"))</f>
        <v>GO COM RESSALVAS</v>
      </c>
      <c r="E44" s="27" t="str">
        <f aca="false">IF(COUNTIF(E40:E43,"SIM")=4,"GO — VIÁVEL",IF(COUNTIF(E40:E43,"SIM")&gt;=2,"GO COM RESSALVAS","NO GO — INVIÁVEL"))</f>
        <v>GO COM RESSALVAS</v>
      </c>
      <c r="G44" s="14" t="s">
        <v>49</v>
      </c>
    </row>
    <row r="46" customFormat="false" ht="18" hidden="false" customHeight="true" outlineLevel="0" collapsed="false">
      <c r="A46" s="10" t="s">
        <v>50</v>
      </c>
      <c r="B46" s="11"/>
      <c r="C46" s="11"/>
      <c r="D46" s="11"/>
      <c r="E46" s="11"/>
    </row>
    <row r="47" customFormat="false" ht="15" hidden="false" customHeight="false" outlineLevel="0" collapsed="false">
      <c r="B47" s="22" t="s">
        <v>51</v>
      </c>
      <c r="C47" s="28" t="n">
        <f aca="false">Usuários!$BI$27</f>
        <v>453.675839460289</v>
      </c>
      <c r="D47" s="28"/>
      <c r="E47" s="28"/>
    </row>
    <row r="48" customFormat="false" ht="15" hidden="false" customHeight="false" outlineLevel="0" collapsed="false">
      <c r="B48" s="22" t="s">
        <v>52</v>
      </c>
      <c r="C48" s="28" t="n">
        <f aca="false">Usuários!$BI$23</f>
        <v>38.5714285714286</v>
      </c>
      <c r="D48" s="28"/>
      <c r="E48" s="28"/>
    </row>
    <row r="49" customFormat="false" ht="15" hidden="false" customHeight="false" outlineLevel="0" collapsed="false">
      <c r="B49" s="22" t="s">
        <v>53</v>
      </c>
      <c r="C49" s="29" t="n">
        <f aca="false">Usuários!$BI$28</f>
        <v>11.7619662082297</v>
      </c>
      <c r="D49" s="29"/>
      <c r="E49" s="29"/>
      <c r="G49" s="14" t="s">
        <v>54</v>
      </c>
    </row>
    <row r="50" customFormat="false" ht="15" hidden="false" customHeight="false" outlineLevel="0" collapsed="false">
      <c r="B50" s="22" t="s">
        <v>55</v>
      </c>
      <c r="C50" s="30" t="n">
        <f aca="false">Usuários!$BI$29</f>
        <v>1.41699664593537</v>
      </c>
      <c r="D50" s="30"/>
      <c r="E50" s="30"/>
      <c r="G50" s="14" t="s">
        <v>56</v>
      </c>
    </row>
    <row r="51" customFormat="false" ht="15" hidden="false" customHeight="false" outlineLevel="0" collapsed="false">
      <c r="B51" s="22" t="s">
        <v>57</v>
      </c>
      <c r="C51" s="28" t="n">
        <f aca="false">Usuários!$BI$24</f>
        <v>38.9957297722483</v>
      </c>
      <c r="D51" s="28"/>
      <c r="E51" s="28"/>
    </row>
    <row r="52" customFormat="false" ht="15" hidden="false" customHeight="false" outlineLevel="0" collapsed="false">
      <c r="B52" s="22" t="s">
        <v>58</v>
      </c>
      <c r="C52" s="31" t="n">
        <f aca="false">Usuários!$M$34</f>
        <v>4.04972084644655</v>
      </c>
      <c r="D52" s="31"/>
      <c r="E52" s="31"/>
    </row>
    <row r="54" customFormat="false" ht="18" hidden="false" customHeight="true" outlineLevel="0" collapsed="false">
      <c r="A54" s="10" t="s">
        <v>59</v>
      </c>
      <c r="B54" s="11"/>
      <c r="C54" s="11"/>
      <c r="D54" s="11"/>
      <c r="E54" s="11"/>
      <c r="F54" s="11"/>
      <c r="G54" s="11"/>
      <c r="H54" s="11"/>
    </row>
    <row r="55" customFormat="false" ht="15" hidden="false" customHeight="false" outlineLevel="0" collapsed="false">
      <c r="B55" s="32" t="s">
        <v>60</v>
      </c>
    </row>
    <row r="56" customFormat="false" ht="42" hidden="false" customHeight="true" outlineLevel="0" collapsed="false">
      <c r="B56" s="33" t="s">
        <v>61</v>
      </c>
      <c r="C56" s="33"/>
      <c r="D56" s="33"/>
      <c r="E56" s="33"/>
      <c r="F56" s="33"/>
      <c r="G56" s="33"/>
    </row>
    <row r="57" customFormat="false" ht="15" hidden="false" customHeight="false" outlineLevel="0" collapsed="false">
      <c r="B57" s="32" t="s">
        <v>62</v>
      </c>
    </row>
    <row r="58" customFormat="false" ht="42" hidden="false" customHeight="true" outlineLevel="0" collapsed="false">
      <c r="B58" s="33" t="s">
        <v>63</v>
      </c>
      <c r="C58" s="33"/>
      <c r="D58" s="33"/>
      <c r="E58" s="33"/>
      <c r="F58" s="33"/>
      <c r="G58" s="33"/>
    </row>
    <row r="59" customFormat="false" ht="15" hidden="false" customHeight="false" outlineLevel="0" collapsed="false">
      <c r="B59" s="32" t="s">
        <v>64</v>
      </c>
    </row>
    <row r="60" customFormat="false" ht="42" hidden="false" customHeight="true" outlineLevel="0" collapsed="false">
      <c r="B60" s="33" t="s">
        <v>65</v>
      </c>
      <c r="C60" s="33"/>
      <c r="D60" s="33"/>
      <c r="E60" s="33"/>
      <c r="F60" s="33"/>
      <c r="G60" s="33"/>
    </row>
    <row r="61" customFormat="false" ht="15" hidden="false" customHeight="false" outlineLevel="0" collapsed="false">
      <c r="B61" s="32" t="s">
        <v>66</v>
      </c>
    </row>
    <row r="62" customFormat="false" ht="42" hidden="false" customHeight="true" outlineLevel="0" collapsed="false">
      <c r="B62" s="33" t="s">
        <v>67</v>
      </c>
      <c r="C62" s="33"/>
      <c r="D62" s="33"/>
      <c r="E62" s="33"/>
      <c r="F62" s="33"/>
      <c r="G62" s="33"/>
    </row>
    <row r="63" customFormat="false" ht="15" hidden="false" customHeight="false" outlineLevel="0" collapsed="false">
      <c r="B63" s="32" t="s">
        <v>68</v>
      </c>
    </row>
    <row r="64" customFormat="false" ht="42" hidden="false" customHeight="true" outlineLevel="0" collapsed="false">
      <c r="B64" s="33" t="s">
        <v>69</v>
      </c>
      <c r="C64" s="33"/>
      <c r="D64" s="33"/>
      <c r="E64" s="33"/>
      <c r="F64" s="33"/>
      <c r="G64" s="33"/>
    </row>
    <row r="65" customFormat="false" ht="15" hidden="false" customHeight="false" outlineLevel="0" collapsed="false">
      <c r="B65" s="32" t="s">
        <v>70</v>
      </c>
    </row>
    <row r="66" customFormat="false" ht="42" hidden="false" customHeight="true" outlineLevel="0" collapsed="false">
      <c r="B66" s="33" t="s">
        <v>71</v>
      </c>
      <c r="C66" s="33"/>
      <c r="D66" s="33"/>
      <c r="E66" s="33"/>
      <c r="F66" s="33"/>
      <c r="G66" s="33"/>
    </row>
    <row r="67" customFormat="false" ht="15" hidden="false" customHeight="false" outlineLevel="0" collapsed="false">
      <c r="B67" s="32" t="s">
        <v>72</v>
      </c>
    </row>
    <row r="68" customFormat="false" ht="42" hidden="false" customHeight="true" outlineLevel="0" collapsed="false">
      <c r="B68" s="33" t="s">
        <v>73</v>
      </c>
      <c r="C68" s="33"/>
      <c r="D68" s="33"/>
      <c r="E68" s="33"/>
      <c r="F68" s="33"/>
      <c r="G68" s="33"/>
    </row>
    <row r="69" customFormat="false" ht="15" hidden="false" customHeight="false" outlineLevel="0" collapsed="false">
      <c r="B69" s="32" t="s">
        <v>74</v>
      </c>
    </row>
    <row r="70" customFormat="false" ht="42" hidden="false" customHeight="true" outlineLevel="0" collapsed="false">
      <c r="B70" s="33" t="s">
        <v>75</v>
      </c>
      <c r="C70" s="33"/>
      <c r="D70" s="33"/>
      <c r="E70" s="33"/>
      <c r="F70" s="33"/>
      <c r="G70" s="33"/>
    </row>
    <row r="71" customFormat="false" ht="15" hidden="false" customHeight="false" outlineLevel="0" collapsed="false">
      <c r="B71" s="32" t="s">
        <v>76</v>
      </c>
    </row>
    <row r="72" customFormat="false" ht="42" hidden="false" customHeight="true" outlineLevel="0" collapsed="false">
      <c r="B72" s="33" t="s">
        <v>77</v>
      </c>
      <c r="C72" s="33"/>
      <c r="D72" s="33"/>
      <c r="E72" s="33"/>
      <c r="F72" s="33"/>
      <c r="G72" s="33"/>
    </row>
  </sheetData>
  <mergeCells count="15">
    <mergeCell ref="C47:E47"/>
    <mergeCell ref="C48:E48"/>
    <mergeCell ref="C49:E49"/>
    <mergeCell ref="C50:E50"/>
    <mergeCell ref="C51:E51"/>
    <mergeCell ref="C52:E52"/>
    <mergeCell ref="B56:G56"/>
    <mergeCell ref="B58:G58"/>
    <mergeCell ref="B60:G60"/>
    <mergeCell ref="B62:G62"/>
    <mergeCell ref="B64:G64"/>
    <mergeCell ref="B66:G66"/>
    <mergeCell ref="B68:G68"/>
    <mergeCell ref="B70:G70"/>
    <mergeCell ref="B72:G7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L9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4"/>
    <col collapsed="false" customWidth="true" hidden="false" outlineLevel="0" max="2" min="2" style="0" width="16"/>
    <col collapsed="false" customWidth="true" hidden="false" outlineLevel="0" max="7" min="3" style="0" width="14"/>
    <col collapsed="false" customWidth="true" hidden="false" outlineLevel="0" max="8" min="8" style="0" width="3"/>
    <col collapsed="false" customWidth="true" hidden="false" outlineLevel="0" max="9" min="9" style="0" width="70"/>
  </cols>
  <sheetData>
    <row r="1" customFormat="false" ht="25.5" hidden="false" customHeight="true" outlineLevel="0" collapsed="false">
      <c r="A1" s="1" t="s">
        <v>78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15.75" hidden="false" customHeight="true" outlineLevel="0" collapsed="false">
      <c r="A2" s="3" t="s">
        <v>79</v>
      </c>
    </row>
    <row r="4" customFormat="false" ht="18" hidden="false" customHeight="true" outlineLevel="0" collapsed="false">
      <c r="A4" s="10" t="s">
        <v>80</v>
      </c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</row>
    <row r="5" customFormat="false" ht="15" hidden="false" customHeight="false" outlineLevel="0" collapsed="false">
      <c r="A5" s="34" t="s">
        <v>81</v>
      </c>
      <c r="C5" s="35" t="n">
        <v>2026</v>
      </c>
      <c r="D5" s="35" t="n">
        <v>2027</v>
      </c>
      <c r="E5" s="35" t="n">
        <v>2028</v>
      </c>
      <c r="F5" s="35" t="n">
        <v>2029</v>
      </c>
      <c r="G5" s="35" t="n">
        <v>2030</v>
      </c>
    </row>
    <row r="6" customFormat="false" ht="15" hidden="false" customHeight="false" outlineLevel="0" collapsed="false">
      <c r="A6" s="12" t="s">
        <v>82</v>
      </c>
      <c r="B6" s="36" t="n">
        <v>2</v>
      </c>
      <c r="D6" s="14" t="s">
        <v>83</v>
      </c>
    </row>
    <row r="7" customFormat="false" ht="15" hidden="false" customHeight="false" outlineLevel="0" collapsed="false">
      <c r="A7" s="12" t="s">
        <v>84</v>
      </c>
      <c r="B7" s="37" t="str">
        <f aca="false">CHOOSE($B$6,"CONSERVADOR","PROVÁVEL","AGRESSIVO")</f>
        <v>PROVÁVEL</v>
      </c>
    </row>
    <row r="8" customFormat="false" ht="15" hidden="false" customHeight="false" outlineLevel="0" collapsed="false">
      <c r="A8" s="12" t="s">
        <v>85</v>
      </c>
      <c r="B8" s="38" t="n">
        <v>46023</v>
      </c>
    </row>
    <row r="9" customFormat="false" ht="15" hidden="false" customHeight="false" outlineLevel="0" collapsed="false">
      <c r="A9" s="12" t="s">
        <v>86</v>
      </c>
      <c r="B9" s="39" t="n">
        <v>60</v>
      </c>
    </row>
    <row r="10" customFormat="false" ht="15" hidden="false" customHeight="false" outlineLevel="0" collapsed="false">
      <c r="A10" s="12" t="s">
        <v>87</v>
      </c>
      <c r="B10" s="40" t="n">
        <v>46296</v>
      </c>
      <c r="D10" s="14" t="s">
        <v>88</v>
      </c>
    </row>
    <row r="11" customFormat="false" ht="15" hidden="false" customHeight="false" outlineLevel="0" collapsed="false">
      <c r="A11" s="12" t="s">
        <v>89</v>
      </c>
      <c r="B11" s="41" t="n">
        <v>0.25</v>
      </c>
      <c r="D11" s="14" t="s">
        <v>90</v>
      </c>
    </row>
    <row r="12" customFormat="false" ht="15" hidden="false" customHeight="false" outlineLevel="0" collapsed="false">
      <c r="A12" s="12" t="s">
        <v>91</v>
      </c>
      <c r="B12" s="42" t="n">
        <f aca="false">(1+$B$11)^(1/12)-1</f>
        <v>0.0187692651215061</v>
      </c>
    </row>
    <row r="13" customFormat="false" ht="15" hidden="false" customHeight="false" outlineLevel="0" collapsed="false">
      <c r="A13" s="12" t="s">
        <v>92</v>
      </c>
      <c r="B13" s="39" t="n">
        <v>36</v>
      </c>
      <c r="D13" s="14" t="s">
        <v>93</v>
      </c>
    </row>
    <row r="15" customFormat="false" ht="18" hidden="false" customHeight="true" outlineLevel="0" collapsed="false">
      <c r="A15" s="10" t="s">
        <v>94</v>
      </c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</row>
    <row r="16" customFormat="false" ht="15" hidden="false" customHeight="false" outlineLevel="0" collapsed="false">
      <c r="A16" s="12" t="s">
        <v>95</v>
      </c>
      <c r="B16" s="36" t="n">
        <v>1</v>
      </c>
      <c r="D16" s="14" t="s">
        <v>96</v>
      </c>
    </row>
    <row r="17" customFormat="false" ht="15" hidden="false" customHeight="false" outlineLevel="0" collapsed="false">
      <c r="A17" s="12" t="s">
        <v>97</v>
      </c>
      <c r="B17" s="43" t="n">
        <v>0.1633</v>
      </c>
      <c r="D17" s="14" t="s">
        <v>98</v>
      </c>
    </row>
    <row r="18" customFormat="false" ht="15" hidden="false" customHeight="false" outlineLevel="0" collapsed="false">
      <c r="A18" s="12" t="s">
        <v>99</v>
      </c>
      <c r="B18" s="44" t="n">
        <v>4800000</v>
      </c>
      <c r="D18" s="14" t="s">
        <v>100</v>
      </c>
    </row>
    <row r="20" customFormat="false" ht="18" hidden="false" customHeight="true" outlineLevel="0" collapsed="false">
      <c r="A20" s="10" t="s">
        <v>101</v>
      </c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</row>
    <row r="21" customFormat="false" ht="15" hidden="false" customHeight="false" outlineLevel="0" collapsed="false">
      <c r="A21" s="12" t="s">
        <v>102</v>
      </c>
      <c r="B21" s="45" t="n">
        <v>19.9</v>
      </c>
    </row>
    <row r="22" customFormat="false" ht="15" hidden="false" customHeight="false" outlineLevel="0" collapsed="false">
      <c r="A22" s="12" t="s">
        <v>103</v>
      </c>
      <c r="B22" s="45" t="n">
        <v>39.9</v>
      </c>
    </row>
    <row r="23" customFormat="false" ht="15" hidden="false" customHeight="false" outlineLevel="0" collapsed="false">
      <c r="A23" s="12" t="s">
        <v>104</v>
      </c>
      <c r="B23" s="45" t="n">
        <v>79.9</v>
      </c>
    </row>
    <row r="24" customFormat="false" ht="15" hidden="false" customHeight="false" outlineLevel="0" collapsed="false">
      <c r="A24" s="12" t="s">
        <v>105</v>
      </c>
      <c r="B24" s="46" t="n">
        <v>0.045</v>
      </c>
      <c r="D24" s="14" t="s">
        <v>106</v>
      </c>
    </row>
    <row r="25" customFormat="false" ht="15" hidden="false" customHeight="false" outlineLevel="0" collapsed="false">
      <c r="A25" s="34" t="s">
        <v>107</v>
      </c>
    </row>
    <row r="26" customFormat="false" ht="15" hidden="false" customHeight="false" outlineLevel="0" collapsed="false">
      <c r="A26" s="12" t="s">
        <v>108</v>
      </c>
      <c r="C26" s="41" t="n">
        <v>0.75</v>
      </c>
      <c r="D26" s="41" t="n">
        <v>0.72</v>
      </c>
      <c r="E26" s="41" t="n">
        <v>0.68</v>
      </c>
      <c r="F26" s="41" t="n">
        <v>0.64</v>
      </c>
      <c r="G26" s="41" t="n">
        <v>0.6</v>
      </c>
      <c r="I26" s="14" t="s">
        <v>109</v>
      </c>
    </row>
    <row r="27" customFormat="false" ht="15" hidden="false" customHeight="false" outlineLevel="0" collapsed="false">
      <c r="A27" s="12" t="s">
        <v>110</v>
      </c>
      <c r="C27" s="41" t="n">
        <v>0.2</v>
      </c>
      <c r="D27" s="41" t="n">
        <v>0.22</v>
      </c>
      <c r="E27" s="41" t="n">
        <v>0.24</v>
      </c>
      <c r="F27" s="41" t="n">
        <v>0.26</v>
      </c>
      <c r="G27" s="41" t="n">
        <v>0.28</v>
      </c>
      <c r="I27" s="14" t="s">
        <v>111</v>
      </c>
    </row>
    <row r="28" customFormat="false" ht="15" hidden="false" customHeight="false" outlineLevel="0" collapsed="false">
      <c r="A28" s="12" t="s">
        <v>112</v>
      </c>
      <c r="C28" s="41" t="n">
        <v>0.05</v>
      </c>
      <c r="D28" s="41" t="n">
        <v>0.06</v>
      </c>
      <c r="E28" s="41" t="n">
        <v>0.08</v>
      </c>
      <c r="F28" s="41" t="n">
        <v>0.1</v>
      </c>
      <c r="G28" s="41" t="n">
        <v>0.12</v>
      </c>
      <c r="I28" s="14" t="s">
        <v>113</v>
      </c>
    </row>
    <row r="29" customFormat="false" ht="15" hidden="false" customHeight="false" outlineLevel="0" collapsed="false">
      <c r="A29" s="47" t="s">
        <v>114</v>
      </c>
      <c r="C29" s="48" t="n">
        <f aca="false">SUM(C26:C28)</f>
        <v>1</v>
      </c>
      <c r="D29" s="48" t="n">
        <f aca="false">SUM(D26:D28)</f>
        <v>1</v>
      </c>
      <c r="E29" s="48" t="n">
        <f aca="false">SUM(E26:E28)</f>
        <v>1</v>
      </c>
      <c r="F29" s="48" t="n">
        <f aca="false">SUM(F26:F28)</f>
        <v>1</v>
      </c>
      <c r="G29" s="48" t="n">
        <f aca="false">SUM(G26:G28)</f>
        <v>1</v>
      </c>
    </row>
    <row r="30" customFormat="false" ht="15" hidden="false" customHeight="false" outlineLevel="0" collapsed="false">
      <c r="A30" s="47" t="s">
        <v>115</v>
      </c>
      <c r="C30" s="49" t="n">
        <f aca="false">(C26*$B$21+C27*$B$22+C28*$B$23)*(1+$B$24)^(C$5-2026)</f>
        <v>26.9</v>
      </c>
      <c r="D30" s="49" t="n">
        <f aca="false">(D26*$B$21+D27*$B$22+D28*$B$23)*(1+$B$24)^(D$5-2026)</f>
        <v>29.1555</v>
      </c>
      <c r="E30" s="49" t="n">
        <f aca="false">(E26*$B$21+E27*$B$22+E28*$B$23)*(1+$B$24)^(E$5-2026)</f>
        <v>32.2147375</v>
      </c>
      <c r="F30" s="49" t="n">
        <f aca="false">(F26*$B$21+F27*$B$22+F28*$B$23)*(1+$B$24)^(F$5-2026)</f>
        <v>35.4902664875</v>
      </c>
      <c r="G30" s="49" t="n">
        <f aca="false">(G26*$B$21+G27*$B$22+G28*$B$23)*(1+$B$24)^(G$5-2026)</f>
        <v>38.9953582404375</v>
      </c>
    </row>
    <row r="32" customFormat="false" ht="18" hidden="false" customHeight="true" outlineLevel="0" collapsed="false">
      <c r="A32" s="10" t="s">
        <v>116</v>
      </c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</row>
    <row r="33" customFormat="false" ht="15" hidden="false" customHeight="false" outlineLevel="0" collapsed="false">
      <c r="A33" s="50" t="s">
        <v>117</v>
      </c>
    </row>
    <row r="34" customFormat="false" ht="15" hidden="false" customHeight="false" outlineLevel="0" collapsed="false">
      <c r="A34" s="34" t="s">
        <v>118</v>
      </c>
    </row>
    <row r="35" customFormat="false" ht="15" hidden="false" customHeight="false" outlineLevel="0" collapsed="false">
      <c r="A35" s="12" t="s">
        <v>119</v>
      </c>
      <c r="C35" s="39" t="n">
        <v>10860</v>
      </c>
      <c r="D35" s="39" t="n">
        <v>13200</v>
      </c>
      <c r="E35" s="39" t="n">
        <v>27000</v>
      </c>
      <c r="F35" s="39" t="n">
        <v>42000</v>
      </c>
      <c r="G35" s="39" t="n">
        <v>57000</v>
      </c>
    </row>
    <row r="36" customFormat="false" ht="15" hidden="false" customHeight="false" outlineLevel="0" collapsed="false">
      <c r="A36" s="12" t="s">
        <v>120</v>
      </c>
      <c r="C36" s="51" t="n">
        <v>18100</v>
      </c>
      <c r="D36" s="51" t="n">
        <v>22000</v>
      </c>
      <c r="E36" s="51" t="n">
        <v>45000</v>
      </c>
      <c r="F36" s="51" t="n">
        <v>70000</v>
      </c>
      <c r="G36" s="51" t="n">
        <v>95000</v>
      </c>
      <c r="I36" s="14" t="s">
        <v>121</v>
      </c>
    </row>
    <row r="37" customFormat="false" ht="15" hidden="false" customHeight="false" outlineLevel="0" collapsed="false">
      <c r="A37" s="12" t="s">
        <v>122</v>
      </c>
      <c r="C37" s="39" t="n">
        <v>25340</v>
      </c>
      <c r="D37" s="39" t="n">
        <v>33000</v>
      </c>
      <c r="E37" s="39" t="n">
        <v>68000</v>
      </c>
      <c r="F37" s="39" t="n">
        <v>105000</v>
      </c>
      <c r="G37" s="39" t="n">
        <v>143000</v>
      </c>
    </row>
    <row r="38" customFormat="false" ht="15" hidden="false" customHeight="false" outlineLevel="0" collapsed="false">
      <c r="A38" s="34" t="s">
        <v>123</v>
      </c>
    </row>
    <row r="39" customFormat="false" ht="15" hidden="false" customHeight="false" outlineLevel="0" collapsed="false">
      <c r="A39" s="12" t="s">
        <v>119</v>
      </c>
      <c r="C39" s="46" t="n">
        <v>0.1</v>
      </c>
      <c r="D39" s="46" t="n">
        <v>0.095</v>
      </c>
      <c r="E39" s="46" t="n">
        <v>0.09</v>
      </c>
      <c r="F39" s="46" t="n">
        <v>0.085</v>
      </c>
      <c r="G39" s="46" t="n">
        <v>0.08</v>
      </c>
    </row>
    <row r="40" customFormat="false" ht="15" hidden="false" customHeight="false" outlineLevel="0" collapsed="false">
      <c r="A40" s="12" t="s">
        <v>120</v>
      </c>
      <c r="C40" s="41" t="n">
        <v>0.08</v>
      </c>
      <c r="D40" s="41" t="n">
        <v>0.075</v>
      </c>
      <c r="E40" s="41" t="n">
        <v>0.07</v>
      </c>
      <c r="F40" s="41" t="n">
        <v>0.065</v>
      </c>
      <c r="G40" s="41" t="n">
        <v>0.06</v>
      </c>
      <c r="I40" s="14" t="s">
        <v>124</v>
      </c>
    </row>
    <row r="41" customFormat="false" ht="15" hidden="false" customHeight="false" outlineLevel="0" collapsed="false">
      <c r="A41" s="12" t="s">
        <v>122</v>
      </c>
      <c r="C41" s="46" t="n">
        <v>0.06</v>
      </c>
      <c r="D41" s="46" t="n">
        <v>0.055</v>
      </c>
      <c r="E41" s="46" t="n">
        <v>0.05</v>
      </c>
      <c r="F41" s="46" t="n">
        <v>0.048</v>
      </c>
      <c r="G41" s="46" t="n">
        <v>0.045</v>
      </c>
    </row>
    <row r="42" customFormat="false" ht="15" hidden="false" customHeight="false" outlineLevel="0" collapsed="false">
      <c r="A42" s="34" t="s">
        <v>125</v>
      </c>
    </row>
    <row r="43" customFormat="false" ht="15" hidden="false" customHeight="false" outlineLevel="0" collapsed="false">
      <c r="A43" s="12" t="s">
        <v>119</v>
      </c>
      <c r="C43" s="46" t="n">
        <v>0.03</v>
      </c>
      <c r="D43" s="46" t="n">
        <v>0.035</v>
      </c>
      <c r="E43" s="46" t="n">
        <v>0.038</v>
      </c>
      <c r="F43" s="46" t="n">
        <v>0.042</v>
      </c>
      <c r="G43" s="46" t="n">
        <v>0.045</v>
      </c>
    </row>
    <row r="44" customFormat="false" ht="15" hidden="false" customHeight="false" outlineLevel="0" collapsed="false">
      <c r="A44" s="12" t="s">
        <v>120</v>
      </c>
      <c r="C44" s="41" t="n">
        <v>0.05</v>
      </c>
      <c r="D44" s="41" t="n">
        <v>0.055</v>
      </c>
      <c r="E44" s="41" t="n">
        <v>0.06</v>
      </c>
      <c r="F44" s="41" t="n">
        <v>0.065</v>
      </c>
      <c r="G44" s="41" t="n">
        <v>0.07</v>
      </c>
      <c r="I44" s="14" t="s">
        <v>126</v>
      </c>
    </row>
    <row r="45" customFormat="false" ht="15" hidden="false" customHeight="false" outlineLevel="0" collapsed="false">
      <c r="A45" s="12" t="s">
        <v>122</v>
      </c>
      <c r="C45" s="46" t="n">
        <v>0.07</v>
      </c>
      <c r="D45" s="46" t="n">
        <v>0.08</v>
      </c>
      <c r="E45" s="46" t="n">
        <v>0.085</v>
      </c>
      <c r="F45" s="46" t="n">
        <v>0.09</v>
      </c>
      <c r="G45" s="46" t="n">
        <v>0.1</v>
      </c>
    </row>
    <row r="46" customFormat="false" ht="15" hidden="false" customHeight="false" outlineLevel="0" collapsed="false">
      <c r="A46" s="34" t="s">
        <v>127</v>
      </c>
    </row>
    <row r="47" customFormat="false" ht="15" hidden="false" customHeight="false" outlineLevel="0" collapsed="false">
      <c r="A47" s="12" t="s">
        <v>119</v>
      </c>
      <c r="C47" s="52" t="n">
        <v>4</v>
      </c>
      <c r="D47" s="52" t="n">
        <v>5</v>
      </c>
      <c r="E47" s="52" t="n">
        <v>6</v>
      </c>
      <c r="F47" s="52" t="n">
        <v>7</v>
      </c>
      <c r="G47" s="52" t="n">
        <v>8</v>
      </c>
    </row>
    <row r="48" customFormat="false" ht="15" hidden="false" customHeight="false" outlineLevel="0" collapsed="false">
      <c r="A48" s="12" t="s">
        <v>120</v>
      </c>
      <c r="C48" s="45" t="n">
        <v>2.5</v>
      </c>
      <c r="D48" s="45" t="n">
        <v>3</v>
      </c>
      <c r="E48" s="45" t="n">
        <v>3.5</v>
      </c>
      <c r="F48" s="45" t="n">
        <v>4</v>
      </c>
      <c r="G48" s="45" t="n">
        <v>4.5</v>
      </c>
      <c r="I48" s="14" t="s">
        <v>128</v>
      </c>
    </row>
    <row r="49" customFormat="false" ht="15" hidden="false" customHeight="false" outlineLevel="0" collapsed="false">
      <c r="A49" s="12" t="s">
        <v>122</v>
      </c>
      <c r="C49" s="52" t="n">
        <v>1.5</v>
      </c>
      <c r="D49" s="52" t="n">
        <v>1.8</v>
      </c>
      <c r="E49" s="52" t="n">
        <v>2.2</v>
      </c>
      <c r="F49" s="52" t="n">
        <v>2.6</v>
      </c>
      <c r="G49" s="52" t="n">
        <v>3</v>
      </c>
    </row>
    <row r="50" customFormat="false" ht="15" hidden="false" customHeight="false" outlineLevel="0" collapsed="false">
      <c r="A50" s="53" t="s">
        <v>129</v>
      </c>
      <c r="C50" s="46" t="n">
        <v>0.3</v>
      </c>
      <c r="D50" s="46" t="n">
        <v>0.32</v>
      </c>
      <c r="E50" s="46" t="n">
        <v>0.35</v>
      </c>
      <c r="F50" s="46" t="n">
        <v>0.38</v>
      </c>
      <c r="G50" s="46" t="n">
        <v>0.4</v>
      </c>
      <c r="I50" s="14" t="s">
        <v>130</v>
      </c>
    </row>
    <row r="52" customFormat="false" ht="18" hidden="false" customHeight="true" outlineLevel="0" collapsed="false">
      <c r="A52" s="10" t="s">
        <v>131</v>
      </c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</row>
    <row r="53" customFormat="false" ht="15" hidden="false" customHeight="false" outlineLevel="0" collapsed="false">
      <c r="A53" s="12" t="s">
        <v>132</v>
      </c>
      <c r="B53" s="41" t="n">
        <v>0.15</v>
      </c>
      <c r="D53" s="14" t="s">
        <v>133</v>
      </c>
    </row>
    <row r="54" customFormat="false" ht="15" hidden="false" customHeight="false" outlineLevel="0" collapsed="false">
      <c r="A54" s="12" t="s">
        <v>134</v>
      </c>
      <c r="C54" s="46" t="n">
        <v>0.85</v>
      </c>
      <c r="D54" s="46" t="n">
        <v>0.8</v>
      </c>
      <c r="E54" s="46" t="n">
        <v>0.75</v>
      </c>
      <c r="F54" s="46" t="n">
        <v>0.72</v>
      </c>
      <c r="G54" s="46" t="n">
        <v>0.7</v>
      </c>
      <c r="I54" s="14" t="s">
        <v>135</v>
      </c>
    </row>
    <row r="55" customFormat="false" ht="15" hidden="false" customHeight="false" outlineLevel="0" collapsed="false">
      <c r="A55" s="12" t="s">
        <v>136</v>
      </c>
      <c r="B55" s="46" t="n">
        <v>0.045</v>
      </c>
      <c r="D55" s="14" t="s">
        <v>137</v>
      </c>
    </row>
    <row r="56" customFormat="false" ht="15" hidden="false" customHeight="false" outlineLevel="0" collapsed="false">
      <c r="A56" s="34" t="s">
        <v>138</v>
      </c>
    </row>
    <row r="57" customFormat="false" ht="15" hidden="false" customHeight="false" outlineLevel="0" collapsed="false">
      <c r="A57" s="12" t="s">
        <v>139</v>
      </c>
      <c r="B57" s="41" t="n">
        <v>0.1</v>
      </c>
      <c r="D57" s="14" t="s">
        <v>140</v>
      </c>
    </row>
    <row r="58" customFormat="false" ht="15" hidden="false" customHeight="false" outlineLevel="0" collapsed="false">
      <c r="A58" s="12" t="s">
        <v>141</v>
      </c>
      <c r="B58" s="52" t="n">
        <v>350</v>
      </c>
      <c r="D58" s="14" t="s">
        <v>142</v>
      </c>
    </row>
    <row r="59" customFormat="false" ht="15" hidden="false" customHeight="false" outlineLevel="0" collapsed="false">
      <c r="A59" s="12" t="s">
        <v>143</v>
      </c>
      <c r="C59" s="54" t="n">
        <v>0</v>
      </c>
      <c r="D59" s="54" t="n">
        <v>0.0015</v>
      </c>
      <c r="E59" s="54" t="n">
        <v>0.0025</v>
      </c>
      <c r="F59" s="54" t="n">
        <v>0.004</v>
      </c>
      <c r="G59" s="54" t="n">
        <v>0.005</v>
      </c>
      <c r="I59" s="14" t="s">
        <v>144</v>
      </c>
    </row>
    <row r="61" customFormat="false" ht="18" hidden="false" customHeight="true" outlineLevel="0" collapsed="false">
      <c r="A61" s="10" t="s">
        <v>145</v>
      </c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</row>
    <row r="62" customFormat="false" ht="15" hidden="false" customHeight="false" outlineLevel="0" collapsed="false">
      <c r="A62" s="12" t="s">
        <v>146</v>
      </c>
      <c r="B62" s="55" t="n">
        <v>46143</v>
      </c>
      <c r="D62" s="14" t="s">
        <v>147</v>
      </c>
    </row>
    <row r="63" customFormat="false" ht="15" hidden="false" customHeight="false" outlineLevel="0" collapsed="false">
      <c r="A63" s="12" t="s">
        <v>148</v>
      </c>
      <c r="C63" s="44" t="n">
        <v>600</v>
      </c>
      <c r="D63" s="44" t="n">
        <v>2500</v>
      </c>
      <c r="E63" s="44" t="n">
        <v>8000</v>
      </c>
      <c r="F63" s="44" t="n">
        <v>18000</v>
      </c>
      <c r="G63" s="44" t="n">
        <v>30000</v>
      </c>
      <c r="I63" s="14" t="s">
        <v>149</v>
      </c>
    </row>
    <row r="64" customFormat="false" ht="15" hidden="false" customHeight="false" outlineLevel="0" collapsed="false">
      <c r="A64" s="12" t="s">
        <v>150</v>
      </c>
      <c r="C64" s="45" t="n">
        <v>1.5</v>
      </c>
      <c r="D64" s="45" t="n">
        <v>1.35</v>
      </c>
      <c r="E64" s="45" t="n">
        <v>1.15</v>
      </c>
      <c r="F64" s="45" t="n">
        <v>1</v>
      </c>
      <c r="G64" s="45" t="n">
        <v>0.9</v>
      </c>
      <c r="I64" s="14" t="s">
        <v>151</v>
      </c>
    </row>
    <row r="65" customFormat="false" ht="15" hidden="false" customHeight="false" outlineLevel="0" collapsed="false">
      <c r="A65" s="12" t="s">
        <v>152</v>
      </c>
      <c r="C65" s="52" t="n">
        <v>0.02</v>
      </c>
      <c r="D65" s="52" t="n">
        <v>0.02</v>
      </c>
      <c r="E65" s="52" t="n">
        <v>0.018</v>
      </c>
      <c r="F65" s="52" t="n">
        <v>0.015</v>
      </c>
      <c r="G65" s="52" t="n">
        <v>0.015</v>
      </c>
      <c r="I65" s="14" t="s">
        <v>153</v>
      </c>
    </row>
    <row r="66" customFormat="false" ht="15" hidden="false" customHeight="false" outlineLevel="0" collapsed="false">
      <c r="A66" s="12" t="s">
        <v>154</v>
      </c>
      <c r="C66" s="52" t="n">
        <v>0.35</v>
      </c>
      <c r="D66" s="52" t="n">
        <v>0.35</v>
      </c>
      <c r="E66" s="52" t="n">
        <v>0.3</v>
      </c>
      <c r="F66" s="52" t="n">
        <v>0.28</v>
      </c>
      <c r="G66" s="52" t="n">
        <v>0.25</v>
      </c>
      <c r="I66" s="14" t="s">
        <v>155</v>
      </c>
    </row>
    <row r="67" customFormat="false" ht="15" hidden="false" customHeight="false" outlineLevel="0" collapsed="false">
      <c r="A67" s="12" t="s">
        <v>156</v>
      </c>
      <c r="C67" s="44" t="n">
        <v>0</v>
      </c>
      <c r="D67" s="44" t="n">
        <v>3000</v>
      </c>
      <c r="E67" s="44" t="n">
        <v>15000</v>
      </c>
      <c r="F67" s="44" t="n">
        <v>45000</v>
      </c>
      <c r="G67" s="44" t="n">
        <v>90000</v>
      </c>
    </row>
    <row r="68" customFormat="false" ht="15" hidden="false" customHeight="false" outlineLevel="0" collapsed="false">
      <c r="A68" s="12" t="s">
        <v>157</v>
      </c>
      <c r="B68" s="55" t="n">
        <v>46327</v>
      </c>
      <c r="D68" s="14" t="s">
        <v>158</v>
      </c>
    </row>
    <row r="69" customFormat="false" ht="15" hidden="false" customHeight="false" outlineLevel="0" collapsed="false">
      <c r="A69" s="12" t="s">
        <v>159</v>
      </c>
      <c r="C69" s="56" t="n">
        <v>4000</v>
      </c>
      <c r="D69" s="56" t="n">
        <v>25000</v>
      </c>
      <c r="E69" s="56" t="n">
        <v>90000</v>
      </c>
      <c r="F69" s="56" t="n">
        <v>220000</v>
      </c>
      <c r="G69" s="56" t="n">
        <v>420000</v>
      </c>
      <c r="I69" s="14" t="s">
        <v>160</v>
      </c>
    </row>
    <row r="70" customFormat="false" ht="15" hidden="false" customHeight="false" outlineLevel="0" collapsed="false">
      <c r="A70" s="12" t="s">
        <v>161</v>
      </c>
      <c r="B70" s="55" t="n">
        <v>46388</v>
      </c>
    </row>
    <row r="71" customFormat="false" ht="15" hidden="false" customHeight="false" outlineLevel="0" collapsed="false">
      <c r="A71" s="12" t="s">
        <v>162</v>
      </c>
      <c r="C71" s="44" t="n">
        <v>0</v>
      </c>
      <c r="D71" s="44" t="n">
        <v>15000</v>
      </c>
      <c r="E71" s="44" t="n">
        <v>40000</v>
      </c>
      <c r="F71" s="44" t="n">
        <v>80000</v>
      </c>
      <c r="G71" s="44" t="n">
        <v>140000</v>
      </c>
      <c r="I71" s="14" t="s">
        <v>163</v>
      </c>
    </row>
    <row r="72" customFormat="false" ht="15" hidden="false" customHeight="false" outlineLevel="0" collapsed="false">
      <c r="A72" s="12" t="s">
        <v>164</v>
      </c>
      <c r="B72" s="55" t="n">
        <v>46113</v>
      </c>
      <c r="D72" s="14" t="s">
        <v>165</v>
      </c>
    </row>
    <row r="73" customFormat="false" ht="15" hidden="false" customHeight="false" outlineLevel="0" collapsed="false">
      <c r="A73" s="12" t="s">
        <v>166</v>
      </c>
      <c r="C73" s="44" t="n">
        <v>1500</v>
      </c>
      <c r="D73" s="44" t="n">
        <v>6000</v>
      </c>
      <c r="E73" s="44" t="n">
        <v>25000</v>
      </c>
      <c r="F73" s="44" t="n">
        <v>60000</v>
      </c>
      <c r="G73" s="44" t="n">
        <v>110000</v>
      </c>
    </row>
    <row r="74" customFormat="false" ht="15" hidden="false" customHeight="false" outlineLevel="0" collapsed="false">
      <c r="A74" s="12" t="s">
        <v>167</v>
      </c>
      <c r="C74" s="44" t="n">
        <v>3000</v>
      </c>
      <c r="D74" s="44" t="n">
        <v>15000</v>
      </c>
      <c r="E74" s="44" t="n">
        <v>60000</v>
      </c>
      <c r="F74" s="44" t="n">
        <v>140000</v>
      </c>
      <c r="G74" s="44" t="n">
        <v>250000</v>
      </c>
      <c r="I74" s="14" t="s">
        <v>168</v>
      </c>
    </row>
    <row r="75" customFormat="false" ht="15" hidden="false" customHeight="false" outlineLevel="0" collapsed="false">
      <c r="A75" s="12" t="s">
        <v>169</v>
      </c>
      <c r="B75" s="55" t="n">
        <v>46296</v>
      </c>
    </row>
    <row r="76" customFormat="false" ht="15" hidden="false" customHeight="false" outlineLevel="0" collapsed="false">
      <c r="A76" s="12" t="s">
        <v>170</v>
      </c>
      <c r="B76" s="44" t="n">
        <v>25000</v>
      </c>
    </row>
    <row r="77" customFormat="false" ht="15" hidden="false" customHeight="false" outlineLevel="0" collapsed="false">
      <c r="A77" s="12" t="s">
        <v>171</v>
      </c>
      <c r="B77" s="55" t="n">
        <v>46296</v>
      </c>
    </row>
    <row r="79" customFormat="false" ht="18" hidden="false" customHeight="true" outlineLevel="0" collapsed="false">
      <c r="A79" s="10" t="s">
        <v>172</v>
      </c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</row>
    <row r="80" customFormat="false" ht="15" hidden="false" customHeight="false" outlineLevel="0" collapsed="false">
      <c r="A80" s="12" t="s">
        <v>173</v>
      </c>
      <c r="B80" s="36" t="n">
        <v>0</v>
      </c>
      <c r="D80" s="14" t="s">
        <v>174</v>
      </c>
    </row>
    <row r="81" customFormat="false" ht="15" hidden="false" customHeight="false" outlineLevel="0" collapsed="false">
      <c r="A81" s="12" t="s">
        <v>175</v>
      </c>
      <c r="B81" s="44" t="n">
        <v>500000</v>
      </c>
      <c r="D81" s="14" t="s">
        <v>176</v>
      </c>
    </row>
    <row r="82" customFormat="false" ht="15" hidden="false" customHeight="false" outlineLevel="0" collapsed="false">
      <c r="A82" s="12" t="s">
        <v>177</v>
      </c>
      <c r="B82" s="55" t="n">
        <v>46569</v>
      </c>
    </row>
    <row r="83" customFormat="false" ht="15" hidden="false" customHeight="false" outlineLevel="0" collapsed="false">
      <c r="A83" s="12" t="s">
        <v>178</v>
      </c>
      <c r="B83" s="44" t="n">
        <v>80000</v>
      </c>
      <c r="D83" s="14" t="s">
        <v>179</v>
      </c>
    </row>
    <row r="85" customFormat="false" ht="18" hidden="false" customHeight="true" outlineLevel="0" collapsed="false">
      <c r="A85" s="10" t="s">
        <v>180</v>
      </c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</row>
    <row r="86" customFormat="false" ht="27.75" hidden="false" customHeight="true" outlineLevel="0" collapsed="false">
      <c r="A86" s="57" t="s">
        <v>181</v>
      </c>
      <c r="B86" s="57"/>
      <c r="C86" s="57"/>
      <c r="D86" s="57"/>
      <c r="E86" s="57"/>
      <c r="F86" s="57"/>
      <c r="G86" s="57"/>
      <c r="H86" s="57"/>
      <c r="I86" s="57"/>
    </row>
    <row r="87" customFormat="false" ht="27.75" hidden="false" customHeight="true" outlineLevel="0" collapsed="false">
      <c r="A87" s="57" t="s">
        <v>182</v>
      </c>
      <c r="B87" s="57"/>
      <c r="C87" s="57"/>
      <c r="D87" s="57"/>
      <c r="E87" s="57"/>
      <c r="F87" s="57"/>
      <c r="G87" s="57"/>
      <c r="H87" s="57"/>
      <c r="I87" s="57"/>
    </row>
    <row r="88" customFormat="false" ht="27.75" hidden="false" customHeight="true" outlineLevel="0" collapsed="false">
      <c r="A88" s="57" t="s">
        <v>183</v>
      </c>
      <c r="B88" s="57"/>
      <c r="C88" s="57"/>
      <c r="D88" s="57"/>
      <c r="E88" s="57"/>
      <c r="F88" s="57"/>
      <c r="G88" s="57"/>
      <c r="H88" s="57"/>
      <c r="I88" s="57"/>
    </row>
    <row r="89" customFormat="false" ht="27.75" hidden="false" customHeight="true" outlineLevel="0" collapsed="false">
      <c r="A89" s="57" t="s">
        <v>184</v>
      </c>
      <c r="B89" s="57"/>
      <c r="C89" s="57"/>
      <c r="D89" s="57"/>
      <c r="E89" s="57"/>
      <c r="F89" s="57"/>
      <c r="G89" s="57"/>
      <c r="H89" s="57"/>
      <c r="I89" s="57"/>
    </row>
    <row r="90" customFormat="false" ht="27.75" hidden="false" customHeight="true" outlineLevel="0" collapsed="false">
      <c r="A90" s="57" t="s">
        <v>185</v>
      </c>
      <c r="B90" s="57"/>
      <c r="C90" s="57"/>
      <c r="D90" s="57"/>
      <c r="E90" s="57"/>
      <c r="F90" s="57"/>
      <c r="G90" s="57"/>
      <c r="H90" s="57"/>
      <c r="I90" s="57"/>
    </row>
    <row r="91" customFormat="false" ht="27.75" hidden="false" customHeight="true" outlineLevel="0" collapsed="false">
      <c r="A91" s="57" t="s">
        <v>186</v>
      </c>
      <c r="B91" s="57"/>
      <c r="C91" s="57"/>
      <c r="D91" s="57"/>
      <c r="E91" s="57"/>
      <c r="F91" s="57"/>
      <c r="G91" s="57"/>
      <c r="H91" s="57"/>
      <c r="I91" s="57"/>
    </row>
    <row r="92" customFormat="false" ht="27.75" hidden="false" customHeight="true" outlineLevel="0" collapsed="false">
      <c r="A92" s="57" t="s">
        <v>187</v>
      </c>
      <c r="B92" s="57"/>
      <c r="C92" s="57"/>
      <c r="D92" s="57"/>
      <c r="E92" s="57"/>
      <c r="F92" s="57"/>
      <c r="G92" s="57"/>
      <c r="H92" s="57"/>
      <c r="I92" s="57"/>
    </row>
  </sheetData>
  <mergeCells count="7">
    <mergeCell ref="A86:I86"/>
    <mergeCell ref="A87:I87"/>
    <mergeCell ref="A88:I88"/>
    <mergeCell ref="A89:I89"/>
    <mergeCell ref="A90:I90"/>
    <mergeCell ref="A91:I91"/>
    <mergeCell ref="A92:I9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7040"/>
    <pageSetUpPr fitToPage="false"/>
  </sheetPr>
  <dimension ref="A1:BK6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8" topLeftCell="B9" activePane="bottomRight" state="frozen"/>
      <selection pane="topLeft" activeCell="A1" activeCellId="0" sqref="A1"/>
      <selection pane="topRight" activeCell="B1" activeCellId="0" sqref="B1"/>
      <selection pane="bottomLeft" activeCell="A9" activeCellId="0" sqref="A9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61" min="2" style="0" width="11"/>
    <col collapsed="false" customWidth="true" hidden="false" outlineLevel="0" max="62" min="62" style="0" width="15"/>
    <col collapsed="false" customWidth="true" hidden="false" outlineLevel="0" max="63" min="63" style="0" width="34"/>
  </cols>
  <sheetData>
    <row r="1" customFormat="false" ht="25.5" hidden="false" customHeight="true" outlineLevel="0" collapsed="false">
      <c r="A1" s="1" t="s">
        <v>188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</row>
    <row r="2" customFormat="false" ht="15.75" hidden="false" customHeight="true" outlineLevel="0" collapsed="false">
      <c r="A2" s="58" t="str">
        <f aca="false">" Cenário ativo: "&amp;Premissas!B7</f>
        <v> Cenário ativo: PROVÁVEL</v>
      </c>
    </row>
    <row r="4" customFormat="false" ht="15" hidden="false" customHeight="false" outlineLevel="0" collapsed="false">
      <c r="A4" s="59" t="s">
        <v>189</v>
      </c>
      <c r="B4" s="60" t="n">
        <v>46023</v>
      </c>
      <c r="C4" s="60" t="n">
        <v>46054</v>
      </c>
      <c r="D4" s="60" t="n">
        <v>46082</v>
      </c>
      <c r="E4" s="60" t="n">
        <v>46113</v>
      </c>
      <c r="F4" s="60" t="n">
        <v>46143</v>
      </c>
      <c r="G4" s="60" t="n">
        <v>46174</v>
      </c>
      <c r="H4" s="60" t="n">
        <v>46204</v>
      </c>
      <c r="I4" s="60" t="n">
        <v>46235</v>
      </c>
      <c r="J4" s="60" t="n">
        <v>46266</v>
      </c>
      <c r="K4" s="60" t="n">
        <v>46296</v>
      </c>
      <c r="L4" s="60" t="n">
        <v>46327</v>
      </c>
      <c r="M4" s="60" t="n">
        <v>46357</v>
      </c>
      <c r="N4" s="60" t="n">
        <v>46388</v>
      </c>
      <c r="O4" s="60" t="n">
        <v>46419</v>
      </c>
      <c r="P4" s="60" t="n">
        <v>46447</v>
      </c>
      <c r="Q4" s="60" t="n">
        <v>46478</v>
      </c>
      <c r="R4" s="60" t="n">
        <v>46508</v>
      </c>
      <c r="S4" s="60" t="n">
        <v>46539</v>
      </c>
      <c r="T4" s="60" t="n">
        <v>46569</v>
      </c>
      <c r="U4" s="60" t="n">
        <v>46600</v>
      </c>
      <c r="V4" s="60" t="n">
        <v>46631</v>
      </c>
      <c r="W4" s="60" t="n">
        <v>46661</v>
      </c>
      <c r="X4" s="60" t="n">
        <v>46692</v>
      </c>
      <c r="Y4" s="60" t="n">
        <v>46722</v>
      </c>
      <c r="Z4" s="60" t="n">
        <v>46753</v>
      </c>
      <c r="AA4" s="60" t="n">
        <v>46784</v>
      </c>
      <c r="AB4" s="60" t="n">
        <v>46813</v>
      </c>
      <c r="AC4" s="60" t="n">
        <v>46844</v>
      </c>
      <c r="AD4" s="60" t="n">
        <v>46874</v>
      </c>
      <c r="AE4" s="60" t="n">
        <v>46905</v>
      </c>
      <c r="AF4" s="60" t="n">
        <v>46935</v>
      </c>
      <c r="AG4" s="60" t="n">
        <v>46966</v>
      </c>
      <c r="AH4" s="60" t="n">
        <v>46997</v>
      </c>
      <c r="AI4" s="60" t="n">
        <v>47027</v>
      </c>
      <c r="AJ4" s="60" t="n">
        <v>47058</v>
      </c>
      <c r="AK4" s="60" t="n">
        <v>47088</v>
      </c>
      <c r="AL4" s="60" t="n">
        <v>47119</v>
      </c>
      <c r="AM4" s="60" t="n">
        <v>47150</v>
      </c>
      <c r="AN4" s="60" t="n">
        <v>47178</v>
      </c>
      <c r="AO4" s="60" t="n">
        <v>47209</v>
      </c>
      <c r="AP4" s="60" t="n">
        <v>47239</v>
      </c>
      <c r="AQ4" s="60" t="n">
        <v>47270</v>
      </c>
      <c r="AR4" s="60" t="n">
        <v>47300</v>
      </c>
      <c r="AS4" s="60" t="n">
        <v>47331</v>
      </c>
      <c r="AT4" s="60" t="n">
        <v>47362</v>
      </c>
      <c r="AU4" s="60" t="n">
        <v>47392</v>
      </c>
      <c r="AV4" s="60" t="n">
        <v>47423</v>
      </c>
      <c r="AW4" s="60" t="n">
        <v>47453</v>
      </c>
      <c r="AX4" s="60" t="n">
        <v>47484</v>
      </c>
      <c r="AY4" s="60" t="n">
        <v>47515</v>
      </c>
      <c r="AZ4" s="60" t="n">
        <v>47543</v>
      </c>
      <c r="BA4" s="60" t="n">
        <v>47574</v>
      </c>
      <c r="BB4" s="60" t="n">
        <v>47604</v>
      </c>
      <c r="BC4" s="60" t="n">
        <v>47635</v>
      </c>
      <c r="BD4" s="60" t="n">
        <v>47665</v>
      </c>
      <c r="BE4" s="60" t="n">
        <v>47696</v>
      </c>
      <c r="BF4" s="60" t="n">
        <v>47727</v>
      </c>
      <c r="BG4" s="60" t="n">
        <v>47757</v>
      </c>
      <c r="BH4" s="60" t="n">
        <v>47788</v>
      </c>
      <c r="BI4" s="60" t="n">
        <v>47818</v>
      </c>
      <c r="BJ4" s="61" t="s">
        <v>190</v>
      </c>
      <c r="BK4" s="61" t="s">
        <v>191</v>
      </c>
    </row>
    <row r="5" customFormat="false" ht="15" hidden="false" customHeight="false" outlineLevel="0" collapsed="false">
      <c r="A5" s="62" t="s">
        <v>192</v>
      </c>
      <c r="B5" s="63" t="n">
        <v>1</v>
      </c>
      <c r="C5" s="63" t="n">
        <v>2</v>
      </c>
      <c r="D5" s="63" t="n">
        <v>3</v>
      </c>
      <c r="E5" s="63" t="n">
        <v>4</v>
      </c>
      <c r="F5" s="63" t="n">
        <v>5</v>
      </c>
      <c r="G5" s="63" t="n">
        <v>6</v>
      </c>
      <c r="H5" s="63" t="n">
        <v>7</v>
      </c>
      <c r="I5" s="63" t="n">
        <v>8</v>
      </c>
      <c r="J5" s="63" t="n">
        <v>9</v>
      </c>
      <c r="K5" s="63" t="n">
        <v>10</v>
      </c>
      <c r="L5" s="63" t="n">
        <v>11</v>
      </c>
      <c r="M5" s="63" t="n">
        <v>12</v>
      </c>
      <c r="N5" s="63" t="n">
        <v>13</v>
      </c>
      <c r="O5" s="63" t="n">
        <v>14</v>
      </c>
      <c r="P5" s="63" t="n">
        <v>15</v>
      </c>
      <c r="Q5" s="63" t="n">
        <v>16</v>
      </c>
      <c r="R5" s="63" t="n">
        <v>17</v>
      </c>
      <c r="S5" s="63" t="n">
        <v>18</v>
      </c>
      <c r="T5" s="63" t="n">
        <v>19</v>
      </c>
      <c r="U5" s="63" t="n">
        <v>20</v>
      </c>
      <c r="V5" s="63" t="n">
        <v>21</v>
      </c>
      <c r="W5" s="63" t="n">
        <v>22</v>
      </c>
      <c r="X5" s="63" t="n">
        <v>23</v>
      </c>
      <c r="Y5" s="63" t="n">
        <v>24</v>
      </c>
      <c r="Z5" s="63" t="n">
        <v>25</v>
      </c>
      <c r="AA5" s="63" t="n">
        <v>26</v>
      </c>
      <c r="AB5" s="63" t="n">
        <v>27</v>
      </c>
      <c r="AC5" s="63" t="n">
        <v>28</v>
      </c>
      <c r="AD5" s="63" t="n">
        <v>29</v>
      </c>
      <c r="AE5" s="63" t="n">
        <v>30</v>
      </c>
      <c r="AF5" s="63" t="n">
        <v>31</v>
      </c>
      <c r="AG5" s="63" t="n">
        <v>32</v>
      </c>
      <c r="AH5" s="63" t="n">
        <v>33</v>
      </c>
      <c r="AI5" s="63" t="n">
        <v>34</v>
      </c>
      <c r="AJ5" s="63" t="n">
        <v>35</v>
      </c>
      <c r="AK5" s="63" t="n">
        <v>36</v>
      </c>
      <c r="AL5" s="63" t="n">
        <v>37</v>
      </c>
      <c r="AM5" s="63" t="n">
        <v>38</v>
      </c>
      <c r="AN5" s="63" t="n">
        <v>39</v>
      </c>
      <c r="AO5" s="63" t="n">
        <v>40</v>
      </c>
      <c r="AP5" s="63" t="n">
        <v>41</v>
      </c>
      <c r="AQ5" s="63" t="n">
        <v>42</v>
      </c>
      <c r="AR5" s="63" t="n">
        <v>43</v>
      </c>
      <c r="AS5" s="63" t="n">
        <v>44</v>
      </c>
      <c r="AT5" s="63" t="n">
        <v>45</v>
      </c>
      <c r="AU5" s="63" t="n">
        <v>46</v>
      </c>
      <c r="AV5" s="63" t="n">
        <v>47</v>
      </c>
      <c r="AW5" s="63" t="n">
        <v>48</v>
      </c>
      <c r="AX5" s="63" t="n">
        <v>49</v>
      </c>
      <c r="AY5" s="63" t="n">
        <v>50</v>
      </c>
      <c r="AZ5" s="63" t="n">
        <v>51</v>
      </c>
      <c r="BA5" s="63" t="n">
        <v>52</v>
      </c>
      <c r="BB5" s="63" t="n">
        <v>53</v>
      </c>
      <c r="BC5" s="63" t="n">
        <v>54</v>
      </c>
      <c r="BD5" s="63" t="n">
        <v>55</v>
      </c>
      <c r="BE5" s="63" t="n">
        <v>56</v>
      </c>
      <c r="BF5" s="63" t="n">
        <v>57</v>
      </c>
      <c r="BG5" s="63" t="n">
        <v>58</v>
      </c>
      <c r="BH5" s="63" t="n">
        <v>59</v>
      </c>
      <c r="BI5" s="63" t="n">
        <v>60</v>
      </c>
    </row>
    <row r="6" customFormat="false" ht="15" hidden="false" customHeight="false" outlineLevel="0" collapsed="false">
      <c r="A6" s="62" t="s">
        <v>193</v>
      </c>
      <c r="B6" s="64" t="n">
        <f aca="false">YEAR(B4)</f>
        <v>2026</v>
      </c>
      <c r="C6" s="64" t="n">
        <f aca="false">YEAR(C4)</f>
        <v>2026</v>
      </c>
      <c r="D6" s="64" t="n">
        <f aca="false">YEAR(D4)</f>
        <v>2026</v>
      </c>
      <c r="E6" s="64" t="n">
        <f aca="false">YEAR(E4)</f>
        <v>2026</v>
      </c>
      <c r="F6" s="64" t="n">
        <f aca="false">YEAR(F4)</f>
        <v>2026</v>
      </c>
      <c r="G6" s="64" t="n">
        <f aca="false">YEAR(G4)</f>
        <v>2026</v>
      </c>
      <c r="H6" s="64" t="n">
        <f aca="false">YEAR(H4)</f>
        <v>2026</v>
      </c>
      <c r="I6" s="64" t="n">
        <f aca="false">YEAR(I4)</f>
        <v>2026</v>
      </c>
      <c r="J6" s="64" t="n">
        <f aca="false">YEAR(J4)</f>
        <v>2026</v>
      </c>
      <c r="K6" s="64" t="n">
        <f aca="false">YEAR(K4)</f>
        <v>2026</v>
      </c>
      <c r="L6" s="64" t="n">
        <f aca="false">YEAR(L4)</f>
        <v>2026</v>
      </c>
      <c r="M6" s="64" t="n">
        <f aca="false">YEAR(M4)</f>
        <v>2026</v>
      </c>
      <c r="N6" s="64" t="n">
        <f aca="false">YEAR(N4)</f>
        <v>2027</v>
      </c>
      <c r="O6" s="64" t="n">
        <f aca="false">YEAR(O4)</f>
        <v>2027</v>
      </c>
      <c r="P6" s="64" t="n">
        <f aca="false">YEAR(P4)</f>
        <v>2027</v>
      </c>
      <c r="Q6" s="64" t="n">
        <f aca="false">YEAR(Q4)</f>
        <v>2027</v>
      </c>
      <c r="R6" s="64" t="n">
        <f aca="false">YEAR(R4)</f>
        <v>2027</v>
      </c>
      <c r="S6" s="64" t="n">
        <f aca="false">YEAR(S4)</f>
        <v>2027</v>
      </c>
      <c r="T6" s="64" t="n">
        <f aca="false">YEAR(T4)</f>
        <v>2027</v>
      </c>
      <c r="U6" s="64" t="n">
        <f aca="false">YEAR(U4)</f>
        <v>2027</v>
      </c>
      <c r="V6" s="64" t="n">
        <f aca="false">YEAR(V4)</f>
        <v>2027</v>
      </c>
      <c r="W6" s="64" t="n">
        <f aca="false">YEAR(W4)</f>
        <v>2027</v>
      </c>
      <c r="X6" s="64" t="n">
        <f aca="false">YEAR(X4)</f>
        <v>2027</v>
      </c>
      <c r="Y6" s="64" t="n">
        <f aca="false">YEAR(Y4)</f>
        <v>2027</v>
      </c>
      <c r="Z6" s="64" t="n">
        <f aca="false">YEAR(Z4)</f>
        <v>2028</v>
      </c>
      <c r="AA6" s="64" t="n">
        <f aca="false">YEAR(AA4)</f>
        <v>2028</v>
      </c>
      <c r="AB6" s="64" t="n">
        <f aca="false">YEAR(AB4)</f>
        <v>2028</v>
      </c>
      <c r="AC6" s="64" t="n">
        <f aca="false">YEAR(AC4)</f>
        <v>2028</v>
      </c>
      <c r="AD6" s="64" t="n">
        <f aca="false">YEAR(AD4)</f>
        <v>2028</v>
      </c>
      <c r="AE6" s="64" t="n">
        <f aca="false">YEAR(AE4)</f>
        <v>2028</v>
      </c>
      <c r="AF6" s="64" t="n">
        <f aca="false">YEAR(AF4)</f>
        <v>2028</v>
      </c>
      <c r="AG6" s="64" t="n">
        <f aca="false">YEAR(AG4)</f>
        <v>2028</v>
      </c>
      <c r="AH6" s="64" t="n">
        <f aca="false">YEAR(AH4)</f>
        <v>2028</v>
      </c>
      <c r="AI6" s="64" t="n">
        <f aca="false">YEAR(AI4)</f>
        <v>2028</v>
      </c>
      <c r="AJ6" s="64" t="n">
        <f aca="false">YEAR(AJ4)</f>
        <v>2028</v>
      </c>
      <c r="AK6" s="64" t="n">
        <f aca="false">YEAR(AK4)</f>
        <v>2028</v>
      </c>
      <c r="AL6" s="64" t="n">
        <f aca="false">YEAR(AL4)</f>
        <v>2029</v>
      </c>
      <c r="AM6" s="64" t="n">
        <f aca="false">YEAR(AM4)</f>
        <v>2029</v>
      </c>
      <c r="AN6" s="64" t="n">
        <f aca="false">YEAR(AN4)</f>
        <v>2029</v>
      </c>
      <c r="AO6" s="64" t="n">
        <f aca="false">YEAR(AO4)</f>
        <v>2029</v>
      </c>
      <c r="AP6" s="64" t="n">
        <f aca="false">YEAR(AP4)</f>
        <v>2029</v>
      </c>
      <c r="AQ6" s="64" t="n">
        <f aca="false">YEAR(AQ4)</f>
        <v>2029</v>
      </c>
      <c r="AR6" s="64" t="n">
        <f aca="false">YEAR(AR4)</f>
        <v>2029</v>
      </c>
      <c r="AS6" s="64" t="n">
        <f aca="false">YEAR(AS4)</f>
        <v>2029</v>
      </c>
      <c r="AT6" s="64" t="n">
        <f aca="false">YEAR(AT4)</f>
        <v>2029</v>
      </c>
      <c r="AU6" s="64" t="n">
        <f aca="false">YEAR(AU4)</f>
        <v>2029</v>
      </c>
      <c r="AV6" s="64" t="n">
        <f aca="false">YEAR(AV4)</f>
        <v>2029</v>
      </c>
      <c r="AW6" s="64" t="n">
        <f aca="false">YEAR(AW4)</f>
        <v>2029</v>
      </c>
      <c r="AX6" s="64" t="n">
        <f aca="false">YEAR(AX4)</f>
        <v>2030</v>
      </c>
      <c r="AY6" s="64" t="n">
        <f aca="false">YEAR(AY4)</f>
        <v>2030</v>
      </c>
      <c r="AZ6" s="64" t="n">
        <f aca="false">YEAR(AZ4)</f>
        <v>2030</v>
      </c>
      <c r="BA6" s="64" t="n">
        <f aca="false">YEAR(BA4)</f>
        <v>2030</v>
      </c>
      <c r="BB6" s="64" t="n">
        <f aca="false">YEAR(BB4)</f>
        <v>2030</v>
      </c>
      <c r="BC6" s="64" t="n">
        <f aca="false">YEAR(BC4)</f>
        <v>2030</v>
      </c>
      <c r="BD6" s="64" t="n">
        <f aca="false">YEAR(BD4)</f>
        <v>2030</v>
      </c>
      <c r="BE6" s="64" t="n">
        <f aca="false">YEAR(BE4)</f>
        <v>2030</v>
      </c>
      <c r="BF6" s="64" t="n">
        <f aca="false">YEAR(BF4)</f>
        <v>2030</v>
      </c>
      <c r="BG6" s="64" t="n">
        <f aca="false">YEAR(BG4)</f>
        <v>2030</v>
      </c>
      <c r="BH6" s="64" t="n">
        <f aca="false">YEAR(BH4)</f>
        <v>2030</v>
      </c>
      <c r="BI6" s="64" t="n">
        <f aca="false">YEAR(BI4)</f>
        <v>2030</v>
      </c>
    </row>
    <row r="7" customFormat="false" ht="15" hidden="false" customHeight="false" outlineLevel="0" collapsed="false">
      <c r="A7" s="65" t="s">
        <v>194</v>
      </c>
      <c r="B7" s="66" t="n">
        <f aca="false">MATCH(B6,Premissas!$C$5:$G$5,0)</f>
        <v>1</v>
      </c>
      <c r="C7" s="66" t="n">
        <f aca="false">MATCH(C6,Premissas!$C$5:$G$5,0)</f>
        <v>1</v>
      </c>
      <c r="D7" s="66" t="n">
        <f aca="false">MATCH(D6,Premissas!$C$5:$G$5,0)</f>
        <v>1</v>
      </c>
      <c r="E7" s="66" t="n">
        <f aca="false">MATCH(E6,Premissas!$C$5:$G$5,0)</f>
        <v>1</v>
      </c>
      <c r="F7" s="66" t="n">
        <f aca="false">MATCH(F6,Premissas!$C$5:$G$5,0)</f>
        <v>1</v>
      </c>
      <c r="G7" s="66" t="n">
        <f aca="false">MATCH(G6,Premissas!$C$5:$G$5,0)</f>
        <v>1</v>
      </c>
      <c r="H7" s="66" t="n">
        <f aca="false">MATCH(H6,Premissas!$C$5:$G$5,0)</f>
        <v>1</v>
      </c>
      <c r="I7" s="66" t="n">
        <f aca="false">MATCH(I6,Premissas!$C$5:$G$5,0)</f>
        <v>1</v>
      </c>
      <c r="J7" s="66" t="n">
        <f aca="false">MATCH(J6,Premissas!$C$5:$G$5,0)</f>
        <v>1</v>
      </c>
      <c r="K7" s="66" t="n">
        <f aca="false">MATCH(K6,Premissas!$C$5:$G$5,0)</f>
        <v>1</v>
      </c>
      <c r="L7" s="66" t="n">
        <f aca="false">MATCH(L6,Premissas!$C$5:$G$5,0)</f>
        <v>1</v>
      </c>
      <c r="M7" s="66" t="n">
        <f aca="false">MATCH(M6,Premissas!$C$5:$G$5,0)</f>
        <v>1</v>
      </c>
      <c r="N7" s="66" t="n">
        <f aca="false">MATCH(N6,Premissas!$C$5:$G$5,0)</f>
        <v>2</v>
      </c>
      <c r="O7" s="66" t="n">
        <f aca="false">MATCH(O6,Premissas!$C$5:$G$5,0)</f>
        <v>2</v>
      </c>
      <c r="P7" s="66" t="n">
        <f aca="false">MATCH(P6,Premissas!$C$5:$G$5,0)</f>
        <v>2</v>
      </c>
      <c r="Q7" s="66" t="n">
        <f aca="false">MATCH(Q6,Premissas!$C$5:$G$5,0)</f>
        <v>2</v>
      </c>
      <c r="R7" s="66" t="n">
        <f aca="false">MATCH(R6,Premissas!$C$5:$G$5,0)</f>
        <v>2</v>
      </c>
      <c r="S7" s="66" t="n">
        <f aca="false">MATCH(S6,Premissas!$C$5:$G$5,0)</f>
        <v>2</v>
      </c>
      <c r="T7" s="66" t="n">
        <f aca="false">MATCH(T6,Premissas!$C$5:$G$5,0)</f>
        <v>2</v>
      </c>
      <c r="U7" s="66" t="n">
        <f aca="false">MATCH(U6,Premissas!$C$5:$G$5,0)</f>
        <v>2</v>
      </c>
      <c r="V7" s="66" t="n">
        <f aca="false">MATCH(V6,Premissas!$C$5:$G$5,0)</f>
        <v>2</v>
      </c>
      <c r="W7" s="66" t="n">
        <f aca="false">MATCH(W6,Premissas!$C$5:$G$5,0)</f>
        <v>2</v>
      </c>
      <c r="X7" s="66" t="n">
        <f aca="false">MATCH(X6,Premissas!$C$5:$G$5,0)</f>
        <v>2</v>
      </c>
      <c r="Y7" s="66" t="n">
        <f aca="false">MATCH(Y6,Premissas!$C$5:$G$5,0)</f>
        <v>2</v>
      </c>
      <c r="Z7" s="66" t="n">
        <f aca="false">MATCH(Z6,Premissas!$C$5:$G$5,0)</f>
        <v>3</v>
      </c>
      <c r="AA7" s="66" t="n">
        <f aca="false">MATCH(AA6,Premissas!$C$5:$G$5,0)</f>
        <v>3</v>
      </c>
      <c r="AB7" s="66" t="n">
        <f aca="false">MATCH(AB6,Premissas!$C$5:$G$5,0)</f>
        <v>3</v>
      </c>
      <c r="AC7" s="66" t="n">
        <f aca="false">MATCH(AC6,Premissas!$C$5:$G$5,0)</f>
        <v>3</v>
      </c>
      <c r="AD7" s="66" t="n">
        <f aca="false">MATCH(AD6,Premissas!$C$5:$G$5,0)</f>
        <v>3</v>
      </c>
      <c r="AE7" s="66" t="n">
        <f aca="false">MATCH(AE6,Premissas!$C$5:$G$5,0)</f>
        <v>3</v>
      </c>
      <c r="AF7" s="66" t="n">
        <f aca="false">MATCH(AF6,Premissas!$C$5:$G$5,0)</f>
        <v>3</v>
      </c>
      <c r="AG7" s="66" t="n">
        <f aca="false">MATCH(AG6,Premissas!$C$5:$G$5,0)</f>
        <v>3</v>
      </c>
      <c r="AH7" s="66" t="n">
        <f aca="false">MATCH(AH6,Premissas!$C$5:$G$5,0)</f>
        <v>3</v>
      </c>
      <c r="AI7" s="66" t="n">
        <f aca="false">MATCH(AI6,Premissas!$C$5:$G$5,0)</f>
        <v>3</v>
      </c>
      <c r="AJ7" s="66" t="n">
        <f aca="false">MATCH(AJ6,Premissas!$C$5:$G$5,0)</f>
        <v>3</v>
      </c>
      <c r="AK7" s="66" t="n">
        <f aca="false">MATCH(AK6,Premissas!$C$5:$G$5,0)</f>
        <v>3</v>
      </c>
      <c r="AL7" s="66" t="n">
        <f aca="false">MATCH(AL6,Premissas!$C$5:$G$5,0)</f>
        <v>4</v>
      </c>
      <c r="AM7" s="66" t="n">
        <f aca="false">MATCH(AM6,Premissas!$C$5:$G$5,0)</f>
        <v>4</v>
      </c>
      <c r="AN7" s="66" t="n">
        <f aca="false">MATCH(AN6,Premissas!$C$5:$G$5,0)</f>
        <v>4</v>
      </c>
      <c r="AO7" s="66" t="n">
        <f aca="false">MATCH(AO6,Premissas!$C$5:$G$5,0)</f>
        <v>4</v>
      </c>
      <c r="AP7" s="66" t="n">
        <f aca="false">MATCH(AP6,Premissas!$C$5:$G$5,0)</f>
        <v>4</v>
      </c>
      <c r="AQ7" s="66" t="n">
        <f aca="false">MATCH(AQ6,Premissas!$C$5:$G$5,0)</f>
        <v>4</v>
      </c>
      <c r="AR7" s="66" t="n">
        <f aca="false">MATCH(AR6,Premissas!$C$5:$G$5,0)</f>
        <v>4</v>
      </c>
      <c r="AS7" s="66" t="n">
        <f aca="false">MATCH(AS6,Premissas!$C$5:$G$5,0)</f>
        <v>4</v>
      </c>
      <c r="AT7" s="66" t="n">
        <f aca="false">MATCH(AT6,Premissas!$C$5:$G$5,0)</f>
        <v>4</v>
      </c>
      <c r="AU7" s="66" t="n">
        <f aca="false">MATCH(AU6,Premissas!$C$5:$G$5,0)</f>
        <v>4</v>
      </c>
      <c r="AV7" s="66" t="n">
        <f aca="false">MATCH(AV6,Premissas!$C$5:$G$5,0)</f>
        <v>4</v>
      </c>
      <c r="AW7" s="66" t="n">
        <f aca="false">MATCH(AW6,Premissas!$C$5:$G$5,0)</f>
        <v>4</v>
      </c>
      <c r="AX7" s="66" t="n">
        <f aca="false">MATCH(AX6,Premissas!$C$5:$G$5,0)</f>
        <v>5</v>
      </c>
      <c r="AY7" s="66" t="n">
        <f aca="false">MATCH(AY6,Premissas!$C$5:$G$5,0)</f>
        <v>5</v>
      </c>
      <c r="AZ7" s="66" t="n">
        <f aca="false">MATCH(AZ6,Premissas!$C$5:$G$5,0)</f>
        <v>5</v>
      </c>
      <c r="BA7" s="66" t="n">
        <f aca="false">MATCH(BA6,Premissas!$C$5:$G$5,0)</f>
        <v>5</v>
      </c>
      <c r="BB7" s="66" t="n">
        <f aca="false">MATCH(BB6,Premissas!$C$5:$G$5,0)</f>
        <v>5</v>
      </c>
      <c r="BC7" s="66" t="n">
        <f aca="false">MATCH(BC6,Premissas!$C$5:$G$5,0)</f>
        <v>5</v>
      </c>
      <c r="BD7" s="66" t="n">
        <f aca="false">MATCH(BD6,Premissas!$C$5:$G$5,0)</f>
        <v>5</v>
      </c>
      <c r="BE7" s="66" t="n">
        <f aca="false">MATCH(BE6,Premissas!$C$5:$G$5,0)</f>
        <v>5</v>
      </c>
      <c r="BF7" s="66" t="n">
        <f aca="false">MATCH(BF6,Premissas!$C$5:$G$5,0)</f>
        <v>5</v>
      </c>
      <c r="BG7" s="66" t="n">
        <f aca="false">MATCH(BG6,Premissas!$C$5:$G$5,0)</f>
        <v>5</v>
      </c>
      <c r="BH7" s="66" t="n">
        <f aca="false">MATCH(BH6,Premissas!$C$5:$G$5,0)</f>
        <v>5</v>
      </c>
      <c r="BI7" s="66" t="n">
        <f aca="false">MATCH(BI6,Premissas!$C$5:$G$5,0)</f>
        <v>5</v>
      </c>
    </row>
    <row r="8" customFormat="false" ht="18" hidden="false" customHeight="true" outlineLevel="0" collapsed="false">
      <c r="A8" s="10" t="s">
        <v>195</v>
      </c>
      <c r="B8" s="11"/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  <c r="AO8" s="11"/>
      <c r="AP8" s="11"/>
      <c r="AQ8" s="11"/>
      <c r="AR8" s="11"/>
      <c r="AS8" s="11"/>
      <c r="AT8" s="11"/>
      <c r="AU8" s="11"/>
      <c r="AV8" s="11"/>
      <c r="AW8" s="11"/>
      <c r="AX8" s="11"/>
      <c r="AY8" s="11"/>
      <c r="AZ8" s="11"/>
      <c r="BA8" s="11"/>
      <c r="BB8" s="11"/>
      <c r="BC8" s="11"/>
      <c r="BD8" s="11"/>
      <c r="BE8" s="11"/>
      <c r="BF8" s="11"/>
      <c r="BG8" s="11"/>
      <c r="BH8" s="11"/>
      <c r="BI8" s="11"/>
      <c r="BJ8" s="11"/>
      <c r="BK8" s="11"/>
    </row>
    <row r="9" customFormat="false" ht="15" hidden="false" customHeight="false" outlineLevel="0" collapsed="false">
      <c r="A9" s="67" t="s">
        <v>196</v>
      </c>
      <c r="B9" s="68" t="n">
        <f aca="false">CHOOSE(Premissas!$B$6,Cenários!B19,Cenários!B63,Cenários!B107)</f>
        <v>0</v>
      </c>
      <c r="C9" s="68" t="n">
        <f aca="false">CHOOSE(Premissas!$B$6,Cenários!C19,Cenários!C63,Cenários!C107)</f>
        <v>0</v>
      </c>
      <c r="D9" s="68" t="n">
        <f aca="false">CHOOSE(Premissas!$B$6,Cenários!D19,Cenários!D63,Cenários!D107)</f>
        <v>0</v>
      </c>
      <c r="E9" s="68" t="n">
        <f aca="false">CHOOSE(Premissas!$B$6,Cenários!E19,Cenários!E63,Cenários!E107)</f>
        <v>0</v>
      </c>
      <c r="F9" s="68" t="n">
        <f aca="false">CHOOSE(Premissas!$B$6,Cenários!F19,Cenários!F63,Cenários!F107)</f>
        <v>0</v>
      </c>
      <c r="G9" s="68" t="n">
        <f aca="false">CHOOSE(Premissas!$B$6,Cenários!G19,Cenários!G63,Cenários!G107)</f>
        <v>0</v>
      </c>
      <c r="H9" s="68" t="n">
        <f aca="false">CHOOSE(Premissas!$B$6,Cenários!H19,Cenários!H63,Cenários!H107)</f>
        <v>0</v>
      </c>
      <c r="I9" s="68" t="n">
        <f aca="false">CHOOSE(Premissas!$B$6,Cenários!I19,Cenários!I63,Cenários!I107)</f>
        <v>0</v>
      </c>
      <c r="J9" s="68" t="n">
        <f aca="false">CHOOSE(Premissas!$B$6,Cenários!J19,Cenários!J63,Cenários!J107)</f>
        <v>0</v>
      </c>
      <c r="K9" s="68" t="n">
        <f aca="false">CHOOSE(Premissas!$B$6,Cenários!K19,Cenários!K63,Cenários!K107)</f>
        <v>13512.1</v>
      </c>
      <c r="L9" s="68" t="n">
        <f aca="false">CHOOSE(Premissas!$B$6,Cenários!L19,Cenários!L63,Cenários!L107)</f>
        <v>25949.6</v>
      </c>
      <c r="M9" s="68" t="n">
        <f aca="false">CHOOSE(Premissas!$B$6,Cenários!M19,Cenários!M63,Cenários!M107)</f>
        <v>37372.2</v>
      </c>
      <c r="N9" s="68" t="n">
        <f aca="false">CHOOSE(Premissas!$B$6,Cenários!N19,Cenários!N63,Cenários!N107)</f>
        <v>56251.8275</v>
      </c>
      <c r="O9" s="68" t="n">
        <f aca="false">CHOOSE(Premissas!$B$6,Cenários!O19,Cenários!O63,Cenários!O107)</f>
        <v>70164.017</v>
      </c>
      <c r="P9" s="68" t="n">
        <f aca="false">CHOOSE(Premissas!$B$6,Cenários!P19,Cenários!P63,Cenários!P107)</f>
        <v>83015.636</v>
      </c>
      <c r="Q9" s="68" t="n">
        <f aca="false">CHOOSE(Premissas!$B$6,Cenários!Q19,Cenários!Q63,Cenários!Q107)</f>
        <v>94889.8665</v>
      </c>
      <c r="R9" s="68" t="n">
        <f aca="false">CHOOSE(Premissas!$B$6,Cenários!R19,Cenários!R63,Cenários!R107)</f>
        <v>105911.4815</v>
      </c>
      <c r="S9" s="68" t="n">
        <f aca="false">CHOOSE(Premissas!$B$6,Cenários!S19,Cenários!S63,Cenários!S107)</f>
        <v>116080.481</v>
      </c>
      <c r="T9" s="68" t="n">
        <f aca="false">CHOOSE(Premissas!$B$6,Cenários!T19,Cenários!T63,Cenários!T107)</f>
        <v>125480.047</v>
      </c>
      <c r="U9" s="68" t="n">
        <f aca="false">CHOOSE(Premissas!$B$6,Cenários!U19,Cenários!U63,Cenários!U107)</f>
        <v>134193.3615</v>
      </c>
      <c r="V9" s="68" t="n">
        <f aca="false">CHOOSE(Premissas!$B$6,Cenários!V19,Cenários!V63,Cenários!V107)</f>
        <v>142241.22</v>
      </c>
      <c r="W9" s="68" t="n">
        <f aca="false">CHOOSE(Premissas!$B$6,Cenários!W19,Cenários!W63,Cenários!W107)</f>
        <v>149706.8045</v>
      </c>
      <c r="X9" s="68" t="n">
        <f aca="false">CHOOSE(Premissas!$B$6,Cenários!X19,Cenários!X63,Cenários!X107)</f>
        <v>156590.115</v>
      </c>
      <c r="Y9" s="68" t="n">
        <f aca="false">CHOOSE(Premissas!$B$6,Cenários!Y19,Cenários!Y63,Cenários!Y107)</f>
        <v>162953.538</v>
      </c>
      <c r="Z9" s="68" t="n">
        <f aca="false">CHOOSE(Premissas!$B$6,Cenários!Z19,Cenários!Z63,Cenários!Z107)</f>
        <v>203078.9751375</v>
      </c>
      <c r="AA9" s="68" t="n">
        <f aca="false">CHOOSE(Premissas!$B$6,Cenários!AA19,Cenários!AA63,Cenários!AA107)</f>
        <v>228743.637485</v>
      </c>
      <c r="AB9" s="68" t="n">
        <f aca="false">CHOOSE(Premissas!$B$6,Cenários!AB19,Cenários!AB63,Cenários!AB107)</f>
        <v>252626.3334375</v>
      </c>
      <c r="AC9" s="68" t="n">
        <f aca="false">CHOOSE(Premissas!$B$6,Cenários!AC19,Cenários!AC63,Cenários!AC107)</f>
        <v>274857.45078</v>
      </c>
      <c r="AD9" s="68" t="n">
        <f aca="false">CHOOSE(Premissas!$B$6,Cenários!AD19,Cenários!AD63,Cenários!AD107)</f>
        <v>295523.9147025</v>
      </c>
      <c r="AE9" s="68" t="n">
        <f aca="false">CHOOSE(Premissas!$B$6,Cenários!AE19,Cenários!AE63,Cenários!AE107)</f>
        <v>314734.3816925</v>
      </c>
      <c r="AF9" s="68" t="n">
        <f aca="false">CHOOSE(Premissas!$B$6,Cenários!AF19,Cenários!AF63,Cenários!AF107)</f>
        <v>332597.5082375</v>
      </c>
      <c r="AG9" s="68" t="n">
        <f aca="false">CHOOSE(Premissas!$B$6,Cenários!AG19,Cenários!AG63,Cenários!AG107)</f>
        <v>349200.2195275</v>
      </c>
      <c r="AH9" s="68" t="n">
        <f aca="false">CHOOSE(Premissas!$B$6,Cenários!AH19,Cenários!AH63,Cenários!AH107)</f>
        <v>364651.17205</v>
      </c>
      <c r="AI9" s="68" t="n">
        <f aca="false">CHOOSE(Premissas!$B$6,Cenários!AI19,Cenários!AI63,Cenários!AI107)</f>
        <v>379037.290995</v>
      </c>
      <c r="AJ9" s="68" t="n">
        <f aca="false">CHOOSE(Premissas!$B$6,Cenários!AJ19,Cenários!AJ63,Cenários!AJ107)</f>
        <v>392402.0389575</v>
      </c>
      <c r="AK9" s="68" t="n">
        <f aca="false">CHOOSE(Premissas!$B$6,Cenários!AK19,Cenários!AK63,Cenários!AK107)</f>
        <v>404832.3411275</v>
      </c>
      <c r="AL9" s="68" t="n">
        <f aca="false">CHOOSE(Premissas!$B$6,Cenários!AL19,Cenários!AL63,Cenários!AL107)</f>
        <v>469421.994900512</v>
      </c>
      <c r="AM9" s="68" t="n">
        <f aca="false">CHOOSE(Premissas!$B$6,Cenários!AM19,Cenários!AM63,Cenários!AM107)</f>
        <v>505052.738938</v>
      </c>
      <c r="AN9" s="68" t="n">
        <f aca="false">CHOOSE(Premissas!$B$6,Cenários!AN19,Cenários!AN63,Cenários!AN107)</f>
        <v>538344.434769075</v>
      </c>
      <c r="AO9" s="68" t="n">
        <f aca="false">CHOOSE(Premissas!$B$6,Cenários!AO19,Cenários!AO63,Cenários!AO107)</f>
        <v>569501.465246725</v>
      </c>
      <c r="AP9" s="68" t="n">
        <f aca="false">CHOOSE(Premissas!$B$6,Cenários!AP19,Cenários!AP63,Cenários!AP107)</f>
        <v>598614.6671945</v>
      </c>
      <c r="AQ9" s="68" t="n">
        <f aca="false">CHOOSE(Premissas!$B$6,Cenários!AQ19,Cenários!AQ63,Cenários!AQ107)</f>
        <v>625820.295847725</v>
      </c>
      <c r="AR9" s="68" t="n">
        <f aca="false">CHOOSE(Premissas!$B$6,Cenários!AR19,Cenários!AR63,Cenários!AR107)</f>
        <v>651277.315647612</v>
      </c>
      <c r="AS9" s="68" t="n">
        <f aca="false">CHOOSE(Premissas!$B$6,Cenários!AS19,Cenários!AS63,Cenários!AS107)</f>
        <v>675076.563417712</v>
      </c>
      <c r="AT9" s="68" t="n">
        <f aca="false">CHOOSE(Premissas!$B$6,Cenários!AT19,Cenários!AT63,Cenários!AT107)</f>
        <v>697331.585187462</v>
      </c>
      <c r="AU9" s="68" t="n">
        <f aca="false">CHOOSE(Premissas!$B$6,Cenários!AU19,Cenários!AU63,Cenários!AU107)</f>
        <v>718110.508574525</v>
      </c>
      <c r="AV9" s="68" t="n">
        <f aca="false">CHOOSE(Premissas!$B$6,Cenários!AV19,Cenários!AV63,Cenários!AV107)</f>
        <v>737572.298020112</v>
      </c>
      <c r="AW9" s="68" t="n">
        <f aca="false">CHOOSE(Premissas!$B$6,Cenários!AW19,Cenários!AW63,Cenários!AW107)</f>
        <v>755762.371936</v>
      </c>
      <c r="AX9" s="68" t="n">
        <f aca="false">CHOOSE(Premissas!$B$6,Cenários!AX19,Cenários!AX63,Cenários!AX107)</f>
        <v>844210.868302811</v>
      </c>
      <c r="AY9" s="68" t="n">
        <f aca="false">CHOOSE(Premissas!$B$6,Cenários!AY19,Cenários!AY63,Cenários!AY107)</f>
        <v>888232.096185583</v>
      </c>
      <c r="AZ9" s="68" t="n">
        <f aca="false">CHOOSE(Premissas!$B$6,Cenários!AZ19,Cenários!AZ63,Cenários!AZ107)</f>
        <v>929642.900851586</v>
      </c>
      <c r="BA9" s="68" t="n">
        <f aca="false">CHOOSE(Premissas!$B$6,Cenários!BA19,Cenários!BA63,Cenários!BA107)</f>
        <v>968538.206781431</v>
      </c>
      <c r="BB9" s="68" t="n">
        <f aca="false">CHOOSE(Premissas!$B$6,Cenários!BB19,Cenários!BB63,Cenários!BB107)</f>
        <v>1005131.59405649</v>
      </c>
      <c r="BC9" s="68" t="n">
        <f aca="false">CHOOSE(Premissas!$B$6,Cenários!BC19,Cenários!BC63,Cenários!BC107)</f>
        <v>1039494.25603722</v>
      </c>
      <c r="BD9" s="68" t="n">
        <f aca="false">CHOOSE(Premissas!$B$6,Cenários!BD19,Cenários!BD63,Cenários!BD107)</f>
        <v>1071816.04168484</v>
      </c>
      <c r="BE9" s="68" t="n">
        <f aca="false">CHOOSE(Premissas!$B$6,Cenários!BE19,Cenários!BE63,Cenários!BE107)</f>
        <v>1102191.87547996</v>
      </c>
      <c r="BF9" s="68" t="n">
        <f aca="false">CHOOSE(Premissas!$B$6,Cenários!BF19,Cenários!BF63,Cenários!BF107)</f>
        <v>1130740.41302334</v>
      </c>
      <c r="BG9" s="68" t="n">
        <f aca="false">CHOOSE(Premissas!$B$6,Cenários!BG19,Cenários!BG63,Cenários!BG107)</f>
        <v>1157580.30991575</v>
      </c>
      <c r="BH9" s="68" t="n">
        <f aca="false">CHOOSE(Premissas!$B$6,Cenários!BH19,Cenários!BH63,Cenários!BH107)</f>
        <v>1182830.22175794</v>
      </c>
      <c r="BI9" s="68" t="n">
        <f aca="false">CHOOSE(Premissas!$B$6,Cenários!BI19,Cenários!BI63,Cenários!BI107)</f>
        <v>1206537.61079023</v>
      </c>
      <c r="BJ9" s="69" t="n">
        <f aca="false">SUM(B9:BI9)</f>
        <v>25335430.1941771</v>
      </c>
    </row>
    <row r="10" customFormat="false" ht="15" hidden="false" customHeight="false" outlineLevel="0" collapsed="false">
      <c r="A10" s="67" t="s">
        <v>197</v>
      </c>
      <c r="B10" s="68" t="n">
        <f aca="false">CHOOSE(Premissas!$B$6,Cenários!B20,Cenários!B64,Cenários!B108)</f>
        <v>0</v>
      </c>
      <c r="C10" s="68" t="n">
        <f aca="false">CHOOSE(Premissas!$B$6,Cenários!C20,Cenários!C64,Cenários!C108)</f>
        <v>0</v>
      </c>
      <c r="D10" s="68" t="n">
        <f aca="false">CHOOSE(Premissas!$B$6,Cenários!D20,Cenários!D64,Cenários!D108)</f>
        <v>0</v>
      </c>
      <c r="E10" s="68" t="n">
        <f aca="false">CHOOSE(Premissas!$B$6,Cenários!E20,Cenários!E64,Cenários!E108)</f>
        <v>0</v>
      </c>
      <c r="F10" s="68" t="n">
        <f aca="false">CHOOSE(Premissas!$B$6,Cenários!F20,Cenários!F64,Cenários!F108)</f>
        <v>0</v>
      </c>
      <c r="G10" s="68" t="n">
        <f aca="false">CHOOSE(Premissas!$B$6,Cenários!G20,Cenários!G64,Cenários!G108)</f>
        <v>0</v>
      </c>
      <c r="H10" s="68" t="n">
        <f aca="false">CHOOSE(Premissas!$B$6,Cenários!H20,Cenários!H64,Cenários!H108)</f>
        <v>0</v>
      </c>
      <c r="I10" s="68" t="n">
        <f aca="false">CHOOSE(Premissas!$B$6,Cenários!I20,Cenários!I64,Cenários!I108)</f>
        <v>0</v>
      </c>
      <c r="J10" s="68" t="n">
        <f aca="false">CHOOSE(Premissas!$B$6,Cenários!J20,Cenários!J64,Cenários!J108)</f>
        <v>0</v>
      </c>
      <c r="K10" s="68" t="n">
        <f aca="false">CHOOSE(Premissas!$B$6,Cenários!K20,Cenários!K64,Cenários!K108)</f>
        <v>7221.9</v>
      </c>
      <c r="L10" s="68" t="n">
        <f aca="false">CHOOSE(Premissas!$B$6,Cenários!L20,Cenários!L64,Cenários!L108)</f>
        <v>13885.2</v>
      </c>
      <c r="M10" s="68" t="n">
        <f aca="false">CHOOSE(Premissas!$B$6,Cenários!M20,Cenários!M64,Cenários!M108)</f>
        <v>19989.9</v>
      </c>
      <c r="N10" s="68" t="n">
        <f aca="false">CHOOSE(Premissas!$B$6,Cenários!N20,Cenários!N64,Cenários!N108)</f>
        <v>34482.1785</v>
      </c>
      <c r="O10" s="68" t="n">
        <f aca="false">CHOOSE(Premissas!$B$6,Cenários!O20,Cenários!O64,Cenários!O108)</f>
        <v>42988.0605</v>
      </c>
      <c r="P10" s="68" t="n">
        <f aca="false">CHOOSE(Premissas!$B$6,Cenários!P20,Cenários!P64,Cenários!P108)</f>
        <v>50868.51</v>
      </c>
      <c r="Q10" s="68" t="n">
        <f aca="false">CHOOSE(Premissas!$B$6,Cenários!Q20,Cenários!Q64,Cenários!Q108)</f>
        <v>58123.527</v>
      </c>
      <c r="R10" s="68" t="n">
        <f aca="false">CHOOSE(Premissas!$B$6,Cenários!R20,Cenários!R64,Cenários!R108)</f>
        <v>64878.198</v>
      </c>
      <c r="S10" s="68" t="n">
        <f aca="false">CHOOSE(Premissas!$B$6,Cenários!S20,Cenários!S64,Cenários!S108)</f>
        <v>71132.523</v>
      </c>
      <c r="T10" s="68" t="n">
        <f aca="false">CHOOSE(Premissas!$B$6,Cenários!T20,Cenários!T64,Cenários!T108)</f>
        <v>76886.502</v>
      </c>
      <c r="U10" s="68" t="n">
        <f aca="false">CHOOSE(Premissas!$B$6,Cenários!U20,Cenários!U64,Cenários!U108)</f>
        <v>82223.526</v>
      </c>
      <c r="V10" s="68" t="n">
        <f aca="false">CHOOSE(Premissas!$B$6,Cenários!V20,Cenários!V64,Cenários!V108)</f>
        <v>87143.595</v>
      </c>
      <c r="W10" s="68" t="n">
        <f aca="false">CHOOSE(Premissas!$B$6,Cenários!W20,Cenários!W64,Cenários!W108)</f>
        <v>91730.1</v>
      </c>
      <c r="X10" s="68" t="n">
        <f aca="false">CHOOSE(Premissas!$B$6,Cenários!X20,Cenários!X64,Cenários!X108)</f>
        <v>95941.3455</v>
      </c>
      <c r="Y10" s="68" t="n">
        <f aca="false">CHOOSE(Premissas!$B$6,Cenários!Y20,Cenários!Y64,Cenários!Y108)</f>
        <v>99819.027</v>
      </c>
      <c r="Z10" s="68" t="n">
        <f aca="false">CHOOSE(Premissas!$B$6,Cenários!Z20,Cenários!Z64,Cenários!Z108)</f>
        <v>143699.788155</v>
      </c>
      <c r="AA10" s="68" t="n">
        <f aca="false">CHOOSE(Premissas!$B$6,Cenários!AA20,Cenários!AA64,Cenários!AA108)</f>
        <v>161869.2277125</v>
      </c>
      <c r="AB10" s="68" t="n">
        <f aca="false">CHOOSE(Premissas!$B$6,Cenários!AB20,Cenários!AB64,Cenários!AB108)</f>
        <v>178775.0851425</v>
      </c>
      <c r="AC10" s="68" t="n">
        <f aca="false">CHOOSE(Premissas!$B$6,Cenários!AC20,Cenários!AC64,Cenários!AC108)</f>
        <v>194504.50404</v>
      </c>
      <c r="AD10" s="68" t="n">
        <f aca="false">CHOOSE(Premissas!$B$6,Cenários!AD20,Cenários!AD64,Cenários!AD108)</f>
        <v>209144.628</v>
      </c>
      <c r="AE10" s="68" t="n">
        <f aca="false">CHOOSE(Premissas!$B$6,Cenários!AE20,Cenários!AE64,Cenários!AE108)</f>
        <v>222739.02882</v>
      </c>
      <c r="AF10" s="68" t="n">
        <f aca="false">CHOOSE(Premissas!$B$6,Cenários!AF20,Cenários!AF64,Cenários!AF108)</f>
        <v>235374.850095</v>
      </c>
      <c r="AG10" s="68" t="n">
        <f aca="false">CHOOSE(Premissas!$B$6,Cenários!AG20,Cenários!AG64,Cenários!AG108)</f>
        <v>247095.6636225</v>
      </c>
      <c r="AH10" s="68" t="n">
        <f aca="false">CHOOSE(Premissas!$B$6,Cenários!AH20,Cenários!AH64,Cenários!AH108)</f>
        <v>258032.184795</v>
      </c>
      <c r="AI10" s="68" t="n">
        <f aca="false">CHOOSE(Premissas!$B$6,Cenários!AI20,Cenários!AI64,Cenários!AI108)</f>
        <v>268227.98541</v>
      </c>
      <c r="AJ10" s="68" t="n">
        <f aca="false">CHOOSE(Premissas!$B$6,Cenários!AJ20,Cenários!AJ64,Cenários!AJ108)</f>
        <v>277683.0654675</v>
      </c>
      <c r="AK10" s="68" t="n">
        <f aca="false">CHOOSE(Premissas!$B$6,Cenários!AK20,Cenários!AK64,Cenários!AK108)</f>
        <v>286484.5685625</v>
      </c>
      <c r="AL10" s="68" t="n">
        <f aca="false">CHOOSE(Premissas!$B$6,Cenários!AL20,Cenários!AL64,Cenários!AL108)</f>
        <v>382382.173398225</v>
      </c>
      <c r="AM10" s="68" t="n">
        <f aca="false">CHOOSE(Premissas!$B$6,Cenários!AM20,Cenários!AM64,Cenários!AM108)</f>
        <v>411386.393981062</v>
      </c>
      <c r="AN10" s="68" t="n">
        <f aca="false">CHOOSE(Premissas!$B$6,Cenários!AN20,Cenários!AN64,Cenários!AN108)</f>
        <v>438523.780900012</v>
      </c>
      <c r="AO10" s="68" t="n">
        <f aca="false">CHOOSE(Premissas!$B$6,Cenários!AO20,Cenários!AO64,Cenários!AO108)</f>
        <v>463885.39921185</v>
      </c>
      <c r="AP10" s="68" t="n">
        <f aca="false">CHOOSE(Premissas!$B$6,Cenários!AP20,Cenários!AP64,Cenários!AP108)</f>
        <v>487607.846501737</v>
      </c>
      <c r="AQ10" s="68" t="n">
        <f aca="false">CHOOSE(Premissas!$B$6,Cenários!AQ20,Cenários!AQ64,Cenários!AQ108)</f>
        <v>509736.655298062</v>
      </c>
      <c r="AR10" s="68" t="n">
        <f aca="false">CHOOSE(Premissas!$B$6,Cenários!AR20,Cenários!AR64,Cenários!AR108)</f>
        <v>530499.488242762</v>
      </c>
      <c r="AS10" s="68" t="n">
        <f aca="false">CHOOSE(Premissas!$B$6,Cenários!AS20,Cenários!AS64,Cenários!AS108)</f>
        <v>549850.81280745</v>
      </c>
      <c r="AT10" s="68" t="n">
        <f aca="false">CHOOSE(Premissas!$B$6,Cenários!AT20,Cenários!AT64,Cenários!AT108)</f>
        <v>568018.291634062</v>
      </c>
      <c r="AU10" s="68" t="n">
        <f aca="false">CHOOSE(Premissas!$B$6,Cenários!AU20,Cenários!AU64,Cenários!AU108)</f>
        <v>584956.392194212</v>
      </c>
      <c r="AV10" s="68" t="n">
        <f aca="false">CHOOSE(Premissas!$B$6,Cenários!AV20,Cenários!AV64,Cenários!AV108)</f>
        <v>600801.712073062</v>
      </c>
      <c r="AW10" s="68" t="n">
        <f aca="false">CHOOSE(Premissas!$B$6,Cenários!AW20,Cenários!AW64,Cenários!AW108)</f>
        <v>615599.783799</v>
      </c>
      <c r="AX10" s="68" t="n">
        <f aca="false">CHOOSE(Premissas!$B$6,Cenários!AX20,Cenários!AX64,Cenários!AX108)</f>
        <v>789900.351430127</v>
      </c>
      <c r="AY10" s="68" t="n">
        <f aca="false">CHOOSE(Premissas!$B$6,Cenários!AY20,Cenários!AY64,Cenários!AY108)</f>
        <v>831105.923644963</v>
      </c>
      <c r="AZ10" s="68" t="n">
        <f aca="false">CHOOSE(Premissas!$B$6,Cenários!AZ20,Cenários!AZ64,Cenários!AZ108)</f>
        <v>869837.258267222</v>
      </c>
      <c r="BA10" s="68" t="n">
        <f aca="false">CHOOSE(Premissas!$B$6,Cenários!BA20,Cenários!BA64,Cenários!BA108)</f>
        <v>906237.099773399</v>
      </c>
      <c r="BB10" s="68" t="n">
        <f aca="false">CHOOSE(Premissas!$B$6,Cenários!BB20,Cenários!BB64,Cenários!BB108)</f>
        <v>940448.192639989</v>
      </c>
      <c r="BC10" s="68" t="n">
        <f aca="false">CHOOSE(Premissas!$B$6,Cenários!BC20,Cenários!BC64,Cenários!BC108)</f>
        <v>972613.281343487</v>
      </c>
      <c r="BD10" s="68" t="n">
        <f aca="false">CHOOSE(Premissas!$B$6,Cenários!BD20,Cenários!BD64,Cenários!BD108)</f>
        <v>1002875.11036039</v>
      </c>
      <c r="BE10" s="68" t="n">
        <f aca="false">CHOOSE(Premissas!$B$6,Cenários!BE20,Cenários!BE64,Cenários!BE108)</f>
        <v>1031328.84267502</v>
      </c>
      <c r="BF10" s="68" t="n">
        <f aca="false">CHOOSE(Premissas!$B$6,Cenários!BF20,Cenários!BF64,Cenários!BF108)</f>
        <v>1058022.05977955</v>
      </c>
      <c r="BG10" s="68" t="n">
        <f aca="false">CHOOSE(Premissas!$B$6,Cenários!BG20,Cenários!BG64,Cenários!BG108)</f>
        <v>1083145.08764264</v>
      </c>
      <c r="BH10" s="68" t="n">
        <f aca="false">CHOOSE(Premissas!$B$6,Cenários!BH20,Cenários!BH64,Cenários!BH108)</f>
        <v>1106745.50775645</v>
      </c>
      <c r="BI10" s="68" t="n">
        <f aca="false">CHOOSE(Premissas!$B$6,Cenários!BI20,Cenários!BI64,Cenários!BI108)</f>
        <v>1128918.48310531</v>
      </c>
      <c r="BJ10" s="69" t="n">
        <f aca="false">SUM(B10:BI10)</f>
        <v>21445370.6007825</v>
      </c>
    </row>
    <row r="11" customFormat="false" ht="15" hidden="false" customHeight="false" outlineLevel="0" collapsed="false">
      <c r="A11" s="67" t="s">
        <v>198</v>
      </c>
      <c r="B11" s="68" t="n">
        <f aca="false">CHOOSE(Premissas!$B$6,Cenários!B21,Cenários!B65,Cenários!B109)</f>
        <v>0</v>
      </c>
      <c r="C11" s="68" t="n">
        <f aca="false">CHOOSE(Premissas!$B$6,Cenários!C21,Cenários!C65,Cenários!C109)</f>
        <v>0</v>
      </c>
      <c r="D11" s="68" t="n">
        <f aca="false">CHOOSE(Premissas!$B$6,Cenários!D21,Cenários!D65,Cenários!D109)</f>
        <v>0</v>
      </c>
      <c r="E11" s="68" t="n">
        <f aca="false">CHOOSE(Premissas!$B$6,Cenários!E21,Cenários!E65,Cenários!E109)</f>
        <v>0</v>
      </c>
      <c r="F11" s="68" t="n">
        <f aca="false">CHOOSE(Premissas!$B$6,Cenários!F21,Cenários!F65,Cenários!F109)</f>
        <v>0</v>
      </c>
      <c r="G11" s="68" t="n">
        <f aca="false">CHOOSE(Premissas!$B$6,Cenários!G21,Cenários!G65,Cenários!G109)</f>
        <v>0</v>
      </c>
      <c r="H11" s="68" t="n">
        <f aca="false">CHOOSE(Premissas!$B$6,Cenários!H21,Cenários!H65,Cenários!H109)</f>
        <v>0</v>
      </c>
      <c r="I11" s="68" t="n">
        <f aca="false">CHOOSE(Premissas!$B$6,Cenários!I21,Cenários!I65,Cenários!I109)</f>
        <v>0</v>
      </c>
      <c r="J11" s="68" t="n">
        <f aca="false">CHOOSE(Premissas!$B$6,Cenários!J21,Cenários!J65,Cenários!J109)</f>
        <v>0</v>
      </c>
      <c r="K11" s="68" t="n">
        <f aca="false">CHOOSE(Premissas!$B$6,Cenários!K21,Cenários!K65,Cenários!K109)</f>
        <v>3595.5</v>
      </c>
      <c r="L11" s="68" t="n">
        <f aca="false">CHOOSE(Premissas!$B$6,Cenários!L21,Cenários!L65,Cenários!L109)</f>
        <v>6871.4</v>
      </c>
      <c r="M11" s="68" t="n">
        <f aca="false">CHOOSE(Premissas!$B$6,Cenários!M21,Cenários!M65,Cenários!M109)</f>
        <v>9987.5</v>
      </c>
      <c r="N11" s="68" t="n">
        <f aca="false">CHOOSE(Premissas!$B$6,Cenários!N21,Cenários!N65,Cenários!N109)</f>
        <v>18786.4875</v>
      </c>
      <c r="O11" s="68" t="n">
        <f aca="false">CHOOSE(Premissas!$B$6,Cenários!O21,Cenários!O65,Cenários!O109)</f>
        <v>23462.2355</v>
      </c>
      <c r="P11" s="68" t="n">
        <f aca="false">CHOOSE(Premissas!$B$6,Cenários!P21,Cenários!P65,Cenários!P109)</f>
        <v>27720.506</v>
      </c>
      <c r="Q11" s="68" t="n">
        <f aca="false">CHOOSE(Premissas!$B$6,Cenários!Q21,Cenários!Q65,Cenários!Q109)</f>
        <v>31811.7855</v>
      </c>
      <c r="R11" s="68" t="n">
        <f aca="false">CHOOSE(Premissas!$B$6,Cenários!R21,Cenários!R65,Cenários!R109)</f>
        <v>35402.092</v>
      </c>
      <c r="S11" s="68" t="n">
        <f aca="false">CHOOSE(Premissas!$B$6,Cenários!S21,Cenários!S65,Cenários!S109)</f>
        <v>38825.4075</v>
      </c>
      <c r="T11" s="68" t="n">
        <f aca="false">CHOOSE(Premissas!$B$6,Cenários!T21,Cenários!T65,Cenários!T109)</f>
        <v>41998.2365</v>
      </c>
      <c r="U11" s="68" t="n">
        <f aca="false">CHOOSE(Premissas!$B$6,Cenários!U21,Cenários!U65,Cenários!U109)</f>
        <v>44837.0835</v>
      </c>
      <c r="V11" s="68" t="n">
        <f aca="false">CHOOSE(Premissas!$B$6,Cenários!V21,Cenários!V65,Cenários!V109)</f>
        <v>47592.435</v>
      </c>
      <c r="W11" s="68" t="n">
        <f aca="false">CHOOSE(Premissas!$B$6,Cenários!W21,Cenários!W65,Cenários!W109)</f>
        <v>50013.8045</v>
      </c>
      <c r="X11" s="68" t="n">
        <f aca="false">CHOOSE(Premissas!$B$6,Cenários!X21,Cenários!X65,Cenários!X109)</f>
        <v>52351.6785</v>
      </c>
      <c r="Y11" s="68" t="n">
        <f aca="false">CHOOSE(Premissas!$B$6,Cenários!Y21,Cenários!Y65,Cenários!Y109)</f>
        <v>54606.057</v>
      </c>
      <c r="Z11" s="68" t="n">
        <f aca="false">CHOOSE(Premissas!$B$6,Cenários!Z21,Cenários!Z65,Cenários!Z109)</f>
        <v>95890.8244525</v>
      </c>
      <c r="AA11" s="68" t="n">
        <f aca="false">CHOOSE(Premissas!$B$6,Cenários!AA21,Cenários!AA65,Cenários!AA109)</f>
        <v>108106.2161025</v>
      </c>
      <c r="AB11" s="68" t="n">
        <f aca="false">CHOOSE(Premissas!$B$6,Cenários!AB21,Cenários!AB65,Cenários!AB109)</f>
        <v>119361.82698</v>
      </c>
      <c r="AC11" s="68" t="n">
        <f aca="false">CHOOSE(Premissas!$B$6,Cenários!AC21,Cenários!AC65,Cenários!AC109)</f>
        <v>129832.16268</v>
      </c>
      <c r="AD11" s="68" t="n">
        <f aca="false">CHOOSE(Premissas!$B$6,Cenários!AD21,Cenários!AD65,Cenários!AD109)</f>
        <v>139517.2232025</v>
      </c>
      <c r="AE11" s="68" t="n">
        <f aca="false">CHOOSE(Premissas!$B$6,Cenários!AE21,Cenários!AE65,Cenários!AE109)</f>
        <v>148591.5141425</v>
      </c>
      <c r="AF11" s="68" t="n">
        <f aca="false">CHOOSE(Premissas!$B$6,Cenários!AF21,Cenários!AF65,Cenários!AF109)</f>
        <v>157055.0355</v>
      </c>
      <c r="AG11" s="68" t="n">
        <f aca="false">CHOOSE(Premissas!$B$6,Cenários!AG21,Cenários!AG65,Cenários!AG109)</f>
        <v>164995.0400725</v>
      </c>
      <c r="AH11" s="68" t="n">
        <f aca="false">CHOOSE(Premissas!$B$6,Cenários!AH21,Cenários!AH65,Cenários!AH109)</f>
        <v>172324.2750625</v>
      </c>
      <c r="AI11" s="68" t="n">
        <f aca="false">CHOOSE(Premissas!$B$6,Cenários!AI21,Cenários!AI65,Cenários!AI109)</f>
        <v>179042.74047</v>
      </c>
      <c r="AJ11" s="68" t="n">
        <f aca="false">CHOOSE(Premissas!$B$6,Cenários!AJ21,Cenários!AJ65,Cenários!AJ109)</f>
        <v>185324.94189</v>
      </c>
      <c r="AK11" s="68" t="n">
        <f aca="false">CHOOSE(Premissas!$B$6,Cenários!AK21,Cenários!AK65,Cenários!AK109)</f>
        <v>191258.13212</v>
      </c>
      <c r="AL11" s="68" t="n">
        <f aca="false">CHOOSE(Premissas!$B$6,Cenários!AL21,Cenários!AL65,Cenários!AL109)</f>
        <v>294508.730041625</v>
      </c>
      <c r="AM11" s="68" t="n">
        <f aca="false">CHOOSE(Premissas!$B$6,Cenários!AM21,Cenários!AM65,Cenários!AM109)</f>
        <v>316847.627521562</v>
      </c>
      <c r="AN11" s="68" t="n">
        <f aca="false">CHOOSE(Premissas!$B$6,Cenários!AN21,Cenários!AN65,Cenários!AN109)</f>
        <v>337727.6582273</v>
      </c>
      <c r="AO11" s="68" t="n">
        <f aca="false">CHOOSE(Premissas!$B$6,Cenários!AO21,Cenários!AO65,Cenários!AO109)</f>
        <v>357240.001332225</v>
      </c>
      <c r="AP11" s="68" t="n">
        <f aca="false">CHOOSE(Premissas!$B$6,Cenários!AP21,Cenários!AP65,Cenários!AP109)</f>
        <v>375475.836009725</v>
      </c>
      <c r="AQ11" s="68" t="n">
        <f aca="false">CHOOSE(Premissas!$B$6,Cenários!AQ21,Cenários!AQ65,Cenários!AQ109)</f>
        <v>392617.520606575</v>
      </c>
      <c r="AR11" s="68" t="n">
        <f aca="false">CHOOSE(Premissas!$B$6,Cenários!AR21,Cenários!AR65,Cenários!AR109)</f>
        <v>408573.875949387</v>
      </c>
      <c r="AS11" s="68" t="n">
        <f aca="false">CHOOSE(Premissas!$B$6,Cenários!AS21,Cenários!AS65,Cenários!AS109)</f>
        <v>423527.260384937</v>
      </c>
      <c r="AT11" s="68" t="n">
        <f aca="false">CHOOSE(Premissas!$B$6,Cenários!AT21,Cenários!AT65,Cenários!AT109)</f>
        <v>437386.494739838</v>
      </c>
      <c r="AU11" s="68" t="n">
        <f aca="false">CHOOSE(Premissas!$B$6,Cenários!AU21,Cenários!AU65,Cenários!AU109)</f>
        <v>450516.295707637</v>
      </c>
      <c r="AV11" s="68" t="n">
        <f aca="false">CHOOSE(Premissas!$B$6,Cenários!AV21,Cenários!AV65,Cenários!AV109)</f>
        <v>462734.304941562</v>
      </c>
      <c r="AW11" s="68" t="n">
        <f aca="false">CHOOSE(Premissas!$B$6,Cenários!AW21,Cenários!AW65,Cenários!AW109)</f>
        <v>474131.701615</v>
      </c>
      <c r="AX11" s="68" t="n">
        <f aca="false">CHOOSE(Premissas!$B$6,Cenários!AX21,Cenários!AX65,Cenários!AX109)</f>
        <v>677933.110491405</v>
      </c>
      <c r="AY11" s="68" t="n">
        <f aca="false">CHOOSE(Premissas!$B$6,Cenários!AY21,Cenários!AY65,Cenários!AY109)</f>
        <v>713282.820117872</v>
      </c>
      <c r="AZ11" s="68" t="n">
        <f aca="false">CHOOSE(Premissas!$B$6,Cenários!AZ21,Cenários!AZ65,Cenários!AZ109)</f>
        <v>746536.32054816</v>
      </c>
      <c r="BA11" s="68" t="n">
        <f aca="false">CHOOSE(Premissas!$B$6,Cenários!BA21,Cenários!BA65,Cenários!BA109)</f>
        <v>777788.89401846</v>
      </c>
      <c r="BB11" s="68" t="n">
        <f aca="false">CHOOSE(Premissas!$B$6,Cenários!BB21,Cenários!BB65,Cenários!BB109)</f>
        <v>807135.82276496</v>
      </c>
      <c r="BC11" s="68" t="n">
        <f aca="false">CHOOSE(Premissas!$B$6,Cenários!BC21,Cenários!BC65,Cenários!BC109)</f>
        <v>834767.671260042</v>
      </c>
      <c r="BD11" s="68" t="n">
        <f aca="false">CHOOSE(Premissas!$B$6,Cenários!BD21,Cenários!BD65,Cenários!BD109)</f>
        <v>860684.439503705</v>
      </c>
      <c r="BE11" s="68" t="n">
        <f aca="false">CHOOSE(Premissas!$B$6,Cenários!BE21,Cenários!BE65,Cenários!BE109)</f>
        <v>885076.691968329</v>
      </c>
      <c r="BF11" s="68" t="n">
        <f aca="false">CHOOSE(Premissas!$B$6,Cenários!BF21,Cenários!BF65,Cenários!BF109)</f>
        <v>908039.710890104</v>
      </c>
      <c r="BG11" s="68" t="n">
        <f aca="false">CHOOSE(Premissas!$B$6,Cenários!BG21,Cenários!BG65,Cenários!BG109)</f>
        <v>929573.49626903</v>
      </c>
      <c r="BH11" s="68" t="n">
        <f aca="false">CHOOSE(Premissas!$B$6,Cenários!BH21,Cenários!BH65,Cenários!BH109)</f>
        <v>949773.330341297</v>
      </c>
      <c r="BI11" s="68" t="n">
        <f aca="false">CHOOSE(Premissas!$B$6,Cenários!BI21,Cenários!BI65,Cenários!BI109)</f>
        <v>968925.059815474</v>
      </c>
      <c r="BJ11" s="69" t="n">
        <f aca="false">SUM(B11:BI11)</f>
        <v>17069966.8167412</v>
      </c>
    </row>
    <row r="12" customFormat="false" ht="15" hidden="false" customHeight="false" outlineLevel="0" collapsed="false">
      <c r="A12" s="67" t="s">
        <v>199</v>
      </c>
      <c r="B12" s="68" t="n">
        <f aca="false">CHOOSE(Premissas!$B$6,Cenários!B23,Cenários!B67,Cenários!B111)</f>
        <v>0</v>
      </c>
      <c r="C12" s="68" t="n">
        <f aca="false">CHOOSE(Premissas!$B$6,Cenários!C23,Cenários!C67,Cenários!C111)</f>
        <v>0</v>
      </c>
      <c r="D12" s="68" t="n">
        <f aca="false">CHOOSE(Premissas!$B$6,Cenários!D23,Cenários!D67,Cenários!D111)</f>
        <v>0</v>
      </c>
      <c r="E12" s="68" t="n">
        <f aca="false">CHOOSE(Premissas!$B$6,Cenários!E23,Cenários!E67,Cenários!E111)</f>
        <v>0</v>
      </c>
      <c r="F12" s="68" t="n">
        <f aca="false">CHOOSE(Premissas!$B$6,Cenários!F23,Cenários!F67,Cenários!F111)</f>
        <v>0</v>
      </c>
      <c r="G12" s="68" t="n">
        <f aca="false">CHOOSE(Premissas!$B$6,Cenários!G23,Cenários!G67,Cenários!G111)</f>
        <v>0</v>
      </c>
      <c r="H12" s="68" t="n">
        <f aca="false">CHOOSE(Premissas!$B$6,Cenários!H23,Cenários!H67,Cenários!H111)</f>
        <v>0</v>
      </c>
      <c r="I12" s="68" t="n">
        <f aca="false">CHOOSE(Premissas!$B$6,Cenários!I23,Cenários!I67,Cenários!I111)</f>
        <v>0</v>
      </c>
      <c r="J12" s="68" t="n">
        <f aca="false">CHOOSE(Premissas!$B$6,Cenários!J23,Cenários!J67,Cenários!J111)</f>
        <v>0</v>
      </c>
      <c r="K12" s="68" t="n">
        <f aca="false">CHOOSE(Premissas!$B$6,Cenários!K23,Cenários!K67,Cenários!K111)</f>
        <v>0</v>
      </c>
      <c r="L12" s="68" t="n">
        <f aca="false">CHOOSE(Premissas!$B$6,Cenários!L23,Cenários!L67,Cenários!L111)</f>
        <v>0</v>
      </c>
      <c r="M12" s="68" t="n">
        <f aca="false">CHOOSE(Premissas!$B$6,Cenários!M23,Cenários!M67,Cenários!M111)</f>
        <v>0</v>
      </c>
      <c r="N12" s="68" t="n">
        <f aca="false">CHOOSE(Premissas!$B$6,Cenários!N23,Cenários!N67,Cenários!N111)</f>
        <v>3586.61373</v>
      </c>
      <c r="O12" s="68" t="n">
        <f aca="false">CHOOSE(Premissas!$B$6,Cenários!O23,Cenários!O67,Cenários!O111)</f>
        <v>4472.61770025</v>
      </c>
      <c r="P12" s="68" t="n">
        <f aca="false">CHOOSE(Premissas!$B$6,Cenários!P23,Cenários!P67,Cenários!P111)</f>
        <v>5292.17137273125</v>
      </c>
      <c r="Q12" s="68" t="n">
        <f aca="false">CHOOSE(Premissas!$B$6,Cenários!Q23,Cenários!Q67,Cenários!Q111)</f>
        <v>6050.25851977641</v>
      </c>
      <c r="R12" s="68" t="n">
        <f aca="false">CHOOSE(Premissas!$B$6,Cenários!R23,Cenários!R67,Cenários!R111)</f>
        <v>6751.48913079318</v>
      </c>
      <c r="S12" s="68" t="n">
        <f aca="false">CHOOSE(Premissas!$B$6,Cenários!S23,Cenários!S67,Cenários!S111)</f>
        <v>7400.12744598369</v>
      </c>
      <c r="T12" s="68" t="n">
        <f aca="false">CHOOSE(Premissas!$B$6,Cenários!T23,Cenários!T67,Cenários!T111)</f>
        <v>8000.11788753491</v>
      </c>
      <c r="U12" s="68" t="n">
        <f aca="false">CHOOSE(Premissas!$B$6,Cenários!U23,Cenários!U67,Cenários!U111)</f>
        <v>8555.1090459698</v>
      </c>
      <c r="V12" s="68" t="n">
        <f aca="false">CHOOSE(Premissas!$B$6,Cenários!V23,Cenários!V67,Cenários!V111)</f>
        <v>9068.47586752206</v>
      </c>
      <c r="W12" s="68" t="n">
        <f aca="false">CHOOSE(Premissas!$B$6,Cenários!W23,Cenários!W67,Cenários!W111)</f>
        <v>9543.34017745791</v>
      </c>
      <c r="X12" s="68" t="n">
        <f aca="false">CHOOSE(Premissas!$B$6,Cenários!X23,Cenários!X67,Cenários!X111)</f>
        <v>9982.58966414856</v>
      </c>
      <c r="Y12" s="68" t="n">
        <f aca="false">CHOOSE(Premissas!$B$6,Cenários!Y23,Cenários!Y67,Cenários!Y111)</f>
        <v>10388.8954393374</v>
      </c>
      <c r="Z12" s="68" t="n">
        <f aca="false">CHOOSE(Premissas!$B$6,Cenários!Z23,Cenários!Z67,Cenários!Z111)</f>
        <v>20040.287930973</v>
      </c>
      <c r="AA12" s="68" t="n">
        <f aca="false">CHOOSE(Premissas!$B$6,Cenários!AA23,Cenários!AA67,Cenários!AA111)</f>
        <v>22574.9677758049</v>
      </c>
      <c r="AB12" s="68" t="n">
        <f aca="false">CHOOSE(Premissas!$B$6,Cenários!AB23,Cenários!AB67,Cenários!AB111)</f>
        <v>24932.2200314985</v>
      </c>
      <c r="AC12" s="68" t="n">
        <f aca="false">CHOOSE(Premissas!$B$6,Cenários!AC23,Cenários!AC67,Cenários!AC111)</f>
        <v>27124.4646292937</v>
      </c>
      <c r="AD12" s="68" t="n">
        <f aca="false">CHOOSE(Premissas!$B$6,Cenários!AD23,Cenários!AD67,Cenários!AD111)</f>
        <v>29163.2521052431</v>
      </c>
      <c r="AE12" s="68" t="n">
        <f aca="false">CHOOSE(Premissas!$B$6,Cenários!AE23,Cenários!AE67,Cenários!AE111)</f>
        <v>31059.3244578761</v>
      </c>
      <c r="AF12" s="68" t="n">
        <f aca="false">CHOOSE(Premissas!$B$6,Cenários!AF23,Cenários!AF67,Cenários!AF111)</f>
        <v>32822.6717458248</v>
      </c>
      <c r="AG12" s="68" t="n">
        <f aca="false">CHOOSE(Premissas!$B$6,Cenários!AG23,Cenários!AG67,Cenários!AG111)</f>
        <v>34462.584723617</v>
      </c>
      <c r="AH12" s="68" t="n">
        <f aca="false">CHOOSE(Premissas!$B$6,Cenários!AH23,Cenários!AH67,Cenários!AH111)</f>
        <v>35987.7037929638</v>
      </c>
      <c r="AI12" s="68" t="n">
        <f aca="false">CHOOSE(Premissas!$B$6,Cenários!AI23,Cenários!AI67,Cenários!AI111)</f>
        <v>37406.0645274564</v>
      </c>
      <c r="AJ12" s="68" t="n">
        <f aca="false">CHOOSE(Premissas!$B$6,Cenários!AJ23,Cenários!AJ67,Cenários!AJ111)</f>
        <v>38725.1400105344</v>
      </c>
      <c r="AK12" s="68" t="n">
        <f aca="false">CHOOSE(Premissas!$B$6,Cenários!AK23,Cenários!AK67,Cenários!AK111)</f>
        <v>39951.880209797</v>
      </c>
      <c r="AL12" s="68" t="n">
        <f aca="false">CHOOSE(Premissas!$B$6,Cenários!AL23,Cenários!AL67,Cenários!AL111)</f>
        <v>69568.0127938563</v>
      </c>
      <c r="AM12" s="68" t="n">
        <f aca="false">CHOOSE(Premissas!$B$6,Cenários!AM23,Cenários!AM67,Cenários!AM111)</f>
        <v>74846.0919622557</v>
      </c>
      <c r="AN12" s="68" t="n">
        <f aca="false">CHOOSE(Premissas!$B$6,Cenários!AN23,Cenários!AN67,Cenários!AN111)</f>
        <v>79781.0959847091</v>
      </c>
      <c r="AO12" s="68" t="n">
        <f aca="false">CHOOSE(Premissas!$B$6,Cenários!AO23,Cenários!AO67,Cenários!AO111)</f>
        <v>84395.324745703</v>
      </c>
      <c r="AP12" s="68" t="n">
        <f aca="false">CHOOSE(Premissas!$B$6,Cenários!AP23,Cenários!AP67,Cenários!AP111)</f>
        <v>88709.6286372323</v>
      </c>
      <c r="AQ12" s="68" t="n">
        <f aca="false">CHOOSE(Premissas!$B$6,Cenários!AQ23,Cenários!AQ67,Cenários!AQ111)</f>
        <v>92743.5027758122</v>
      </c>
      <c r="AR12" s="68" t="n">
        <f aca="false">CHOOSE(Premissas!$B$6,Cenários!AR23,Cenários!AR67,Cenários!AR111)</f>
        <v>96515.1750953844</v>
      </c>
      <c r="AS12" s="68" t="n">
        <f aca="false">CHOOSE(Premissas!$B$6,Cenários!AS23,Cenários!AS67,Cenários!AS111)</f>
        <v>100041.688714184</v>
      </c>
      <c r="AT12" s="68" t="n">
        <f aca="false">CHOOSE(Premissas!$B$6,Cenários!AT23,Cenários!AT67,Cenários!AT111)</f>
        <v>103338.978947762</v>
      </c>
      <c r="AU12" s="68" t="n">
        <f aca="false">CHOOSE(Premissas!$B$6,Cenários!AU23,Cenários!AU67,Cenários!AU111)</f>
        <v>106421.945316158</v>
      </c>
      <c r="AV12" s="68" t="n">
        <f aca="false">CHOOSE(Premissas!$B$6,Cenários!AV23,Cenários!AV67,Cenários!AV111)</f>
        <v>109304.518870608</v>
      </c>
      <c r="AW12" s="68" t="n">
        <f aca="false">CHOOSE(Premissas!$B$6,Cenários!AW23,Cenários!AW67,Cenários!AW111)</f>
        <v>111999.725144018</v>
      </c>
      <c r="AX12" s="68" t="n">
        <f aca="false">CHOOSE(Premissas!$B$6,Cenários!AX23,Cenários!AX67,Cenários!AX111)</f>
        <v>148224.677044221</v>
      </c>
      <c r="AY12" s="68" t="n">
        <f aca="false">CHOOSE(Premissas!$B$6,Cenários!AY23,Cenários!AY67,Cenários!AY111)</f>
        <v>155956.196421568</v>
      </c>
      <c r="AZ12" s="68" t="n">
        <f aca="false">CHOOSE(Premissas!$B$6,Cenários!AZ23,Cenários!AZ67,Cenários!AZ111)</f>
        <v>163223.824636274</v>
      </c>
      <c r="BA12" s="68" t="n">
        <f aca="false">CHOOSE(Premissas!$B$6,Cenários!BA23,Cenários!BA67,Cenários!BA111)</f>
        <v>170055.395158098</v>
      </c>
      <c r="BB12" s="68" t="n">
        <f aca="false">CHOOSE(Premissas!$B$6,Cenários!BB23,Cenários!BB67,Cenários!BB111)</f>
        <v>176477.071448612</v>
      </c>
      <c r="BC12" s="68" t="n">
        <f aca="false">CHOOSE(Premissas!$B$6,Cenários!BC23,Cenários!BC67,Cenários!BC111)</f>
        <v>182513.447161695</v>
      </c>
      <c r="BD12" s="68" t="n">
        <f aca="false">CHOOSE(Premissas!$B$6,Cenários!BD23,Cenários!BD67,Cenários!BD111)</f>
        <v>188187.640331993</v>
      </c>
      <c r="BE12" s="68" t="n">
        <f aca="false">CHOOSE(Premissas!$B$6,Cenários!BE23,Cenários!BE67,Cenários!BE111)</f>
        <v>193521.381912074</v>
      </c>
      <c r="BF12" s="68" t="n">
        <f aca="false">CHOOSE(Premissas!$B$6,Cenários!BF23,Cenários!BF67,Cenários!BF111)</f>
        <v>198535.098997349</v>
      </c>
      <c r="BG12" s="68" t="n">
        <f aca="false">CHOOSE(Premissas!$B$6,Cenários!BG23,Cenários!BG67,Cenários!BG111)</f>
        <v>203247.993057508</v>
      </c>
      <c r="BH12" s="68" t="n">
        <f aca="false">CHOOSE(Premissas!$B$6,Cenários!BH23,Cenários!BH67,Cenários!BH111)</f>
        <v>207678.113474058</v>
      </c>
      <c r="BI12" s="68" t="n">
        <f aca="false">CHOOSE(Premissas!$B$6,Cenários!BI23,Cenários!BI67,Cenários!BI111)</f>
        <v>211842.426665614</v>
      </c>
      <c r="BJ12" s="69" t="n">
        <f aca="false">SUM(B12:BI12)</f>
        <v>3780471.32321914</v>
      </c>
    </row>
    <row r="13" customFormat="false" ht="15" hidden="false" customHeight="false" outlineLevel="0" collapsed="false">
      <c r="A13" s="67" t="s">
        <v>200</v>
      </c>
      <c r="B13" s="68" t="n">
        <f aca="false">CHOOSE(Premissas!$B$6,Cenários!B24,Cenários!B68,Cenários!B112)</f>
        <v>0</v>
      </c>
      <c r="C13" s="68" t="n">
        <f aca="false">CHOOSE(Premissas!$B$6,Cenários!C24,Cenários!C68,Cenários!C112)</f>
        <v>0</v>
      </c>
      <c r="D13" s="68" t="n">
        <f aca="false">CHOOSE(Premissas!$B$6,Cenários!D24,Cenários!D68,Cenários!D112)</f>
        <v>0</v>
      </c>
      <c r="E13" s="68" t="n">
        <f aca="false">CHOOSE(Premissas!$B$6,Cenários!E24,Cenários!E68,Cenários!E112)</f>
        <v>0</v>
      </c>
      <c r="F13" s="68" t="n">
        <f aca="false">CHOOSE(Premissas!$B$6,Cenários!F24,Cenários!F68,Cenários!F112)</f>
        <v>0</v>
      </c>
      <c r="G13" s="68" t="n">
        <f aca="false">CHOOSE(Premissas!$B$6,Cenários!G24,Cenários!G68,Cenários!G112)</f>
        <v>0</v>
      </c>
      <c r="H13" s="68" t="n">
        <f aca="false">CHOOSE(Premissas!$B$6,Cenários!H24,Cenários!H68,Cenários!H112)</f>
        <v>0</v>
      </c>
      <c r="I13" s="68" t="n">
        <f aca="false">CHOOSE(Premissas!$B$6,Cenários!I24,Cenários!I68,Cenários!I112)</f>
        <v>0</v>
      </c>
      <c r="J13" s="68" t="n">
        <f aca="false">CHOOSE(Premissas!$B$6,Cenários!J24,Cenários!J68,Cenários!J112)</f>
        <v>0</v>
      </c>
      <c r="K13" s="68" t="n">
        <f aca="false">CHOOSE(Premissas!$B$6,Cenários!K24,Cenários!K68,Cenários!K112)</f>
        <v>0</v>
      </c>
      <c r="L13" s="68" t="n">
        <f aca="false">CHOOSE(Premissas!$B$6,Cenários!L24,Cenários!L68,Cenários!L112)</f>
        <v>0</v>
      </c>
      <c r="M13" s="68" t="n">
        <f aca="false">CHOOSE(Premissas!$B$6,Cenários!M24,Cenários!M68,Cenários!M112)</f>
        <v>0</v>
      </c>
      <c r="N13" s="68" t="n">
        <f aca="false">CHOOSE(Premissas!$B$6,Cenários!N24,Cenários!N68,Cenários!N112)</f>
        <v>0</v>
      </c>
      <c r="O13" s="68" t="n">
        <f aca="false">CHOOSE(Premissas!$B$6,Cenários!O24,Cenários!O68,Cenários!O112)</f>
        <v>0</v>
      </c>
      <c r="P13" s="68" t="n">
        <f aca="false">CHOOSE(Premissas!$B$6,Cenários!P24,Cenários!P68,Cenários!P112)</f>
        <v>0</v>
      </c>
      <c r="Q13" s="68" t="n">
        <f aca="false">CHOOSE(Premissas!$B$6,Cenários!Q24,Cenários!Q68,Cenários!Q112)</f>
        <v>0</v>
      </c>
      <c r="R13" s="68" t="n">
        <f aca="false">CHOOSE(Premissas!$B$6,Cenários!R24,Cenários!R68,Cenários!R112)</f>
        <v>0</v>
      </c>
      <c r="S13" s="68" t="n">
        <f aca="false">CHOOSE(Premissas!$B$6,Cenários!S24,Cenários!S68,Cenários!S112)</f>
        <v>0</v>
      </c>
      <c r="T13" s="68" t="n">
        <f aca="false">CHOOSE(Premissas!$B$6,Cenários!T24,Cenários!T68,Cenários!T112)</f>
        <v>0</v>
      </c>
      <c r="U13" s="68" t="n">
        <f aca="false">CHOOSE(Premissas!$B$6,Cenários!U24,Cenários!U68,Cenários!U112)</f>
        <v>0</v>
      </c>
      <c r="V13" s="68" t="n">
        <f aca="false">CHOOSE(Premissas!$B$6,Cenários!V24,Cenários!V68,Cenários!V112)</f>
        <v>0</v>
      </c>
      <c r="W13" s="68" t="n">
        <f aca="false">CHOOSE(Premissas!$B$6,Cenários!W24,Cenários!W68,Cenários!W112)</f>
        <v>0</v>
      </c>
      <c r="X13" s="68" t="n">
        <f aca="false">CHOOSE(Premissas!$B$6,Cenários!X24,Cenários!X68,Cenários!X112)</f>
        <v>0</v>
      </c>
      <c r="Y13" s="68" t="n">
        <f aca="false">CHOOSE(Premissas!$B$6,Cenários!Y24,Cenários!Y68,Cenários!Y112)</f>
        <v>0</v>
      </c>
      <c r="Z13" s="68" t="n">
        <f aca="false">CHOOSE(Premissas!$B$6,Cenários!Z24,Cenários!Z68,Cenários!Z112)</f>
        <v>0</v>
      </c>
      <c r="AA13" s="68" t="n">
        <f aca="false">CHOOSE(Premissas!$B$6,Cenários!AA24,Cenários!AA68,Cenários!AA112)</f>
        <v>0</v>
      </c>
      <c r="AB13" s="68" t="n">
        <f aca="false">CHOOSE(Premissas!$B$6,Cenários!AB24,Cenários!AB68,Cenários!AB112)</f>
        <v>0</v>
      </c>
      <c r="AC13" s="68" t="n">
        <f aca="false">CHOOSE(Premissas!$B$6,Cenários!AC24,Cenários!AC68,Cenários!AC112)</f>
        <v>0</v>
      </c>
      <c r="AD13" s="68" t="n">
        <f aca="false">CHOOSE(Premissas!$B$6,Cenários!AD24,Cenários!AD68,Cenários!AD112)</f>
        <v>0</v>
      </c>
      <c r="AE13" s="68" t="n">
        <f aca="false">CHOOSE(Premissas!$B$6,Cenários!AE24,Cenários!AE68,Cenários!AE112)</f>
        <v>0</v>
      </c>
      <c r="AF13" s="68" t="n">
        <f aca="false">CHOOSE(Premissas!$B$6,Cenários!AF24,Cenários!AF68,Cenários!AF112)</f>
        <v>0</v>
      </c>
      <c r="AG13" s="68" t="n">
        <f aca="false">CHOOSE(Premissas!$B$6,Cenários!AG24,Cenários!AG68,Cenários!AG112)</f>
        <v>0</v>
      </c>
      <c r="AH13" s="68" t="n">
        <f aca="false">CHOOSE(Premissas!$B$6,Cenários!AH24,Cenários!AH68,Cenários!AH112)</f>
        <v>0</v>
      </c>
      <c r="AI13" s="68" t="n">
        <f aca="false">CHOOSE(Premissas!$B$6,Cenários!AI24,Cenários!AI68,Cenários!AI112)</f>
        <v>0</v>
      </c>
      <c r="AJ13" s="68" t="n">
        <f aca="false">CHOOSE(Premissas!$B$6,Cenários!AJ24,Cenários!AJ68,Cenários!AJ112)</f>
        <v>0</v>
      </c>
      <c r="AK13" s="68" t="n">
        <f aca="false">CHOOSE(Premissas!$B$6,Cenários!AK24,Cenários!AK68,Cenários!AK112)</f>
        <v>0</v>
      </c>
      <c r="AL13" s="68" t="n">
        <f aca="false">CHOOSE(Premissas!$B$6,Cenários!AL24,Cenários!AL68,Cenários!AL112)</f>
        <v>0</v>
      </c>
      <c r="AM13" s="68" t="n">
        <f aca="false">CHOOSE(Premissas!$B$6,Cenários!AM24,Cenários!AM68,Cenários!AM112)</f>
        <v>0</v>
      </c>
      <c r="AN13" s="68" t="n">
        <f aca="false">CHOOSE(Premissas!$B$6,Cenários!AN24,Cenários!AN68,Cenários!AN112)</f>
        <v>0</v>
      </c>
      <c r="AO13" s="68" t="n">
        <f aca="false">CHOOSE(Premissas!$B$6,Cenários!AO24,Cenários!AO68,Cenários!AO112)</f>
        <v>0</v>
      </c>
      <c r="AP13" s="68" t="n">
        <f aca="false">CHOOSE(Premissas!$B$6,Cenários!AP24,Cenários!AP68,Cenários!AP112)</f>
        <v>0</v>
      </c>
      <c r="AQ13" s="68" t="n">
        <f aca="false">CHOOSE(Premissas!$B$6,Cenários!AQ24,Cenários!AQ68,Cenários!AQ112)</f>
        <v>0</v>
      </c>
      <c r="AR13" s="68" t="n">
        <f aca="false">CHOOSE(Premissas!$B$6,Cenários!AR24,Cenários!AR68,Cenários!AR112)</f>
        <v>0</v>
      </c>
      <c r="AS13" s="68" t="n">
        <f aca="false">CHOOSE(Premissas!$B$6,Cenários!AS24,Cenários!AS68,Cenários!AS112)</f>
        <v>0</v>
      </c>
      <c r="AT13" s="68" t="n">
        <f aca="false">CHOOSE(Premissas!$B$6,Cenários!AT24,Cenários!AT68,Cenários!AT112)</f>
        <v>0</v>
      </c>
      <c r="AU13" s="68" t="n">
        <f aca="false">CHOOSE(Premissas!$B$6,Cenários!AU24,Cenários!AU68,Cenários!AU112)</f>
        <v>0</v>
      </c>
      <c r="AV13" s="68" t="n">
        <f aca="false">CHOOSE(Premissas!$B$6,Cenários!AV24,Cenários!AV68,Cenários!AV112)</f>
        <v>0</v>
      </c>
      <c r="AW13" s="68" t="n">
        <f aca="false">CHOOSE(Premissas!$B$6,Cenários!AW24,Cenários!AW68,Cenários!AW112)</f>
        <v>0</v>
      </c>
      <c r="AX13" s="68" t="n">
        <f aca="false">CHOOSE(Premissas!$B$6,Cenários!AX24,Cenários!AX68,Cenários!AX112)</f>
        <v>0</v>
      </c>
      <c r="AY13" s="68" t="n">
        <f aca="false">CHOOSE(Premissas!$B$6,Cenários!AY24,Cenários!AY68,Cenários!AY112)</f>
        <v>0</v>
      </c>
      <c r="AZ13" s="68" t="n">
        <f aca="false">CHOOSE(Premissas!$B$6,Cenários!AZ24,Cenários!AZ68,Cenários!AZ112)</f>
        <v>0</v>
      </c>
      <c r="BA13" s="68" t="n">
        <f aca="false">CHOOSE(Premissas!$B$6,Cenários!BA24,Cenários!BA68,Cenários!BA112)</f>
        <v>0</v>
      </c>
      <c r="BB13" s="68" t="n">
        <f aca="false">CHOOSE(Premissas!$B$6,Cenários!BB24,Cenários!BB68,Cenários!BB112)</f>
        <v>0</v>
      </c>
      <c r="BC13" s="68" t="n">
        <f aca="false">CHOOSE(Premissas!$B$6,Cenários!BC24,Cenários!BC68,Cenários!BC112)</f>
        <v>0</v>
      </c>
      <c r="BD13" s="68" t="n">
        <f aca="false">CHOOSE(Premissas!$B$6,Cenários!BD24,Cenários!BD68,Cenários!BD112)</f>
        <v>0</v>
      </c>
      <c r="BE13" s="68" t="n">
        <f aca="false">CHOOSE(Premissas!$B$6,Cenários!BE24,Cenários!BE68,Cenários!BE112)</f>
        <v>0</v>
      </c>
      <c r="BF13" s="68" t="n">
        <f aca="false">CHOOSE(Premissas!$B$6,Cenários!BF24,Cenários!BF68,Cenários!BF112)</f>
        <v>0</v>
      </c>
      <c r="BG13" s="68" t="n">
        <f aca="false">CHOOSE(Premissas!$B$6,Cenários!BG24,Cenários!BG68,Cenários!BG112)</f>
        <v>0</v>
      </c>
      <c r="BH13" s="68" t="n">
        <f aca="false">CHOOSE(Premissas!$B$6,Cenários!BH24,Cenários!BH68,Cenários!BH112)</f>
        <v>0</v>
      </c>
      <c r="BI13" s="68" t="n">
        <f aca="false">CHOOSE(Premissas!$B$6,Cenários!BI24,Cenários!BI68,Cenários!BI112)</f>
        <v>0</v>
      </c>
      <c r="BJ13" s="69" t="n">
        <f aca="false">SUM(B13:BI13)</f>
        <v>0</v>
      </c>
    </row>
    <row r="14" customFormat="false" ht="15" hidden="false" customHeight="false" outlineLevel="0" collapsed="false">
      <c r="A14" s="34" t="s">
        <v>201</v>
      </c>
      <c r="B14" s="69" t="n">
        <f aca="false">SUM(B9:B13)</f>
        <v>0</v>
      </c>
      <c r="C14" s="69" t="n">
        <f aca="false">SUM(C9:C13)</f>
        <v>0</v>
      </c>
      <c r="D14" s="69" t="n">
        <f aca="false">SUM(D9:D13)</f>
        <v>0</v>
      </c>
      <c r="E14" s="69" t="n">
        <f aca="false">SUM(E9:E13)</f>
        <v>0</v>
      </c>
      <c r="F14" s="69" t="n">
        <f aca="false">SUM(F9:F13)</f>
        <v>0</v>
      </c>
      <c r="G14" s="69" t="n">
        <f aca="false">SUM(G9:G13)</f>
        <v>0</v>
      </c>
      <c r="H14" s="69" t="n">
        <f aca="false">SUM(H9:H13)</f>
        <v>0</v>
      </c>
      <c r="I14" s="69" t="n">
        <f aca="false">SUM(I9:I13)</f>
        <v>0</v>
      </c>
      <c r="J14" s="69" t="n">
        <f aca="false">SUM(J9:J13)</f>
        <v>0</v>
      </c>
      <c r="K14" s="69" t="n">
        <f aca="false">SUM(K9:K13)</f>
        <v>24329.5</v>
      </c>
      <c r="L14" s="69" t="n">
        <f aca="false">SUM(L9:L13)</f>
        <v>46706.2</v>
      </c>
      <c r="M14" s="69" t="n">
        <f aca="false">SUM(M9:M13)</f>
        <v>67349.6</v>
      </c>
      <c r="N14" s="69" t="n">
        <f aca="false">SUM(N9:N13)</f>
        <v>113107.10723</v>
      </c>
      <c r="O14" s="69" t="n">
        <f aca="false">SUM(O9:O13)</f>
        <v>141086.93070025</v>
      </c>
      <c r="P14" s="69" t="n">
        <f aca="false">SUM(P9:P13)</f>
        <v>166896.823372731</v>
      </c>
      <c r="Q14" s="69" t="n">
        <f aca="false">SUM(Q9:Q13)</f>
        <v>190875.437519776</v>
      </c>
      <c r="R14" s="69" t="n">
        <f aca="false">SUM(R9:R13)</f>
        <v>212943.260630793</v>
      </c>
      <c r="S14" s="69" t="n">
        <f aca="false">SUM(S9:S13)</f>
        <v>233438.538945984</v>
      </c>
      <c r="T14" s="69" t="n">
        <f aca="false">SUM(T9:T13)</f>
        <v>252364.903387535</v>
      </c>
      <c r="U14" s="69" t="n">
        <f aca="false">SUM(U9:U13)</f>
        <v>269809.08004597</v>
      </c>
      <c r="V14" s="69" t="n">
        <f aca="false">SUM(V9:V13)</f>
        <v>286045.725867522</v>
      </c>
      <c r="W14" s="69" t="n">
        <f aca="false">SUM(W9:W13)</f>
        <v>300994.049177458</v>
      </c>
      <c r="X14" s="69" t="n">
        <f aca="false">SUM(X9:X13)</f>
        <v>314865.728664149</v>
      </c>
      <c r="Y14" s="69" t="n">
        <f aca="false">SUM(Y9:Y13)</f>
        <v>327767.517439337</v>
      </c>
      <c r="Z14" s="69" t="n">
        <f aca="false">SUM(Z9:Z13)</f>
        <v>462709.875675973</v>
      </c>
      <c r="AA14" s="69" t="n">
        <f aca="false">SUM(AA9:AA13)</f>
        <v>521294.049075805</v>
      </c>
      <c r="AB14" s="69" t="n">
        <f aca="false">SUM(AB9:AB13)</f>
        <v>575695.465591498</v>
      </c>
      <c r="AC14" s="69" t="n">
        <f aca="false">SUM(AC9:AC13)</f>
        <v>626318.582129294</v>
      </c>
      <c r="AD14" s="69" t="n">
        <f aca="false">SUM(AD9:AD13)</f>
        <v>673349.018010243</v>
      </c>
      <c r="AE14" s="69" t="n">
        <f aca="false">SUM(AE9:AE13)</f>
        <v>717124.249112876</v>
      </c>
      <c r="AF14" s="69" t="n">
        <f aca="false">SUM(AF9:AF13)</f>
        <v>757850.065578325</v>
      </c>
      <c r="AG14" s="69" t="n">
        <f aca="false">SUM(AG9:AG13)</f>
        <v>795753.507946117</v>
      </c>
      <c r="AH14" s="69" t="n">
        <f aca="false">SUM(AH9:AH13)</f>
        <v>830995.335700464</v>
      </c>
      <c r="AI14" s="69" t="n">
        <f aca="false">SUM(AI9:AI13)</f>
        <v>863714.081402456</v>
      </c>
      <c r="AJ14" s="69" t="n">
        <f aca="false">SUM(AJ9:AJ13)</f>
        <v>894135.186325534</v>
      </c>
      <c r="AK14" s="69" t="n">
        <f aca="false">SUM(AK9:AK13)</f>
        <v>922526.922019797</v>
      </c>
      <c r="AL14" s="69" t="n">
        <f aca="false">SUM(AL9:AL13)</f>
        <v>1215880.91113422</v>
      </c>
      <c r="AM14" s="69" t="n">
        <f aca="false">SUM(AM9:AM13)</f>
        <v>1308132.85240288</v>
      </c>
      <c r="AN14" s="69" t="n">
        <f aca="false">SUM(AN9:AN13)</f>
        <v>1394376.9698811</v>
      </c>
      <c r="AO14" s="69" t="n">
        <f aca="false">SUM(AO9:AO13)</f>
        <v>1475022.1905365</v>
      </c>
      <c r="AP14" s="69" t="n">
        <f aca="false">SUM(AP9:AP13)</f>
        <v>1550407.97834319</v>
      </c>
      <c r="AQ14" s="69" t="n">
        <f aca="false">SUM(AQ9:AQ13)</f>
        <v>1620917.97452817</v>
      </c>
      <c r="AR14" s="69" t="n">
        <f aca="false">SUM(AR9:AR13)</f>
        <v>1686865.85493515</v>
      </c>
      <c r="AS14" s="69" t="n">
        <f aca="false">SUM(AS9:AS13)</f>
        <v>1748496.32532428</v>
      </c>
      <c r="AT14" s="69" t="n">
        <f aca="false">SUM(AT9:AT13)</f>
        <v>1806075.35050912</v>
      </c>
      <c r="AU14" s="69" t="n">
        <f aca="false">SUM(AU9:AU13)</f>
        <v>1860005.14179253</v>
      </c>
      <c r="AV14" s="69" t="n">
        <f aca="false">SUM(AV9:AV13)</f>
        <v>1910412.83390534</v>
      </c>
      <c r="AW14" s="69" t="n">
        <f aca="false">SUM(AW9:AW13)</f>
        <v>1957493.58249402</v>
      </c>
      <c r="AX14" s="69" t="n">
        <f aca="false">SUM(AX9:AX13)</f>
        <v>2460269.00726857</v>
      </c>
      <c r="AY14" s="69" t="n">
        <f aca="false">SUM(AY9:AY13)</f>
        <v>2588577.03636999</v>
      </c>
      <c r="AZ14" s="69" t="n">
        <f aca="false">SUM(AZ9:AZ13)</f>
        <v>2709240.30430324</v>
      </c>
      <c r="BA14" s="69" t="n">
        <f aca="false">SUM(BA9:BA13)</f>
        <v>2822619.59573139</v>
      </c>
      <c r="BB14" s="69" t="n">
        <f aca="false">SUM(BB9:BB13)</f>
        <v>2929192.68091005</v>
      </c>
      <c r="BC14" s="69" t="n">
        <f aca="false">SUM(BC9:BC13)</f>
        <v>3029388.65580244</v>
      </c>
      <c r="BD14" s="69" t="n">
        <f aca="false">SUM(BD9:BD13)</f>
        <v>3123563.23188093</v>
      </c>
      <c r="BE14" s="69" t="n">
        <f aca="false">SUM(BE9:BE13)</f>
        <v>3212118.79203538</v>
      </c>
      <c r="BF14" s="69" t="n">
        <f aca="false">SUM(BF9:BF13)</f>
        <v>3295337.28269035</v>
      </c>
      <c r="BG14" s="69" t="n">
        <f aca="false">SUM(BG9:BG13)</f>
        <v>3373546.88688492</v>
      </c>
      <c r="BH14" s="69" t="n">
        <f aca="false">SUM(BH9:BH13)</f>
        <v>3447027.17332974</v>
      </c>
      <c r="BI14" s="69" t="n">
        <f aca="false">SUM(BI9:BI13)</f>
        <v>3516223.58037662</v>
      </c>
      <c r="BJ14" s="69" t="n">
        <f aca="false">SUM(B14:BI14)</f>
        <v>67631238.93492</v>
      </c>
    </row>
    <row r="16" customFormat="false" ht="18" hidden="false" customHeight="true" outlineLevel="0" collapsed="false">
      <c r="A16" s="10" t="s">
        <v>202</v>
      </c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/>
      <c r="AO16" s="11"/>
      <c r="AP16" s="11"/>
      <c r="AQ16" s="11"/>
      <c r="AR16" s="11"/>
      <c r="AS16" s="11"/>
      <c r="AT16" s="11"/>
      <c r="AU16" s="11"/>
      <c r="AV16" s="11"/>
      <c r="AW16" s="11"/>
      <c r="AX16" s="11"/>
      <c r="AY16" s="11"/>
      <c r="AZ16" s="11"/>
      <c r="BA16" s="11"/>
      <c r="BB16" s="11"/>
      <c r="BC16" s="11"/>
      <c r="BD16" s="11"/>
      <c r="BE16" s="11"/>
      <c r="BF16" s="11"/>
      <c r="BG16" s="11"/>
      <c r="BH16" s="11"/>
      <c r="BI16" s="11"/>
      <c r="BJ16" s="11"/>
      <c r="BK16" s="11"/>
    </row>
    <row r="17" customFormat="false" ht="15" hidden="false" customHeight="false" outlineLevel="0" collapsed="false">
      <c r="A17" s="67" t="s">
        <v>203</v>
      </c>
      <c r="B17" s="68" t="n">
        <f aca="false">CHOOSE(Premissas!$B$6,Cenários!B28,Cenários!B72,Cenários!B116)</f>
        <v>-0</v>
      </c>
      <c r="C17" s="68" t="n">
        <f aca="false">CHOOSE(Premissas!$B$6,Cenários!C28,Cenários!C72,Cenários!C116)</f>
        <v>-0</v>
      </c>
      <c r="D17" s="68" t="n">
        <f aca="false">CHOOSE(Premissas!$B$6,Cenários!D28,Cenários!D72,Cenários!D116)</f>
        <v>-0</v>
      </c>
      <c r="E17" s="68" t="n">
        <f aca="false">CHOOSE(Premissas!$B$6,Cenários!E28,Cenários!E72,Cenários!E116)</f>
        <v>-0</v>
      </c>
      <c r="F17" s="68" t="n">
        <f aca="false">CHOOSE(Premissas!$B$6,Cenários!F28,Cenários!F72,Cenários!F116)</f>
        <v>-0</v>
      </c>
      <c r="G17" s="68" t="n">
        <f aca="false">CHOOSE(Premissas!$B$6,Cenários!G28,Cenários!G72,Cenários!G116)</f>
        <v>-0</v>
      </c>
      <c r="H17" s="68" t="n">
        <f aca="false">CHOOSE(Premissas!$B$6,Cenários!H28,Cenários!H72,Cenários!H116)</f>
        <v>-0</v>
      </c>
      <c r="I17" s="68" t="n">
        <f aca="false">CHOOSE(Premissas!$B$6,Cenários!I28,Cenários!I72,Cenários!I116)</f>
        <v>-0</v>
      </c>
      <c r="J17" s="68" t="n">
        <f aca="false">CHOOSE(Premissas!$B$6,Cenários!J28,Cenários!J72,Cenários!J116)</f>
        <v>-0</v>
      </c>
      <c r="K17" s="68" t="n">
        <f aca="false">CHOOSE(Premissas!$B$6,Cenários!K28,Cenários!K72,Cenários!K116)</f>
        <v>-1459.77</v>
      </c>
      <c r="L17" s="68" t="n">
        <f aca="false">CHOOSE(Premissas!$B$6,Cenários!L28,Cenários!L72,Cenários!L116)</f>
        <v>-2802.372</v>
      </c>
      <c r="M17" s="68" t="n">
        <f aca="false">CHOOSE(Premissas!$B$6,Cenários!M28,Cenários!M72,Cenários!M116)</f>
        <v>-4040.976</v>
      </c>
      <c r="N17" s="68" t="n">
        <f aca="false">CHOOSE(Premissas!$B$6,Cenários!N28,Cenários!N72,Cenários!N116)</f>
        <v>-6786.4264338</v>
      </c>
      <c r="O17" s="68" t="n">
        <f aca="false">CHOOSE(Premissas!$B$6,Cenários!O28,Cenários!O72,Cenários!O116)</f>
        <v>-10550.7877668639</v>
      </c>
      <c r="P17" s="68" t="n">
        <f aca="false">CHOOSE(Premissas!$B$6,Cenários!P28,Cenários!P72,Cenários!P116)</f>
        <v>-15031.7973019962</v>
      </c>
      <c r="Q17" s="68" t="n">
        <f aca="false">CHOOSE(Premissas!$B$6,Cenários!Q28,Cenários!Q72,Cenários!Q116)</f>
        <v>-19749.9781955806</v>
      </c>
      <c r="R17" s="68" t="n">
        <f aca="false">CHOOSE(Premissas!$B$6,Cenários!R28,Cenários!R72,Cenários!R116)</f>
        <v>-23956.5995341074</v>
      </c>
      <c r="S17" s="68" t="n">
        <f aca="false">CHOOSE(Premissas!$B$6,Cenários!S28,Cenários!S72,Cenários!S116)</f>
        <v>-28713.4030986709</v>
      </c>
      <c r="T17" s="68" t="n">
        <f aca="false">CHOOSE(Premissas!$B$6,Cenários!T28,Cenários!T72,Cenários!T116)</f>
        <v>-32862.6879225577</v>
      </c>
      <c r="U17" s="68" t="n">
        <f aca="false">CHOOSE(Premissas!$B$6,Cenários!U28,Cenários!U72,Cenários!U116)</f>
        <v>-36533.6051212599</v>
      </c>
      <c r="V17" s="68" t="n">
        <f aca="false">CHOOSE(Premissas!$B$6,Cenários!V28,Cenários!V72,Cenários!V116)</f>
        <v>-39836.4150456644</v>
      </c>
      <c r="W17" s="68" t="n">
        <f aca="false">CHOOSE(Premissas!$B$6,Cenários!W28,Cenários!W72,Cenários!W116)</f>
        <v>-44347.0162580703</v>
      </c>
      <c r="X17" s="68" t="n">
        <f aca="false">CHOOSE(Premissas!$B$6,Cenários!X28,Cenários!X72,Cenários!X116)</f>
        <v>-48783.3457936913</v>
      </c>
      <c r="Y17" s="68" t="n">
        <f aca="false">CHOOSE(Premissas!$B$6,Cenários!Y28,Cenários!Y72,Cenários!Y116)</f>
        <v>-52680.4690533654</v>
      </c>
      <c r="Z17" s="68" t="n">
        <f aca="false">CHOOSE(Premissas!$B$6,Cenários!Z28,Cenários!Z72,Cenários!Z116)</f>
        <v>-76481.94483168</v>
      </c>
      <c r="AA17" s="68" t="n">
        <f aca="false">CHOOSE(Premissas!$B$6,Cenários!AA28,Cenários!AA72,Cenários!AA116)</f>
        <v>-88744.0370182663</v>
      </c>
      <c r="AB17" s="68" t="n">
        <f aca="false">CHOOSE(Premissas!$B$6,Cenários!AB28,Cenários!AB72,Cenários!AB116)</f>
        <v>-100463.766321148</v>
      </c>
      <c r="AC17" s="68" t="n">
        <f aca="false">CHOOSE(Premissas!$B$6,Cenários!AC28,Cenários!AC72,Cenários!AC116)</f>
        <v>-103906.042778343</v>
      </c>
      <c r="AD17" s="68" t="n">
        <f aca="false">CHOOSE(Premissas!$B$6,Cenários!AD28,Cenários!AD72,Cenários!AD116)</f>
        <v>-122682.912279678</v>
      </c>
      <c r="AE17" s="68" t="n">
        <f aca="false">CHOOSE(Premissas!$B$6,Cenários!AE28,Cenários!AE72,Cenários!AE116)</f>
        <v>-117106.389880133</v>
      </c>
      <c r="AF17" s="68" t="n">
        <f aca="false">CHOOSE(Premissas!$B$6,Cenários!AF28,Cenários!AF72,Cenários!AF116)</f>
        <v>-123756.91570894</v>
      </c>
      <c r="AG17" s="68" t="n">
        <f aca="false">CHOOSE(Premissas!$B$6,Cenários!AG28,Cenários!AG72,Cenários!AG116)</f>
        <v>-129946.547847601</v>
      </c>
      <c r="AH17" s="68" t="n">
        <f aca="false">CHOOSE(Premissas!$B$6,Cenários!AH28,Cenários!AH72,Cenários!AH116)</f>
        <v>-135701.538319886</v>
      </c>
      <c r="AI17" s="68" t="n">
        <f aca="false">CHOOSE(Premissas!$B$6,Cenários!AI28,Cenários!AI72,Cenários!AI116)</f>
        <v>-141044.509493021</v>
      </c>
      <c r="AJ17" s="68" t="n">
        <f aca="false">CHOOSE(Premissas!$B$6,Cenários!AJ28,Cenários!AJ72,Cenários!AJ116)</f>
        <v>-146012.27592696</v>
      </c>
      <c r="AK17" s="68" t="n">
        <f aca="false">CHOOSE(Premissas!$B$6,Cenários!AK28,Cenários!AK72,Cenários!AK116)</f>
        <v>-150648.646365833</v>
      </c>
      <c r="AL17" s="68" t="n">
        <f aca="false">CHOOSE(Premissas!$B$6,Cenários!AL28,Cenários!AL72,Cenários!AL116)</f>
        <v>-198553.352788218</v>
      </c>
      <c r="AM17" s="68" t="n">
        <f aca="false">CHOOSE(Premissas!$B$6,Cenários!AM28,Cenários!AM72,Cenários!AM116)</f>
        <v>-213618.09479739</v>
      </c>
      <c r="AN17" s="68" t="n">
        <f aca="false">CHOOSE(Premissas!$B$6,Cenários!AN28,Cenários!AN72,Cenários!AN116)</f>
        <v>-227701.759181583</v>
      </c>
      <c r="AO17" s="68" t="n">
        <f aca="false">CHOOSE(Premissas!$B$6,Cenários!AO28,Cenários!AO72,Cenários!AO116)</f>
        <v>-240871.123714611</v>
      </c>
      <c r="AP17" s="68" t="n">
        <f aca="false">CHOOSE(Premissas!$B$6,Cenários!AP28,Cenários!AP72,Cenários!AP116)</f>
        <v>-253181.622863444</v>
      </c>
      <c r="AQ17" s="68" t="n">
        <f aca="false">CHOOSE(Premissas!$B$6,Cenários!AQ28,Cenários!AQ72,Cenários!AQ116)</f>
        <v>-264695.905240451</v>
      </c>
      <c r="AR17" s="68" t="n">
        <f aca="false">CHOOSE(Premissas!$B$6,Cenários!AR28,Cenários!AR72,Cenários!AR116)</f>
        <v>-275465.194110909</v>
      </c>
      <c r="AS17" s="68" t="n">
        <f aca="false">CHOOSE(Premissas!$B$6,Cenários!AS28,Cenários!AS72,Cenários!AS116)</f>
        <v>-285529.449925456</v>
      </c>
      <c r="AT17" s="68" t="n">
        <f aca="false">CHOOSE(Premissas!$B$6,Cenários!AT28,Cenários!AT72,Cenários!AT116)</f>
        <v>-294932.10473814</v>
      </c>
      <c r="AU17" s="68" t="n">
        <f aca="false">CHOOSE(Premissas!$B$6,Cenários!AU28,Cenários!AU72,Cenários!AU116)</f>
        <v>-303738.839654721</v>
      </c>
      <c r="AV17" s="68" t="n">
        <f aca="false">CHOOSE(Premissas!$B$6,Cenários!AV28,Cenários!AV72,Cenários!AV116)</f>
        <v>-311970.415776743</v>
      </c>
      <c r="AW17" s="68" t="n">
        <f aca="false">CHOOSE(Premissas!$B$6,Cenários!AW28,Cenários!AW72,Cenários!AW116)</f>
        <v>-319658.702021273</v>
      </c>
      <c r="AX17" s="68" t="n">
        <f aca="false">CHOOSE(Premissas!$B$6,Cenários!AX28,Cenários!AX72,Cenários!AX116)</f>
        <v>-401761.928886957</v>
      </c>
      <c r="AY17" s="68" t="n">
        <f aca="false">CHOOSE(Premissas!$B$6,Cenários!AY28,Cenários!AY72,Cenários!AY116)</f>
        <v>-422714.630039219</v>
      </c>
      <c r="AZ17" s="68" t="n">
        <f aca="false">CHOOSE(Premissas!$B$6,Cenários!AZ28,Cenários!AZ72,Cenários!AZ116)</f>
        <v>-442418.94169272</v>
      </c>
      <c r="BA17" s="68" t="n">
        <f aca="false">CHOOSE(Premissas!$B$6,Cenários!BA28,Cenários!BA72,Cenários!BA116)</f>
        <v>-460933.779982936</v>
      </c>
      <c r="BB17" s="68" t="n">
        <f aca="false">CHOOSE(Premissas!$B$6,Cenários!BB28,Cenários!BB72,Cenários!BB116)</f>
        <v>-478337.164792611</v>
      </c>
      <c r="BC17" s="68" t="n">
        <f aca="false">CHOOSE(Premissas!$B$6,Cenários!BC28,Cenários!BC72,Cenários!BC116)</f>
        <v>-494699.167492539</v>
      </c>
      <c r="BD17" s="68" t="n">
        <f aca="false">CHOOSE(Premissas!$B$6,Cenários!BD28,Cenários!BD72,Cenários!BD116)</f>
        <v>-510077.875766155</v>
      </c>
      <c r="BE17" s="68" t="n">
        <f aca="false">CHOOSE(Premissas!$B$6,Cenários!BE28,Cenários!BE72,Cenários!BE116)</f>
        <v>-524538.998739378</v>
      </c>
      <c r="BF17" s="68" t="n">
        <f aca="false">CHOOSE(Premissas!$B$6,Cenários!BF28,Cenários!BF72,Cenários!BF116)</f>
        <v>-538128.578263333</v>
      </c>
      <c r="BG17" s="68" t="n">
        <f aca="false">CHOOSE(Premissas!$B$6,Cenários!BG28,Cenários!BG72,Cenários!BG116)</f>
        <v>-550900.206628308</v>
      </c>
      <c r="BH17" s="68" t="n">
        <f aca="false">CHOOSE(Premissas!$B$6,Cenários!BH28,Cenários!BH72,Cenários!BH116)</f>
        <v>-562899.537404747</v>
      </c>
      <c r="BI17" s="68" t="n">
        <f aca="false">CHOOSE(Premissas!$B$6,Cenários!BI28,Cenários!BI72,Cenários!BI116)</f>
        <v>-574199.310675503</v>
      </c>
      <c r="BJ17" s="69" t="n">
        <f aca="false">SUM(B17:BI17)</f>
        <v>-10956157.8614745</v>
      </c>
      <c r="BK17" s="70" t="n">
        <f aca="false">IFERROR(BJ17/BJ$14,0)</f>
        <v>-0.161998479312457</v>
      </c>
    </row>
    <row r="18" customFormat="false" ht="15" hidden="false" customHeight="false" outlineLevel="0" collapsed="false">
      <c r="A18" s="67" t="s">
        <v>204</v>
      </c>
      <c r="B18" s="68" t="n">
        <f aca="false">CHOOSE(Premissas!$B$6,Cenários!B29,Cenários!B73,Cenários!B117)</f>
        <v>-0</v>
      </c>
      <c r="C18" s="68" t="n">
        <f aca="false">CHOOSE(Premissas!$B$6,Cenários!C29,Cenários!C73,Cenários!C117)</f>
        <v>-0</v>
      </c>
      <c r="D18" s="68" t="n">
        <f aca="false">CHOOSE(Premissas!$B$6,Cenários!D29,Cenários!D73,Cenários!D117)</f>
        <v>-0</v>
      </c>
      <c r="E18" s="68" t="n">
        <f aca="false">CHOOSE(Premissas!$B$6,Cenários!E29,Cenários!E73,Cenários!E117)</f>
        <v>-0</v>
      </c>
      <c r="F18" s="68" t="n">
        <f aca="false">CHOOSE(Premissas!$B$6,Cenários!F29,Cenários!F73,Cenários!F117)</f>
        <v>-0</v>
      </c>
      <c r="G18" s="68" t="n">
        <f aca="false">CHOOSE(Premissas!$B$6,Cenários!G29,Cenários!G73,Cenários!G117)</f>
        <v>-0</v>
      </c>
      <c r="H18" s="68" t="n">
        <f aca="false">CHOOSE(Premissas!$B$6,Cenários!H29,Cenários!H73,Cenários!H117)</f>
        <v>-0</v>
      </c>
      <c r="I18" s="68" t="n">
        <f aca="false">CHOOSE(Premissas!$B$6,Cenários!I29,Cenários!I73,Cenários!I117)</f>
        <v>-0</v>
      </c>
      <c r="J18" s="68" t="n">
        <f aca="false">CHOOSE(Premissas!$B$6,Cenários!J29,Cenários!J73,Cenários!J117)</f>
        <v>-0</v>
      </c>
      <c r="K18" s="68" t="n">
        <f aca="false">CHOOSE(Premissas!$B$6,Cenários!K29,Cenários!K73,Cenários!K117)</f>
        <v>-3102.01125</v>
      </c>
      <c r="L18" s="68" t="n">
        <f aca="false">CHOOSE(Premissas!$B$6,Cenários!L29,Cenários!L73,Cenários!L117)</f>
        <v>-5955.0405</v>
      </c>
      <c r="M18" s="68" t="n">
        <f aca="false">CHOOSE(Premissas!$B$6,Cenários!M29,Cenários!M73,Cenários!M117)</f>
        <v>-8587.074</v>
      </c>
      <c r="N18" s="68" t="n">
        <f aca="false">CHOOSE(Premissas!$B$6,Cenários!N29,Cenários!N73,Cenários!N117)</f>
        <v>-13142.45922</v>
      </c>
      <c r="O18" s="68" t="n">
        <f aca="false">CHOOSE(Premissas!$B$6,Cenários!O29,Cenários!O73,Cenários!O117)</f>
        <v>-16393.71756</v>
      </c>
      <c r="P18" s="68" t="n">
        <f aca="false">CHOOSE(Premissas!$B$6,Cenários!P29,Cenários!P73,Cenários!P117)</f>
        <v>-19392.55824</v>
      </c>
      <c r="Q18" s="68" t="n">
        <f aca="false">CHOOSE(Premissas!$B$6,Cenários!Q29,Cenários!Q73,Cenários!Q117)</f>
        <v>-22179.02148</v>
      </c>
      <c r="R18" s="68" t="n">
        <f aca="false">CHOOSE(Premissas!$B$6,Cenários!R29,Cenários!R73,Cenários!R117)</f>
        <v>-24743.01258</v>
      </c>
      <c r="S18" s="68" t="n">
        <f aca="false">CHOOSE(Premissas!$B$6,Cenários!S29,Cenários!S73,Cenários!S117)</f>
        <v>-27124.60938</v>
      </c>
      <c r="T18" s="68" t="n">
        <f aca="false">CHOOSE(Premissas!$B$6,Cenários!T29,Cenários!T73,Cenários!T117)</f>
        <v>-29323.77426</v>
      </c>
      <c r="U18" s="68" t="n">
        <f aca="false">CHOOSE(Premissas!$B$6,Cenários!U29,Cenários!U73,Cenários!U117)</f>
        <v>-31350.47652</v>
      </c>
      <c r="V18" s="68" t="n">
        <f aca="false">CHOOSE(Premissas!$B$6,Cenários!V29,Cenários!V73,Cenários!V117)</f>
        <v>-33237.27</v>
      </c>
      <c r="W18" s="68" t="n">
        <f aca="false">CHOOSE(Premissas!$B$6,Cenários!W29,Cenários!W73,Cenários!W117)</f>
        <v>-34974.08508</v>
      </c>
      <c r="X18" s="68" t="n">
        <f aca="false">CHOOSE(Premissas!$B$6,Cenários!X29,Cenários!X73,Cenários!X117)</f>
        <v>-36585.97668</v>
      </c>
      <c r="Y18" s="68" t="n">
        <f aca="false">CHOOSE(Premissas!$B$6,Cenários!Y29,Cenários!Y73,Cenários!Y117)</f>
        <v>-38085.43464</v>
      </c>
      <c r="Z18" s="68" t="n">
        <f aca="false">CHOOSE(Premissas!$B$6,Cenários!Z29,Cenários!Z73,Cenários!Z117)</f>
        <v>-49800.3286213125</v>
      </c>
      <c r="AA18" s="68" t="n">
        <f aca="false">CHOOSE(Premissas!$B$6,Cenários!AA29,Cenários!AA73,Cenários!AA117)</f>
        <v>-56105.89664625</v>
      </c>
      <c r="AB18" s="68" t="n">
        <f aca="false">CHOOSE(Premissas!$B$6,Cenários!AB29,Cenários!AB73,Cenários!AB117)</f>
        <v>-61960.8651255</v>
      </c>
      <c r="AC18" s="68" t="n">
        <f aca="false">CHOOSE(Premissas!$B$6,Cenários!AC29,Cenários!AC73,Cenários!AC117)</f>
        <v>-67409.33821875</v>
      </c>
      <c r="AD18" s="68" t="n">
        <f aca="false">CHOOSE(Premissas!$B$6,Cenários!AD29,Cenários!AD73,Cenários!AD117)</f>
        <v>-72470.8986643125</v>
      </c>
      <c r="AE18" s="68" t="n">
        <f aca="false">CHOOSE(Premissas!$B$6,Cenários!AE29,Cenários!AE73,Cenários!AE117)</f>
        <v>-77182.3040236875</v>
      </c>
      <c r="AF18" s="68" t="n">
        <f aca="false">CHOOSE(Premissas!$B$6,Cenários!AF29,Cenários!AF73,Cenários!AF117)</f>
        <v>-81565.5818061562</v>
      </c>
      <c r="AG18" s="68" t="n">
        <f aca="false">CHOOSE(Premissas!$B$6,Cenários!AG29,Cenários!AG73,Cenários!AG117)</f>
        <v>-85645.2288625312</v>
      </c>
      <c r="AH18" s="68" t="n">
        <f aca="false">CHOOSE(Premissas!$B$6,Cenários!AH29,Cenários!AH73,Cenários!AH117)</f>
        <v>-89438.3585895937</v>
      </c>
      <c r="AI18" s="68" t="n">
        <f aca="false">CHOOSE(Premissas!$B$6,Cenários!AI29,Cenários!AI73,Cenários!AI117)</f>
        <v>-92959.6518984375</v>
      </c>
      <c r="AJ18" s="68" t="n">
        <f aca="false">CHOOSE(Premissas!$B$6,Cenários!AJ29,Cenários!AJ73,Cenários!AJ117)</f>
        <v>-96233.6302104375</v>
      </c>
      <c r="AK18" s="68" t="n">
        <f aca="false">CHOOSE(Premissas!$B$6,Cenários!AK29,Cenários!AK73,Cenários!AK117)</f>
        <v>-99289.692203625</v>
      </c>
      <c r="AL18" s="68" t="n">
        <f aca="false">CHOOSE(Premissas!$B$6,Cenários!AL29,Cenários!AL73,Cenários!AL117)</f>
        <v>-123801.793020759</v>
      </c>
      <c r="AM18" s="68" t="n">
        <f aca="false">CHOOSE(Premissas!$B$6,Cenários!AM29,Cenários!AM73,Cenários!AM117)</f>
        <v>-133194.970127587</v>
      </c>
      <c r="AN18" s="68" t="n">
        <f aca="false">CHOOSE(Premissas!$B$6,Cenários!AN29,Cenários!AN73,Cenários!AN117)</f>
        <v>-141976.35438081</v>
      </c>
      <c r="AO18" s="68" t="n">
        <f aca="false">CHOOSE(Premissas!$B$6,Cenários!AO29,Cenários!AO73,Cenários!AO117)</f>
        <v>-150187.701505406</v>
      </c>
      <c r="AP18" s="68" t="n">
        <f aca="false">CHOOSE(Premissas!$B$6,Cenários!AP29,Cenários!AP73,Cenários!AP117)</f>
        <v>-157863.421768244</v>
      </c>
      <c r="AQ18" s="68" t="n">
        <f aca="false">CHOOSE(Premissas!$B$6,Cenários!AQ29,Cenários!AQ73,Cenários!AQ117)</f>
        <v>-165042.842949255</v>
      </c>
      <c r="AR18" s="68" t="n">
        <f aca="false">CHOOSE(Premissas!$B$6,Cenários!AR29,Cenários!AR73,Cenários!AR117)</f>
        <v>-171757.873422694</v>
      </c>
      <c r="AS18" s="68" t="n">
        <f aca="false">CHOOSE(Premissas!$B$6,Cenários!AS29,Cenários!AS73,Cenários!AS117)</f>
        <v>-178033.100753891</v>
      </c>
      <c r="AT18" s="68" t="n">
        <f aca="false">CHOOSE(Premissas!$B$6,Cenários!AT29,Cenários!AT73,Cenários!AT117)</f>
        <v>-183895.528128627</v>
      </c>
      <c r="AU18" s="68" t="n">
        <f aca="false">CHOOSE(Premissas!$B$6,Cenários!AU29,Cenários!AU73,Cenários!AU117)</f>
        <v>-189386.985219448</v>
      </c>
      <c r="AV18" s="68" t="n">
        <f aca="false">CHOOSE(Premissas!$B$6,Cenários!AV29,Cenários!AV73,Cenários!AV117)</f>
        <v>-194519.698023752</v>
      </c>
      <c r="AW18" s="68" t="n">
        <f aca="false">CHOOSE(Premissas!$B$6,Cenários!AW29,Cenários!AW73,Cenários!AW117)</f>
        <v>-199313.3365938</v>
      </c>
      <c r="AX18" s="68" t="n">
        <f aca="false">CHOOSE(Premissas!$B$6,Cenários!AX29,Cenários!AX73,Cenários!AX117)</f>
        <v>-242764.654673556</v>
      </c>
      <c r="AY18" s="68" t="n">
        <f aca="false">CHOOSE(Premissas!$B$6,Cenários!AY29,Cenários!AY73,Cenários!AY117)</f>
        <v>-255425.188194584</v>
      </c>
      <c r="AZ18" s="68" t="n">
        <f aca="false">CHOOSE(Premissas!$B$6,Cenários!AZ29,Cenários!AZ73,Cenários!AZ117)</f>
        <v>-267331.730365032</v>
      </c>
      <c r="BA18" s="68" t="n">
        <f aca="false">CHOOSE(Premissas!$B$6,Cenários!BA29,Cenários!BA73,Cenários!BA117)</f>
        <v>-278519.241060195</v>
      </c>
      <c r="BB18" s="68" t="n">
        <f aca="false">CHOOSE(Premissas!$B$6,Cenários!BB29,Cenários!BB73,Cenários!BB117)</f>
        <v>-289035.138993451</v>
      </c>
      <c r="BC18" s="68" t="n">
        <f aca="false">CHOOSE(Premissas!$B$6,Cenários!BC29,Cenários!BC73,Cenários!BC117)</f>
        <v>-298921.896907279</v>
      </c>
      <c r="BD18" s="68" t="n">
        <f aca="false">CHOOSE(Premissas!$B$6,Cenários!BD29,Cenários!BD73,Cenários!BD117)</f>
        <v>-308214.437112638</v>
      </c>
      <c r="BE18" s="68" t="n">
        <f aca="false">CHOOSE(Premissas!$B$6,Cenários!BE29,Cenários!BE73,Cenários!BE117)</f>
        <v>-316952.728062947</v>
      </c>
      <c r="BF18" s="68" t="n">
        <f aca="false">CHOOSE(Premissas!$B$6,Cenários!BF29,Cenários!BF73,Cenários!BF117)</f>
        <v>-325164.229287765</v>
      </c>
      <c r="BG18" s="68" t="n">
        <f aca="false">CHOOSE(Premissas!$B$6,Cenários!BG29,Cenários!BG73,Cenários!BG117)</f>
        <v>-332881.383851879</v>
      </c>
      <c r="BH18" s="68" t="n">
        <f aca="false">CHOOSE(Premissas!$B$6,Cenários!BH29,Cenários!BH73,Cenários!BH117)</f>
        <v>-340131.651284847</v>
      </c>
      <c r="BI18" s="68" t="n">
        <f aca="false">CHOOSE(Premissas!$B$6,Cenários!BI29,Cenários!BI73,Cenários!BI117)</f>
        <v>-346960.021139656</v>
      </c>
      <c r="BJ18" s="69" t="n">
        <f aca="false">SUM(B18:BI18)</f>
        <v>-6865514.2030887</v>
      </c>
      <c r="BK18" s="71" t="s">
        <v>205</v>
      </c>
    </row>
    <row r="19" customFormat="false" ht="15" hidden="false" customHeight="false" outlineLevel="0" collapsed="false">
      <c r="A19" s="67" t="s">
        <v>206</v>
      </c>
      <c r="B19" s="68" t="n">
        <f aca="false">CHOOSE(Premissas!$B$6,Cenários!B30,Cenários!B74,Cenários!B118)</f>
        <v>-0</v>
      </c>
      <c r="C19" s="68" t="n">
        <f aca="false">CHOOSE(Premissas!$B$6,Cenários!C30,Cenários!C74,Cenários!C118)</f>
        <v>-0</v>
      </c>
      <c r="D19" s="68" t="n">
        <f aca="false">CHOOSE(Premissas!$B$6,Cenários!D30,Cenários!D74,Cenários!D118)</f>
        <v>-0</v>
      </c>
      <c r="E19" s="68" t="n">
        <f aca="false">CHOOSE(Premissas!$B$6,Cenários!E30,Cenários!E74,Cenários!E118)</f>
        <v>-0</v>
      </c>
      <c r="F19" s="68" t="n">
        <f aca="false">CHOOSE(Premissas!$B$6,Cenários!F30,Cenários!F74,Cenários!F118)</f>
        <v>-0</v>
      </c>
      <c r="G19" s="68" t="n">
        <f aca="false">CHOOSE(Premissas!$B$6,Cenários!G30,Cenários!G74,Cenários!G118)</f>
        <v>-0</v>
      </c>
      <c r="H19" s="68" t="n">
        <f aca="false">CHOOSE(Premissas!$B$6,Cenários!H30,Cenários!H74,Cenários!H118)</f>
        <v>-0</v>
      </c>
      <c r="I19" s="68" t="n">
        <f aca="false">CHOOSE(Premissas!$B$6,Cenários!I30,Cenários!I74,Cenários!I118)</f>
        <v>-0</v>
      </c>
      <c r="J19" s="68" t="n">
        <f aca="false">CHOOSE(Premissas!$B$6,Cenários!J30,Cenários!J74,Cenários!J118)</f>
        <v>-0</v>
      </c>
      <c r="K19" s="68" t="n">
        <f aca="false">CHOOSE(Premissas!$B$6,Cenários!K30,Cenários!K74,Cenários!K118)</f>
        <v>-164.224125</v>
      </c>
      <c r="L19" s="68" t="n">
        <f aca="false">CHOOSE(Premissas!$B$6,Cenários!L30,Cenários!L74,Cenários!L118)</f>
        <v>-315.26685</v>
      </c>
      <c r="M19" s="68" t="n">
        <f aca="false">CHOOSE(Premissas!$B$6,Cenários!M30,Cenários!M74,Cenários!M118)</f>
        <v>-454.6098</v>
      </c>
      <c r="N19" s="68" t="n">
        <f aca="false">CHOOSE(Premissas!$B$6,Cenários!N30,Cenários!N74,Cenários!N118)</f>
        <v>-1147.08205935</v>
      </c>
      <c r="O19" s="68" t="n">
        <f aca="false">CHOOSE(Premissas!$B$6,Cenários!O30,Cenários!O74,Cenários!O118)</f>
        <v>-1430.79661351125</v>
      </c>
      <c r="P19" s="68" t="n">
        <f aca="false">CHOOSE(Premissas!$B$6,Cenários!P30,Cenários!P74,Cenários!P118)</f>
        <v>-1692.58957977291</v>
      </c>
      <c r="Q19" s="68" t="n">
        <f aca="false">CHOOSE(Premissas!$B$6,Cenários!Q30,Cenários!Q74,Cenários!Q118)</f>
        <v>-1935.68824438994</v>
      </c>
      <c r="R19" s="68" t="n">
        <f aca="false">CHOOSE(Premissas!$B$6,Cenários!R30,Cenários!R74,Cenários!R118)</f>
        <v>-2159.54295438569</v>
      </c>
      <c r="S19" s="68" t="n">
        <f aca="false">CHOOSE(Premissas!$B$6,Cenários!S30,Cenários!S74,Cenários!S118)</f>
        <v>-2367.35143856927</v>
      </c>
      <c r="T19" s="68" t="n">
        <f aca="false">CHOOSE(Premissas!$B$6,Cenários!T30,Cenários!T74,Cenários!T118)</f>
        <v>-2559.28837443907</v>
      </c>
      <c r="U19" s="68" t="n">
        <f aca="false">CHOOSE(Premissas!$B$6,Cenários!U30,Cenários!U74,Cenários!U118)</f>
        <v>-2736.26564606864</v>
      </c>
      <c r="V19" s="68" t="n">
        <f aca="false">CHOOSE(Premissas!$B$6,Cenários!V30,Cenários!V74,Cenários!V118)</f>
        <v>-2900.87666403849</v>
      </c>
      <c r="W19" s="68" t="n">
        <f aca="false">CHOOSE(Premissas!$B$6,Cenários!W30,Cenários!W74,Cenários!W118)</f>
        <v>-3052.50668898561</v>
      </c>
      <c r="X19" s="68" t="n">
        <f aca="false">CHOOSE(Premissas!$B$6,Cenários!X30,Cenários!X74,Cenários!X118)</f>
        <v>-3193.16478588668</v>
      </c>
      <c r="Y19" s="68" t="n">
        <f aca="false">CHOOSE(Premissas!$B$6,Cenários!Y30,Cenários!Y74,Cenários!Y118)</f>
        <v>-3323.90789277018</v>
      </c>
      <c r="Z19" s="68" t="n">
        <f aca="false">CHOOSE(Premissas!$B$6,Cenários!Z30,Cenários!Z74,Cenários!Z118)</f>
        <v>-5881.84581902503</v>
      </c>
      <c r="AA19" s="68" t="n">
        <f aca="false">CHOOSE(Premissas!$B$6,Cenários!AA30,Cenários!AA74,Cenários!AA118)</f>
        <v>-6626.46321453622</v>
      </c>
      <c r="AB19" s="68" t="n">
        <f aca="false">CHOOSE(Premissas!$B$6,Cenários!AB30,Cenários!AB74,Cenários!AB118)</f>
        <v>-7318.03641396743</v>
      </c>
      <c r="AC19" s="68" t="n">
        <f aca="false">CHOOSE(Premissas!$B$6,Cenários!AC30,Cenários!AC74,Cenários!AC118)</f>
        <v>-7961.53473019321</v>
      </c>
      <c r="AD19" s="68" t="n">
        <f aca="false">CHOOSE(Premissas!$B$6,Cenários!AD30,Cenários!AD74,Cenários!AD118)</f>
        <v>-8559.43621116719</v>
      </c>
      <c r="AE19" s="68" t="n">
        <f aca="false">CHOOSE(Premissas!$B$6,Cenários!AE30,Cenários!AE74,Cenários!AE118)</f>
        <v>-9115.90000297317</v>
      </c>
      <c r="AF19" s="68" t="n">
        <f aca="false">CHOOSE(Premissas!$B$6,Cenários!AF30,Cenários!AF74,Cenários!AF118)</f>
        <v>-9633.57840917774</v>
      </c>
      <c r="AG19" s="68" t="n">
        <f aca="false">CHOOSE(Premissas!$B$6,Cenários!AG30,Cenários!AG74,Cenários!AG118)</f>
        <v>-10115.3391988159</v>
      </c>
      <c r="AH19" s="68" t="n">
        <f aca="false">CHOOSE(Premissas!$B$6,Cenários!AH30,Cenários!AH74,Cenários!AH118)</f>
        <v>-10563.2825296427</v>
      </c>
      <c r="AI19" s="68" t="n">
        <f aca="false">CHOOSE(Premissas!$B$6,Cenários!AI30,Cenários!AI74,Cenários!AI118)</f>
        <v>-10979.2380935793</v>
      </c>
      <c r="AJ19" s="68" t="n">
        <f aca="false">CHOOSE(Premissas!$B$6,Cenários!AJ30,Cenários!AJ74,Cenários!AJ118)</f>
        <v>-11365.9943215178</v>
      </c>
      <c r="AK19" s="68" t="n">
        <f aca="false">CHOOSE(Premissas!$B$6,Cenários!AK30,Cenários!AK74,Cenários!AK118)</f>
        <v>-11726.8038298034</v>
      </c>
      <c r="AL19" s="68" t="n">
        <f aca="false">CHOOSE(Premissas!$B$6,Cenários!AL30,Cenários!AL74,Cenários!AL118)</f>
        <v>-17574.1030948121</v>
      </c>
      <c r="AM19" s="68" t="n">
        <f aca="false">CHOOSE(Premissas!$B$6,Cenários!AM30,Cenários!AM74,Cenários!AM118)</f>
        <v>-18907.4873198534</v>
      </c>
      <c r="AN19" s="68" t="n">
        <f aca="false">CHOOSE(Premissas!$B$6,Cenários!AN30,Cenários!AN74,Cenários!AN118)</f>
        <v>-20154.0573304064</v>
      </c>
      <c r="AO19" s="68" t="n">
        <f aca="false">CHOOSE(Premissas!$B$6,Cenários!AO30,Cenários!AO74,Cenários!AO118)</f>
        <v>-21319.6881225207</v>
      </c>
      <c r="AP19" s="68" t="n">
        <f aca="false">CHOOSE(Premissas!$B$6,Cenários!AP30,Cenários!AP74,Cenários!AP118)</f>
        <v>-22409.3324949706</v>
      </c>
      <c r="AQ19" s="68" t="n">
        <f aca="false">CHOOSE(Premissas!$B$6,Cenários!AQ30,Cenários!AQ74,Cenários!AQ118)</f>
        <v>-23428.4559689913</v>
      </c>
      <c r="AR19" s="68" t="n">
        <f aca="false">CHOOSE(Premissas!$B$6,Cenários!AR30,Cenários!AR74,Cenários!AR118)</f>
        <v>-24381.6014452733</v>
      </c>
      <c r="AS19" s="68" t="n">
        <f aca="false">CHOOSE(Premissas!$B$6,Cenários!AS30,Cenários!AS74,Cenários!AS118)</f>
        <v>-25272.4044134256</v>
      </c>
      <c r="AT19" s="68" t="n">
        <f aca="false">CHOOSE(Premissas!$B$6,Cenários!AT30,Cenários!AT74,Cenários!AT118)</f>
        <v>-26104.7323343225</v>
      </c>
      <c r="AU19" s="68" t="n">
        <f aca="false">CHOOSE(Premissas!$B$6,Cenários!AU30,Cenários!AU74,Cenários!AU118)</f>
        <v>-26884.1358148294</v>
      </c>
      <c r="AV19" s="68" t="n">
        <f aca="false">CHOOSE(Premissas!$B$6,Cenários!AV30,Cenários!AV74,Cenários!AV118)</f>
        <v>-27612.668118615</v>
      </c>
      <c r="AW19" s="68" t="n">
        <f aca="false">CHOOSE(Premissas!$B$6,Cenários!AW30,Cenários!AW74,Cenários!AW118)</f>
        <v>-28293.2102340908</v>
      </c>
      <c r="AX19" s="68" t="n">
        <f aca="false">CHOOSE(Premissas!$B$6,Cenários!AX30,Cenários!AX74,Cenários!AX118)</f>
        <v>-37882.7089250186</v>
      </c>
      <c r="AY19" s="68" t="n">
        <f aca="false">CHOOSE(Premissas!$B$6,Cenários!AY30,Cenários!AY74,Cenários!AY118)</f>
        <v>-39858.4101782742</v>
      </c>
      <c r="AZ19" s="68" t="n">
        <f aca="false">CHOOSE(Premissas!$B$6,Cenários!AZ30,Cenários!AZ74,Cenários!AZ118)</f>
        <v>-41716.2945841364</v>
      </c>
      <c r="BA19" s="68" t="n">
        <f aca="false">CHOOSE(Premissas!$B$6,Cenários!BA30,Cenários!BA74,Cenários!BA118)</f>
        <v>-43462.1094898538</v>
      </c>
      <c r="BB19" s="68" t="n">
        <f aca="false">CHOOSE(Premissas!$B$6,Cenários!BB30,Cenários!BB74,Cenários!BB118)</f>
        <v>-45103.128942917</v>
      </c>
      <c r="BC19" s="68" t="n">
        <f aca="false">CHOOSE(Premissas!$B$6,Cenários!BC30,Cenários!BC74,Cenários!BC118)</f>
        <v>-46645.9204389264</v>
      </c>
      <c r="BD19" s="68" t="n">
        <f aca="false">CHOOSE(Premissas!$B$6,Cenários!BD30,Cenários!BD74,Cenários!BD118)</f>
        <v>-48096.0143008503</v>
      </c>
      <c r="BE19" s="68" t="n">
        <f aca="false">CHOOSE(Premissas!$B$6,Cenários!BE30,Cenários!BE74,Cenários!BE118)</f>
        <v>-49459.527222708</v>
      </c>
      <c r="BF19" s="68" t="n">
        <f aca="false">CHOOSE(Premissas!$B$6,Cenários!BF30,Cenários!BF74,Cenários!BF118)</f>
        <v>-50740.9089347362</v>
      </c>
      <c r="BG19" s="68" t="n">
        <f aca="false">CHOOSE(Premissas!$B$6,Cenários!BG30,Cenários!BG74,Cenários!BG118)</f>
        <v>-51945.194754258</v>
      </c>
      <c r="BH19" s="68" t="n">
        <f aca="false">CHOOSE(Premissas!$B$6,Cenários!BH30,Cenários!BH74,Cenários!BH118)</f>
        <v>-53076.7274143843</v>
      </c>
      <c r="BI19" s="68" t="n">
        <f aca="false">CHOOSE(Premissas!$B$6,Cenários!BI30,Cenários!BI74,Cenários!BI118)</f>
        <v>-54142.0547750513</v>
      </c>
      <c r="BJ19" s="69" t="n">
        <f aca="false">SUM(B19:BI19)</f>
        <v>-983751.491144792</v>
      </c>
      <c r="BK19" s="70" t="n">
        <f aca="false">IFERROR(BJ19/BJ$14,0)</f>
        <v>-0.0145458150203552</v>
      </c>
    </row>
    <row r="20" customFormat="false" ht="15" hidden="false" customHeight="false" outlineLevel="0" collapsed="false">
      <c r="A20" s="34" t="s">
        <v>207</v>
      </c>
      <c r="B20" s="69" t="n">
        <f aca="false">B14+SUM(B17:B19)</f>
        <v>0</v>
      </c>
      <c r="C20" s="69" t="n">
        <f aca="false">C14+SUM(C17:C19)</f>
        <v>0</v>
      </c>
      <c r="D20" s="69" t="n">
        <f aca="false">D14+SUM(D17:D19)</f>
        <v>0</v>
      </c>
      <c r="E20" s="69" t="n">
        <f aca="false">E14+SUM(E17:E19)</f>
        <v>0</v>
      </c>
      <c r="F20" s="69" t="n">
        <f aca="false">F14+SUM(F17:F19)</f>
        <v>0</v>
      </c>
      <c r="G20" s="69" t="n">
        <f aca="false">G14+SUM(G17:G19)</f>
        <v>0</v>
      </c>
      <c r="H20" s="69" t="n">
        <f aca="false">H14+SUM(H17:H19)</f>
        <v>0</v>
      </c>
      <c r="I20" s="69" t="n">
        <f aca="false">I14+SUM(I17:I19)</f>
        <v>0</v>
      </c>
      <c r="J20" s="69" t="n">
        <f aca="false">J14+SUM(J17:J19)</f>
        <v>0</v>
      </c>
      <c r="K20" s="69" t="n">
        <f aca="false">K14+SUM(K17:K19)</f>
        <v>19603.494625</v>
      </c>
      <c r="L20" s="69" t="n">
        <f aca="false">L14+SUM(L17:L19)</f>
        <v>37633.52065</v>
      </c>
      <c r="M20" s="69" t="n">
        <f aca="false">M14+SUM(M17:M19)</f>
        <v>54266.9402</v>
      </c>
      <c r="N20" s="69" t="n">
        <f aca="false">N14+SUM(N17:N19)</f>
        <v>92031.13951685</v>
      </c>
      <c r="O20" s="69" t="n">
        <f aca="false">O14+SUM(O17:O19)</f>
        <v>112711.628759875</v>
      </c>
      <c r="P20" s="69" t="n">
        <f aca="false">P14+SUM(P17:P19)</f>
        <v>130779.878250962</v>
      </c>
      <c r="Q20" s="69" t="n">
        <f aca="false">Q14+SUM(Q17:Q19)</f>
        <v>147010.749599806</v>
      </c>
      <c r="R20" s="69" t="n">
        <f aca="false">R14+SUM(R17:R19)</f>
        <v>162084.1055623</v>
      </c>
      <c r="S20" s="69" t="n">
        <f aca="false">S14+SUM(S17:S19)</f>
        <v>175233.175028744</v>
      </c>
      <c r="T20" s="69" t="n">
        <f aca="false">T14+SUM(T17:T19)</f>
        <v>187619.152830538</v>
      </c>
      <c r="U20" s="69" t="n">
        <f aca="false">U14+SUM(U17:U19)</f>
        <v>199188.732758641</v>
      </c>
      <c r="V20" s="69" t="n">
        <f aca="false">V14+SUM(V17:V19)</f>
        <v>210071.164157819</v>
      </c>
      <c r="W20" s="69" t="n">
        <f aca="false">W14+SUM(W17:W19)</f>
        <v>218620.441150402</v>
      </c>
      <c r="X20" s="69" t="n">
        <f aca="false">X14+SUM(X17:X19)</f>
        <v>226303.241404571</v>
      </c>
      <c r="Y20" s="69" t="n">
        <f aca="false">Y14+SUM(Y17:Y19)</f>
        <v>233677.705853202</v>
      </c>
      <c r="Z20" s="69" t="n">
        <f aca="false">Z14+SUM(Z17:Z19)</f>
        <v>330545.756403955</v>
      </c>
      <c r="AA20" s="69" t="n">
        <f aca="false">AA14+SUM(AA17:AA19)</f>
        <v>369817.652196752</v>
      </c>
      <c r="AB20" s="69" t="n">
        <f aca="false">AB14+SUM(AB17:AB19)</f>
        <v>405952.797730883</v>
      </c>
      <c r="AC20" s="69" t="n">
        <f aca="false">AC14+SUM(AC17:AC19)</f>
        <v>447041.666402007</v>
      </c>
      <c r="AD20" s="69" t="n">
        <f aca="false">AD14+SUM(AD17:AD19)</f>
        <v>469635.770855085</v>
      </c>
      <c r="AE20" s="69" t="n">
        <f aca="false">AE14+SUM(AE17:AE19)</f>
        <v>513719.655206083</v>
      </c>
      <c r="AF20" s="69" t="n">
        <f aca="false">AF14+SUM(AF17:AF19)</f>
        <v>542893.98965405</v>
      </c>
      <c r="AG20" s="69" t="n">
        <f aca="false">AG14+SUM(AG17:AG19)</f>
        <v>570046.392037169</v>
      </c>
      <c r="AH20" s="69" t="n">
        <f aca="false">AH14+SUM(AH17:AH19)</f>
        <v>595292.156261342</v>
      </c>
      <c r="AI20" s="69" t="n">
        <f aca="false">AI14+SUM(AI17:AI19)</f>
        <v>618730.681917418</v>
      </c>
      <c r="AJ20" s="69" t="n">
        <f aca="false">AJ14+SUM(AJ17:AJ19)</f>
        <v>640523.285866619</v>
      </c>
      <c r="AK20" s="69" t="n">
        <f aca="false">AK14+SUM(AK17:AK19)</f>
        <v>660861.779620536</v>
      </c>
      <c r="AL20" s="69" t="n">
        <f aca="false">AL14+SUM(AL17:AL19)</f>
        <v>875951.66223043</v>
      </c>
      <c r="AM20" s="69" t="n">
        <f aca="false">AM14+SUM(AM17:AM19)</f>
        <v>942412.300158049</v>
      </c>
      <c r="AN20" s="69" t="n">
        <f aca="false">AN14+SUM(AN17:AN19)</f>
        <v>1004544.7989883</v>
      </c>
      <c r="AO20" s="69" t="n">
        <f aca="false">AO14+SUM(AO17:AO19)</f>
        <v>1062643.67719396</v>
      </c>
      <c r="AP20" s="69" t="n">
        <f aca="false">AP14+SUM(AP17:AP19)</f>
        <v>1116953.60121654</v>
      </c>
      <c r="AQ20" s="69" t="n">
        <f aca="false">AQ14+SUM(AQ17:AQ19)</f>
        <v>1167750.77036948</v>
      </c>
      <c r="AR20" s="69" t="n">
        <f aca="false">AR14+SUM(AR17:AR19)</f>
        <v>1215261.18595627</v>
      </c>
      <c r="AS20" s="69" t="n">
        <f aca="false">AS14+SUM(AS17:AS19)</f>
        <v>1259661.37023151</v>
      </c>
      <c r="AT20" s="69" t="n">
        <f aca="false">AT14+SUM(AT17:AT19)</f>
        <v>1301142.98530803</v>
      </c>
      <c r="AU20" s="69" t="n">
        <f aca="false">AU14+SUM(AU17:AU19)</f>
        <v>1339995.18110353</v>
      </c>
      <c r="AV20" s="69" t="n">
        <f aca="false">AV14+SUM(AV17:AV19)</f>
        <v>1376310.05198624</v>
      </c>
      <c r="AW20" s="69" t="n">
        <f aca="false">AW14+SUM(AW17:AW19)</f>
        <v>1410228.33364485</v>
      </c>
      <c r="AX20" s="69" t="n">
        <f aca="false">AX14+SUM(AX17:AX19)</f>
        <v>1777859.71478303</v>
      </c>
      <c r="AY20" s="69" t="n">
        <f aca="false">AY14+SUM(AY17:AY19)</f>
        <v>1870578.80795791</v>
      </c>
      <c r="AZ20" s="69" t="n">
        <f aca="false">AZ14+SUM(AZ17:AZ19)</f>
        <v>1957773.33766136</v>
      </c>
      <c r="BA20" s="69" t="n">
        <f aca="false">BA14+SUM(BA17:BA19)</f>
        <v>2039704.4651984</v>
      </c>
      <c r="BB20" s="69" t="n">
        <f aca="false">BB14+SUM(BB17:BB19)</f>
        <v>2116717.24818107</v>
      </c>
      <c r="BC20" s="69" t="n">
        <f aca="false">BC14+SUM(BC17:BC19)</f>
        <v>2189121.6709637</v>
      </c>
      <c r="BD20" s="69" t="n">
        <f aca="false">BD14+SUM(BD17:BD19)</f>
        <v>2257174.90470128</v>
      </c>
      <c r="BE20" s="69" t="n">
        <f aca="false">BE14+SUM(BE17:BE19)</f>
        <v>2321167.53801035</v>
      </c>
      <c r="BF20" s="69" t="n">
        <f aca="false">BF14+SUM(BF17:BF19)</f>
        <v>2381303.56620451</v>
      </c>
      <c r="BG20" s="69" t="n">
        <f aca="false">BG14+SUM(BG17:BG19)</f>
        <v>2437820.10165048</v>
      </c>
      <c r="BH20" s="69" t="n">
        <f aca="false">BH14+SUM(BH17:BH19)</f>
        <v>2490919.25722576</v>
      </c>
      <c r="BI20" s="69" t="n">
        <f aca="false">BI14+SUM(BI17:BI19)</f>
        <v>2540922.19378641</v>
      </c>
      <c r="BJ20" s="69" t="n">
        <f aca="false">SUM(B20:BI20)</f>
        <v>48825815.3792121</v>
      </c>
      <c r="BK20" s="70" t="n">
        <f aca="false">IFERROR(BJ20/BJ$14,0)</f>
        <v>0.721941755735039</v>
      </c>
    </row>
    <row r="22" customFormat="false" ht="18" hidden="false" customHeight="true" outlineLevel="0" collapsed="false">
      <c r="A22" s="10" t="s">
        <v>208</v>
      </c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  <c r="AH22" s="11"/>
      <c r="AI22" s="11"/>
      <c r="AJ22" s="11"/>
      <c r="AK22" s="11"/>
      <c r="AL22" s="11"/>
      <c r="AM22" s="11"/>
      <c r="AN22" s="11"/>
      <c r="AO22" s="11"/>
      <c r="AP22" s="11"/>
      <c r="AQ22" s="11"/>
      <c r="AR22" s="11"/>
      <c r="AS22" s="11"/>
      <c r="AT22" s="11"/>
      <c r="AU22" s="11"/>
      <c r="AV22" s="11"/>
      <c r="AW22" s="11"/>
      <c r="AX22" s="11"/>
      <c r="AY22" s="11"/>
      <c r="AZ22" s="11"/>
      <c r="BA22" s="11"/>
      <c r="BB22" s="11"/>
      <c r="BC22" s="11"/>
      <c r="BD22" s="11"/>
      <c r="BE22" s="11"/>
      <c r="BF22" s="11"/>
      <c r="BG22" s="11"/>
      <c r="BH22" s="11"/>
      <c r="BI22" s="11"/>
      <c r="BJ22" s="11"/>
      <c r="BK22" s="11"/>
    </row>
    <row r="23" customFormat="false" ht="15" hidden="false" customHeight="false" outlineLevel="0" collapsed="false">
      <c r="A23" s="67" t="s">
        <v>209</v>
      </c>
      <c r="B23" s="68" t="n">
        <f aca="false">CHOOSE(Premissas!$B$6,Cenários!B32,Cenários!B76,Cenários!B120)</f>
        <v>-0</v>
      </c>
      <c r="C23" s="68" t="n">
        <f aca="false">CHOOSE(Premissas!$B$6,Cenários!C32,Cenários!C76,Cenários!C120)</f>
        <v>-0</v>
      </c>
      <c r="D23" s="68" t="n">
        <f aca="false">CHOOSE(Premissas!$B$6,Cenários!D32,Cenários!D76,Cenários!D120)</f>
        <v>-0</v>
      </c>
      <c r="E23" s="68" t="n">
        <f aca="false">CHOOSE(Premissas!$B$6,Cenários!E32,Cenários!E76,Cenários!E120)</f>
        <v>-0</v>
      </c>
      <c r="F23" s="68" t="n">
        <f aca="false">CHOOSE(Premissas!$B$6,Cenários!F32,Cenários!F76,Cenários!F120)</f>
        <v>-600</v>
      </c>
      <c r="G23" s="68" t="n">
        <f aca="false">CHOOSE(Premissas!$B$6,Cenários!G32,Cenários!G76,Cenários!G120)</f>
        <v>-600</v>
      </c>
      <c r="H23" s="68" t="n">
        <f aca="false">CHOOSE(Premissas!$B$6,Cenários!H32,Cenários!H76,Cenários!H120)</f>
        <v>-600</v>
      </c>
      <c r="I23" s="68" t="n">
        <f aca="false">CHOOSE(Premissas!$B$6,Cenários!I32,Cenários!I76,Cenários!I120)</f>
        <v>-600</v>
      </c>
      <c r="J23" s="68" t="n">
        <f aca="false">CHOOSE(Premissas!$B$6,Cenários!J32,Cenários!J76,Cenários!J120)</f>
        <v>-600</v>
      </c>
      <c r="K23" s="68" t="n">
        <f aca="false">CHOOSE(Premissas!$B$6,Cenários!K32,Cenários!K76,Cenários!K120)</f>
        <v>-2301.4</v>
      </c>
      <c r="L23" s="68" t="n">
        <f aca="false">CHOOSE(Premissas!$B$6,Cenários!L32,Cenários!L76,Cenários!L120)</f>
        <v>-3867.28</v>
      </c>
      <c r="M23" s="68" t="n">
        <f aca="false">CHOOSE(Premissas!$B$6,Cenários!M32,Cenários!M76,Cenários!M120)</f>
        <v>-5307.3568</v>
      </c>
      <c r="N23" s="68" t="n">
        <f aca="false">CHOOSE(Premissas!$B$6,Cenários!N32,Cenários!N76,Cenários!N120)</f>
        <v>-8863.13904</v>
      </c>
      <c r="O23" s="68" t="n">
        <f aca="false">CHOOSE(Premissas!$B$6,Cenários!O32,Cenários!O76,Cenários!O120)</f>
        <v>-10436.234362</v>
      </c>
      <c r="P23" s="68" t="n">
        <f aca="false">CHOOSE(Premissas!$B$6,Cenários!P32,Cenários!P76,Cenários!P120)</f>
        <v>-11889.58528485</v>
      </c>
      <c r="Q23" s="68" t="n">
        <f aca="false">CHOOSE(Premissas!$B$6,Cenários!Q32,Cenários!Q76,Cenários!Q120)</f>
        <v>-13234.4003884863</v>
      </c>
      <c r="R23" s="68" t="n">
        <f aca="false">CHOOSE(Premissas!$B$6,Cenários!R32,Cenários!R76,Cenários!R120)</f>
        <v>-14479.0858593498</v>
      </c>
      <c r="S23" s="68" t="n">
        <f aca="false">CHOOSE(Premissas!$B$6,Cenários!S32,Cenários!S76,Cenários!S120)</f>
        <v>-15630.5861698986</v>
      </c>
      <c r="T23" s="68" t="n">
        <f aca="false">CHOOSE(Premissas!$B$6,Cenários!T32,Cenários!T76,Cenários!T120)</f>
        <v>-16694.3939571562</v>
      </c>
      <c r="U23" s="68" t="n">
        <f aca="false">CHOOSE(Premissas!$B$6,Cenários!U32,Cenários!U76,Cenários!U120)</f>
        <v>-17678.5491603694</v>
      </c>
      <c r="V23" s="68" t="n">
        <f aca="false">CHOOSE(Premissas!$B$6,Cenários!V32,Cenários!V76,Cenários!V120)</f>
        <v>-18589.6574733417</v>
      </c>
      <c r="W23" s="68" t="n">
        <f aca="false">CHOOSE(Premissas!$B$6,Cenários!W32,Cenários!W76,Cenários!W120)</f>
        <v>-19432.8981628411</v>
      </c>
      <c r="X23" s="68" t="n">
        <f aca="false">CHOOSE(Premissas!$B$6,Cenários!X32,Cenários!X76,Cenários!X120)</f>
        <v>-20212.031300628</v>
      </c>
      <c r="Y23" s="68" t="n">
        <f aca="false">CHOOSE(Premissas!$B$6,Cenários!Y32,Cenários!Y76,Cenários!Y120)</f>
        <v>-20933.3944530809</v>
      </c>
      <c r="Z23" s="68" t="n">
        <f aca="false">CHOOSE(Premissas!$B$6,Cenários!Z32,Cenários!Z76,Cenários!Z120)</f>
        <v>-27678.5175172287</v>
      </c>
      <c r="AA23" s="68" t="n">
        <f aca="false">CHOOSE(Premissas!$B$6,Cenários!AA32,Cenários!AA76,Cenários!AA120)</f>
        <v>-30167.3533710227</v>
      </c>
      <c r="AB23" s="68" t="n">
        <f aca="false">CHOOSE(Premissas!$B$6,Cenários!AB32,Cenários!AB76,Cenários!AB120)</f>
        <v>-32481.5858350511</v>
      </c>
      <c r="AC23" s="68" t="n">
        <f aca="false">CHOOSE(Premissas!$B$6,Cenários!AC32,Cenários!AC76,Cenários!AC120)</f>
        <v>-34635.0898665976</v>
      </c>
      <c r="AD23" s="68" t="n">
        <f aca="false">CHOOSE(Premissas!$B$6,Cenários!AD32,Cenários!AD76,Cenários!AD120)</f>
        <v>-36637.0335759357</v>
      </c>
      <c r="AE23" s="68" t="n">
        <f aca="false">CHOOSE(Premissas!$B$6,Cenários!AE32,Cenários!AE76,Cenários!AE120)</f>
        <v>-38498.6827456202</v>
      </c>
      <c r="AF23" s="68" t="n">
        <f aca="false">CHOOSE(Premissas!$B$6,Cenários!AF32,Cenários!AF76,Cenários!AF120)</f>
        <v>-40230.0164734268</v>
      </c>
      <c r="AG23" s="68" t="n">
        <f aca="false">CHOOSE(Premissas!$B$6,Cenários!AG32,Cenários!AG76,Cenários!AG120)</f>
        <v>-41839.7380002869</v>
      </c>
      <c r="AH23" s="68" t="n">
        <f aca="false">CHOOSE(Premissas!$B$6,Cenários!AH32,Cenários!AH76,Cenários!AH120)</f>
        <v>-43337.5487802668</v>
      </c>
      <c r="AI23" s="68" t="n">
        <f aca="false">CHOOSE(Premissas!$B$6,Cenários!AI32,Cenários!AI76,Cenários!AI120)</f>
        <v>-44730.7618456482</v>
      </c>
      <c r="AJ23" s="68" t="n">
        <f aca="false">CHOOSE(Premissas!$B$6,Cenários!AJ32,Cenários!AJ76,Cenários!AJ120)</f>
        <v>-46025.4425164528</v>
      </c>
      <c r="AK23" s="68" t="n">
        <f aca="false">CHOOSE(Premissas!$B$6,Cenários!AK32,Cenários!AK76,Cenários!AK120)</f>
        <v>-47230.9445003011</v>
      </c>
      <c r="AL23" s="68" t="n">
        <f aca="false">CHOOSE(Premissas!$B$6,Cenários!AL32,Cenários!AL76,Cenários!AL120)</f>
        <v>-57268.2306564846</v>
      </c>
      <c r="AM23" s="68" t="n">
        <f aca="false">CHOOSE(Premissas!$B$6,Cenários!AM32,Cenários!AM76,Cenários!AM120)</f>
        <v>-60247.9741388131</v>
      </c>
      <c r="AN23" s="68" t="n">
        <f aca="false">CHOOSE(Premissas!$B$6,Cenários!AN32,Cenários!AN76,Cenários!AN120)</f>
        <v>-63033.3595697903</v>
      </c>
      <c r="AO23" s="68" t="n">
        <f aca="false">CHOOSE(Premissas!$B$6,Cenários!AO32,Cenários!AO76,Cenários!AO120)</f>
        <v>-65638.5962227539</v>
      </c>
      <c r="AP23" s="68" t="n">
        <f aca="false">CHOOSE(Premissas!$B$6,Cenários!AP32,Cenários!AP76,Cenários!AP120)</f>
        <v>-68073.7980682749</v>
      </c>
      <c r="AQ23" s="68" t="n">
        <f aca="false">CHOOSE(Premissas!$B$6,Cenários!AQ32,Cenários!AQ76,Cenários!AQ120)</f>
        <v>-70349.918868837</v>
      </c>
      <c r="AR23" s="68" t="n">
        <f aca="false">CHOOSE(Premissas!$B$6,Cenários!AR32,Cenários!AR76,Cenários!AR120)</f>
        <v>-72479.7466173626</v>
      </c>
      <c r="AS23" s="68" t="n">
        <f aca="false">CHOOSE(Premissas!$B$6,Cenários!AS32,Cenários!AS76,Cenários!AS120)</f>
        <v>-74470.0323622341</v>
      </c>
      <c r="AT23" s="68" t="n">
        <f aca="false">CHOOSE(Premissas!$B$6,Cenários!AT32,Cenários!AT76,Cenários!AT120)</f>
        <v>-76331.3484586888</v>
      </c>
      <c r="AU23" s="68" t="n">
        <f aca="false">CHOOSE(Premissas!$B$6,Cenários!AU32,Cenários!AU76,Cenários!AU120)</f>
        <v>-78071.2012838741</v>
      </c>
      <c r="AV23" s="68" t="n">
        <f aca="false">CHOOSE(Premissas!$B$6,Cenários!AV32,Cenários!AV76,Cenários!AV120)</f>
        <v>-79698.9634504223</v>
      </c>
      <c r="AW23" s="68" t="n">
        <f aca="false">CHOOSE(Premissas!$B$6,Cenários!AW32,Cenários!AW76,Cenários!AW120)</f>
        <v>-81219.9705511448</v>
      </c>
      <c r="AX23" s="68" t="n">
        <f aca="false">CHOOSE(Premissas!$B$6,Cenários!AX32,Cenários!AX76,Cenários!AX120)</f>
        <v>-95176.6223180761</v>
      </c>
      <c r="AY23" s="68" t="n">
        <f aca="false">CHOOSE(Premissas!$B$6,Cenários!AY32,Cenários!AY76,Cenários!AY120)</f>
        <v>-98575.7439789916</v>
      </c>
      <c r="AZ23" s="68" t="n">
        <f aca="false">CHOOSE(Premissas!$B$6,Cenários!AZ32,Cenários!AZ76,Cenários!AZ120)</f>
        <v>-101772.263540252</v>
      </c>
      <c r="BA23" s="68" t="n">
        <f aca="false">CHOOSE(Premissas!$B$6,Cenários!BA32,Cenários!BA76,Cenários!BA120)</f>
        <v>-104775.646727837</v>
      </c>
      <c r="BB23" s="68" t="n">
        <f aca="false">CHOOSE(Premissas!$B$6,Cenários!BB32,Cenários!BB76,Cenários!BB120)</f>
        <v>-107599.641124167</v>
      </c>
      <c r="BC23" s="68" t="n">
        <f aca="false">CHOOSE(Premissas!$B$6,Cenários!BC32,Cenários!BC76,Cenários!BC120)</f>
        <v>-110253.434756717</v>
      </c>
      <c r="BD23" s="68" t="n">
        <f aca="false">CHOOSE(Premissas!$B$6,Cenários!BD32,Cenários!BD76,Cenários!BD120)</f>
        <v>-112748.744171314</v>
      </c>
      <c r="BE23" s="68" t="n">
        <f aca="false">CHOOSE(Premissas!$B$6,Cenários!BE32,Cenários!BE76,Cenários!BE120)</f>
        <v>-115094.512021035</v>
      </c>
      <c r="BF23" s="68" t="n">
        <f aca="false">CHOOSE(Premissas!$B$6,Cenários!BF32,Cenários!BF76,Cenários!BF120)</f>
        <v>-117298.684199773</v>
      </c>
      <c r="BG23" s="68" t="n">
        <f aca="false">CHOOSE(Premissas!$B$6,Cenários!BG32,Cenários!BG76,Cenários!BG120)</f>
        <v>-119370.871547786</v>
      </c>
      <c r="BH23" s="68" t="n">
        <f aca="false">CHOOSE(Premissas!$B$6,Cenários!BH32,Cenários!BH76,Cenários!BH120)</f>
        <v>-121318.816154919</v>
      </c>
      <c r="BI23" s="68" t="n">
        <f aca="false">CHOOSE(Premissas!$B$6,Cenários!BI32,Cenários!BI76,Cenários!BI120)</f>
        <v>-123150.167285624</v>
      </c>
      <c r="BJ23" s="69" t="n">
        <f aca="false">SUM(B23:BI23)</f>
        <v>-2840060.99551501</v>
      </c>
      <c r="BK23" s="70" t="n">
        <f aca="false">IFERROR(BJ23/BJ$14,0)</f>
        <v>-0.0419933308962141</v>
      </c>
    </row>
    <row r="24" customFormat="false" ht="15" hidden="false" customHeight="false" outlineLevel="0" collapsed="false">
      <c r="A24" s="67" t="s">
        <v>210</v>
      </c>
      <c r="B24" s="68" t="n">
        <f aca="false">CHOOSE(Premissas!$B$6,Cenários!B33,Cenários!B77,Cenários!B121)</f>
        <v>-0</v>
      </c>
      <c r="C24" s="68" t="n">
        <f aca="false">CHOOSE(Premissas!$B$6,Cenários!C33,Cenários!C77,Cenários!C121)</f>
        <v>-0</v>
      </c>
      <c r="D24" s="68" t="n">
        <f aca="false">CHOOSE(Premissas!$B$6,Cenários!D33,Cenários!D77,Cenários!D121)</f>
        <v>-0</v>
      </c>
      <c r="E24" s="68" t="n">
        <f aca="false">CHOOSE(Premissas!$B$6,Cenários!E33,Cenários!E77,Cenários!E121)</f>
        <v>-0</v>
      </c>
      <c r="F24" s="68" t="n">
        <f aca="false">CHOOSE(Premissas!$B$6,Cenários!F33,Cenários!F77,Cenários!F121)</f>
        <v>-0</v>
      </c>
      <c r="G24" s="68" t="n">
        <f aca="false">CHOOSE(Premissas!$B$6,Cenários!G33,Cenários!G77,Cenários!G121)</f>
        <v>-0</v>
      </c>
      <c r="H24" s="68" t="n">
        <f aca="false">CHOOSE(Premissas!$B$6,Cenários!H33,Cenários!H77,Cenários!H121)</f>
        <v>-0</v>
      </c>
      <c r="I24" s="68" t="n">
        <f aca="false">CHOOSE(Premissas!$B$6,Cenários!I33,Cenários!I77,Cenários!I121)</f>
        <v>-0</v>
      </c>
      <c r="J24" s="68" t="n">
        <f aca="false">CHOOSE(Premissas!$B$6,Cenários!J33,Cenários!J77,Cenários!J121)</f>
        <v>-0</v>
      </c>
      <c r="K24" s="68" t="n">
        <f aca="false">CHOOSE(Premissas!$B$6,Cenários!K33,Cenários!K77,Cenários!K121)</f>
        <v>-316.75</v>
      </c>
      <c r="L24" s="68" t="n">
        <f aca="false">CHOOSE(Premissas!$B$6,Cenários!L33,Cenários!L77,Cenários!L121)</f>
        <v>-608.3</v>
      </c>
      <c r="M24" s="68" t="n">
        <f aca="false">CHOOSE(Premissas!$B$6,Cenários!M33,Cenários!M77,Cenários!M121)</f>
        <v>-876.4</v>
      </c>
      <c r="N24" s="68" t="n">
        <f aca="false">CHOOSE(Premissas!$B$6,Cenários!N33,Cenários!N77,Cenários!N121)</f>
        <v>-4314.95</v>
      </c>
      <c r="O24" s="68" t="n">
        <f aca="false">CHOOSE(Premissas!$B$6,Cenários!O33,Cenários!O77,Cenários!O121)</f>
        <v>-4640.1</v>
      </c>
      <c r="P24" s="68" t="n">
        <f aca="false">CHOOSE(Premissas!$B$6,Cenários!P33,Cenários!P77,Cenários!P121)</f>
        <v>-4940.4</v>
      </c>
      <c r="Q24" s="68" t="n">
        <f aca="false">CHOOSE(Premissas!$B$6,Cenários!Q33,Cenários!Q77,Cenários!Q121)</f>
        <v>-5218.3</v>
      </c>
      <c r="R24" s="68" t="n">
        <f aca="false">CHOOSE(Premissas!$B$6,Cenários!R33,Cenários!R77,Cenários!R121)</f>
        <v>-5475.55</v>
      </c>
      <c r="S24" s="68" t="n">
        <f aca="false">CHOOSE(Premissas!$B$6,Cenários!S33,Cenários!S77,Cenários!S121)</f>
        <v>-5713.55</v>
      </c>
      <c r="T24" s="68" t="n">
        <f aca="false">CHOOSE(Premissas!$B$6,Cenários!T33,Cenários!T77,Cenários!T121)</f>
        <v>-5933.35</v>
      </c>
      <c r="U24" s="68" t="n">
        <f aca="false">CHOOSE(Premissas!$B$6,Cenários!U33,Cenários!U77,Cenários!U121)</f>
        <v>-6136.7</v>
      </c>
      <c r="V24" s="68" t="n">
        <f aca="false">CHOOSE(Premissas!$B$6,Cenários!V33,Cenários!V77,Cenários!V121)</f>
        <v>-6325</v>
      </c>
      <c r="W24" s="68" t="n">
        <f aca="false">CHOOSE(Premissas!$B$6,Cenários!W33,Cenários!W77,Cenários!W121)</f>
        <v>-6499.3</v>
      </c>
      <c r="X24" s="68" t="n">
        <f aca="false">CHOOSE(Premissas!$B$6,Cenários!X33,Cenários!X77,Cenários!X121)</f>
        <v>-6660.3</v>
      </c>
      <c r="Y24" s="68" t="n">
        <f aca="false">CHOOSE(Premissas!$B$6,Cenários!Y33,Cenários!Y77,Cenários!Y121)</f>
        <v>-6809.4</v>
      </c>
      <c r="Z24" s="68" t="n">
        <f aca="false">CHOOSE(Premissas!$B$6,Cenários!Z33,Cenários!Z77,Cenários!Z121)</f>
        <v>-19122.6</v>
      </c>
      <c r="AA24" s="68" t="n">
        <f aca="false">CHOOSE(Premissas!$B$6,Cenários!AA33,Cenários!AA77,Cenários!AA121)</f>
        <v>-19644</v>
      </c>
      <c r="AB24" s="68" t="n">
        <f aca="false">CHOOSE(Premissas!$B$6,Cenários!AB33,Cenários!AB77,Cenários!AB121)</f>
        <v>-20128.8</v>
      </c>
      <c r="AC24" s="68" t="n">
        <f aca="false">CHOOSE(Premissas!$B$6,Cenários!AC33,Cenários!AC77,Cenários!AC121)</f>
        <v>-20580</v>
      </c>
      <c r="AD24" s="68" t="n">
        <f aca="false">CHOOSE(Premissas!$B$6,Cenários!AD33,Cenários!AD77,Cenários!AD121)</f>
        <v>-20999.4</v>
      </c>
      <c r="AE24" s="68" t="n">
        <f aca="false">CHOOSE(Premissas!$B$6,Cenários!AE33,Cenários!AE77,Cenários!AE121)</f>
        <v>-21389.4</v>
      </c>
      <c r="AF24" s="68" t="n">
        <f aca="false">CHOOSE(Premissas!$B$6,Cenários!AF33,Cenários!AF77,Cenários!AF121)</f>
        <v>-21752.1</v>
      </c>
      <c r="AG24" s="68" t="n">
        <f aca="false">CHOOSE(Premissas!$B$6,Cenários!AG33,Cenários!AG77,Cenários!AG121)</f>
        <v>-22089.3</v>
      </c>
      <c r="AH24" s="68" t="n">
        <f aca="false">CHOOSE(Premissas!$B$6,Cenários!AH33,Cenários!AH77,Cenários!AH121)</f>
        <v>-22403.1</v>
      </c>
      <c r="AI24" s="68" t="n">
        <f aca="false">CHOOSE(Premissas!$B$6,Cenários!AI33,Cenários!AI77,Cenários!AI121)</f>
        <v>-22695</v>
      </c>
      <c r="AJ24" s="68" t="n">
        <f aca="false">CHOOSE(Premissas!$B$6,Cenários!AJ33,Cenários!AJ77,Cenários!AJ121)</f>
        <v>-22966.2</v>
      </c>
      <c r="AK24" s="68" t="n">
        <f aca="false">CHOOSE(Premissas!$B$6,Cenários!AK33,Cenários!AK77,Cenários!AK121)</f>
        <v>-23218.8</v>
      </c>
      <c r="AL24" s="68" t="n">
        <f aca="false">CHOOSE(Premissas!$B$6,Cenários!AL33,Cenários!AL77,Cenários!AL121)</f>
        <v>-54043.72</v>
      </c>
      <c r="AM24" s="68" t="n">
        <f aca="false">CHOOSE(Premissas!$B$6,Cenários!AM33,Cenários!AM77,Cenários!AM121)</f>
        <v>-54730</v>
      </c>
      <c r="AN24" s="68" t="n">
        <f aca="false">CHOOSE(Premissas!$B$6,Cenários!AN33,Cenários!AN77,Cenários!AN121)</f>
        <v>-55371.48</v>
      </c>
      <c r="AO24" s="68" t="n">
        <f aca="false">CHOOSE(Premissas!$B$6,Cenários!AO33,Cenários!AO77,Cenários!AO121)</f>
        <v>-55971.52</v>
      </c>
      <c r="AP24" s="68" t="n">
        <f aca="false">CHOOSE(Premissas!$B$6,Cenários!AP33,Cenários!AP77,Cenários!AP121)</f>
        <v>-56532.36</v>
      </c>
      <c r="AQ24" s="68" t="n">
        <f aca="false">CHOOSE(Premissas!$B$6,Cenários!AQ33,Cenários!AQ77,Cenários!AQ121)</f>
        <v>-57056.52</v>
      </c>
      <c r="AR24" s="68" t="n">
        <f aca="false">CHOOSE(Premissas!$B$6,Cenários!AR33,Cenários!AR77,Cenários!AR121)</f>
        <v>-57547.08</v>
      </c>
      <c r="AS24" s="68" t="n">
        <f aca="false">CHOOSE(Premissas!$B$6,Cenários!AS33,Cenários!AS77,Cenários!AS121)</f>
        <v>-58005.44</v>
      </c>
      <c r="AT24" s="68" t="n">
        <f aca="false">CHOOSE(Premissas!$B$6,Cenários!AT33,Cenários!AT77,Cenários!AT121)</f>
        <v>-58434.12</v>
      </c>
      <c r="AU24" s="68" t="n">
        <f aca="false">CHOOSE(Premissas!$B$6,Cenários!AU33,Cenários!AU77,Cenários!AU121)</f>
        <v>-58834.8</v>
      </c>
      <c r="AV24" s="68" t="n">
        <f aca="false">CHOOSE(Premissas!$B$6,Cenários!AV33,Cenários!AV77,Cenários!AV121)</f>
        <v>-59209.72</v>
      </c>
      <c r="AW24" s="68" t="n">
        <f aca="false">CHOOSE(Premissas!$B$6,Cenários!AW33,Cenários!AW77,Cenários!AW121)</f>
        <v>-59560</v>
      </c>
      <c r="AX24" s="68" t="n">
        <f aca="false">CHOOSE(Premissas!$B$6,Cenários!AX33,Cenários!AX77,Cenários!AX121)</f>
        <v>-104822.5</v>
      </c>
      <c r="AY24" s="68" t="n">
        <f aca="false">CHOOSE(Premissas!$B$6,Cenários!AY33,Cenários!AY77,Cenários!AY121)</f>
        <v>-105595.5</v>
      </c>
      <c r="AZ24" s="68" t="n">
        <f aca="false">CHOOSE(Premissas!$B$6,Cenários!AZ33,Cenários!AZ77,Cenários!AZ121)</f>
        <v>-106322.5</v>
      </c>
      <c r="BA24" s="68" t="n">
        <f aca="false">CHOOSE(Premissas!$B$6,Cenários!BA33,Cenários!BA77,Cenários!BA121)</f>
        <v>-107005.5</v>
      </c>
      <c r="BB24" s="68" t="n">
        <f aca="false">CHOOSE(Premissas!$B$6,Cenários!BB33,Cenários!BB77,Cenários!BB121)</f>
        <v>-107647.75</v>
      </c>
      <c r="BC24" s="68" t="n">
        <f aca="false">CHOOSE(Premissas!$B$6,Cenários!BC33,Cenários!BC77,Cenários!BC121)</f>
        <v>-108251.25</v>
      </c>
      <c r="BD24" s="68" t="n">
        <f aca="false">CHOOSE(Premissas!$B$6,Cenários!BD33,Cenários!BD77,Cenários!BD121)</f>
        <v>-108818.75</v>
      </c>
      <c r="BE24" s="68" t="n">
        <f aca="false">CHOOSE(Premissas!$B$6,Cenários!BE33,Cenários!BE77,Cenários!BE121)</f>
        <v>-109352.25</v>
      </c>
      <c r="BF24" s="68" t="n">
        <f aca="false">CHOOSE(Premissas!$B$6,Cenários!BF33,Cenários!BF77,Cenários!BF121)</f>
        <v>-109853.5</v>
      </c>
      <c r="BG24" s="68" t="n">
        <f aca="false">CHOOSE(Premissas!$B$6,Cenários!BG33,Cenários!BG77,Cenários!BG121)</f>
        <v>-110324.75</v>
      </c>
      <c r="BH24" s="68" t="n">
        <f aca="false">CHOOSE(Premissas!$B$6,Cenários!BH33,Cenários!BH77,Cenários!BH121)</f>
        <v>-110767.75</v>
      </c>
      <c r="BI24" s="68" t="n">
        <f aca="false">CHOOSE(Premissas!$B$6,Cenários!BI33,Cenários!BI77,Cenários!BI121)</f>
        <v>-111184.25</v>
      </c>
      <c r="BJ24" s="69" t="n">
        <f aca="false">SUM(B24:BI24)</f>
        <v>-2312700.06</v>
      </c>
      <c r="BK24" s="70" t="n">
        <f aca="false">IFERROR(BJ24/BJ$14,0)</f>
        <v>-0.0341957370058747</v>
      </c>
    </row>
    <row r="25" customFormat="false" ht="15" hidden="false" customHeight="false" outlineLevel="0" collapsed="false">
      <c r="A25" s="34" t="s">
        <v>211</v>
      </c>
      <c r="B25" s="69" t="n">
        <f aca="false">B20+B23+B24</f>
        <v>0</v>
      </c>
      <c r="C25" s="69" t="n">
        <f aca="false">C20+C23+C24</f>
        <v>0</v>
      </c>
      <c r="D25" s="69" t="n">
        <f aca="false">D20+D23+D24</f>
        <v>0</v>
      </c>
      <c r="E25" s="69" t="n">
        <f aca="false">E20+E23+E24</f>
        <v>0</v>
      </c>
      <c r="F25" s="69" t="n">
        <f aca="false">F20+F23+F24</f>
        <v>-600</v>
      </c>
      <c r="G25" s="69" t="n">
        <f aca="false">G20+G23+G24</f>
        <v>-600</v>
      </c>
      <c r="H25" s="69" t="n">
        <f aca="false">H20+H23+H24</f>
        <v>-600</v>
      </c>
      <c r="I25" s="69" t="n">
        <f aca="false">I20+I23+I24</f>
        <v>-600</v>
      </c>
      <c r="J25" s="69" t="n">
        <f aca="false">J20+J23+J24</f>
        <v>-600</v>
      </c>
      <c r="K25" s="69" t="n">
        <f aca="false">K20+K23+K24</f>
        <v>16985.344625</v>
      </c>
      <c r="L25" s="69" t="n">
        <f aca="false">L20+L23+L24</f>
        <v>33157.94065</v>
      </c>
      <c r="M25" s="69" t="n">
        <f aca="false">M20+M23+M24</f>
        <v>48083.1834</v>
      </c>
      <c r="N25" s="69" t="n">
        <f aca="false">N20+N23+N24</f>
        <v>78853.05047685</v>
      </c>
      <c r="O25" s="69" t="n">
        <f aca="false">O20+O23+O24</f>
        <v>97635.2943978748</v>
      </c>
      <c r="P25" s="69" t="n">
        <f aca="false">P20+P23+P24</f>
        <v>113949.892966112</v>
      </c>
      <c r="Q25" s="69" t="n">
        <f aca="false">Q20+Q23+Q24</f>
        <v>128558.04921132</v>
      </c>
      <c r="R25" s="69" t="n">
        <f aca="false">R20+R23+R24</f>
        <v>142129.46970295</v>
      </c>
      <c r="S25" s="69" t="n">
        <f aca="false">S20+S23+S24</f>
        <v>153889.038858845</v>
      </c>
      <c r="T25" s="69" t="n">
        <f aca="false">T20+T23+T24</f>
        <v>164991.408873382</v>
      </c>
      <c r="U25" s="69" t="n">
        <f aca="false">U20+U23+U24</f>
        <v>175373.483598272</v>
      </c>
      <c r="V25" s="69" t="n">
        <f aca="false">V20+V23+V24</f>
        <v>185156.506684477</v>
      </c>
      <c r="W25" s="69" t="n">
        <f aca="false">W20+W23+W24</f>
        <v>192688.242987561</v>
      </c>
      <c r="X25" s="69" t="n">
        <f aca="false">X20+X23+X24</f>
        <v>199430.910103943</v>
      </c>
      <c r="Y25" s="69" t="n">
        <f aca="false">Y20+Y23+Y24</f>
        <v>205934.911400121</v>
      </c>
      <c r="Z25" s="69" t="n">
        <f aca="false">Z20+Z23+Z24</f>
        <v>283744.638886727</v>
      </c>
      <c r="AA25" s="69" t="n">
        <f aca="false">AA20+AA23+AA24</f>
        <v>320006.29882573</v>
      </c>
      <c r="AB25" s="69" t="n">
        <f aca="false">AB20+AB23+AB24</f>
        <v>353342.411895832</v>
      </c>
      <c r="AC25" s="69" t="n">
        <f aca="false">AC20+AC23+AC24</f>
        <v>391826.57653541</v>
      </c>
      <c r="AD25" s="69" t="n">
        <f aca="false">AD20+AD23+AD24</f>
        <v>411999.337279149</v>
      </c>
      <c r="AE25" s="69" t="n">
        <f aca="false">AE20+AE23+AE24</f>
        <v>453831.572460462</v>
      </c>
      <c r="AF25" s="69" t="n">
        <f aca="false">AF20+AF23+AF24</f>
        <v>480911.873180623</v>
      </c>
      <c r="AG25" s="69" t="n">
        <f aca="false">AG20+AG23+AG24</f>
        <v>506117.354036882</v>
      </c>
      <c r="AH25" s="69" t="n">
        <f aca="false">AH20+AH23+AH24</f>
        <v>529551.507481075</v>
      </c>
      <c r="AI25" s="69" t="n">
        <f aca="false">AI20+AI23+AI24</f>
        <v>551304.92007177</v>
      </c>
      <c r="AJ25" s="69" t="n">
        <f aca="false">AJ20+AJ23+AJ24</f>
        <v>571531.643350167</v>
      </c>
      <c r="AK25" s="69" t="n">
        <f aca="false">AK20+AK23+AK24</f>
        <v>590412.035120235</v>
      </c>
      <c r="AL25" s="69" t="n">
        <f aca="false">AL20+AL23+AL24</f>
        <v>764639.711573945</v>
      </c>
      <c r="AM25" s="69" t="n">
        <f aca="false">AM20+AM23+AM24</f>
        <v>827434.326019236</v>
      </c>
      <c r="AN25" s="69" t="n">
        <f aca="false">AN20+AN23+AN24</f>
        <v>886139.959418507</v>
      </c>
      <c r="AO25" s="69" t="n">
        <f aca="false">AO20+AO23+AO24</f>
        <v>941033.560971211</v>
      </c>
      <c r="AP25" s="69" t="n">
        <f aca="false">AP20+AP23+AP24</f>
        <v>992347.443148262</v>
      </c>
      <c r="AQ25" s="69" t="n">
        <f aca="false">AQ20+AQ23+AQ24</f>
        <v>1040344.33150064</v>
      </c>
      <c r="AR25" s="69" t="n">
        <f aca="false">AR20+AR23+AR24</f>
        <v>1085234.35933891</v>
      </c>
      <c r="AS25" s="69" t="n">
        <f aca="false">AS20+AS23+AS24</f>
        <v>1127185.89786928</v>
      </c>
      <c r="AT25" s="69" t="n">
        <f aca="false">AT20+AT23+AT24</f>
        <v>1166377.51684935</v>
      </c>
      <c r="AU25" s="69" t="n">
        <f aca="false">AU20+AU23+AU24</f>
        <v>1203089.17981966</v>
      </c>
      <c r="AV25" s="69" t="n">
        <f aca="false">AV20+AV23+AV24</f>
        <v>1237401.36853581</v>
      </c>
      <c r="AW25" s="69" t="n">
        <f aca="false">AW20+AW23+AW24</f>
        <v>1269448.36309371</v>
      </c>
      <c r="AX25" s="69" t="n">
        <f aca="false">AX20+AX23+AX24</f>
        <v>1577860.59246496</v>
      </c>
      <c r="AY25" s="69" t="n">
        <f aca="false">AY20+AY23+AY24</f>
        <v>1666407.56397892</v>
      </c>
      <c r="AZ25" s="69" t="n">
        <f aca="false">AZ20+AZ23+AZ24</f>
        <v>1749678.5741211</v>
      </c>
      <c r="BA25" s="69" t="n">
        <f aca="false">BA20+BA23+BA24</f>
        <v>1827923.31847057</v>
      </c>
      <c r="BB25" s="69" t="n">
        <f aca="false">BB20+BB23+BB24</f>
        <v>1901469.85705691</v>
      </c>
      <c r="BC25" s="69" t="n">
        <f aca="false">BC20+BC23+BC24</f>
        <v>1970616.98620698</v>
      </c>
      <c r="BD25" s="69" t="n">
        <f aca="false">BD20+BD23+BD24</f>
        <v>2035607.41052997</v>
      </c>
      <c r="BE25" s="69" t="n">
        <f aca="false">BE20+BE23+BE24</f>
        <v>2096720.77598931</v>
      </c>
      <c r="BF25" s="69" t="n">
        <f aca="false">BF20+BF23+BF24</f>
        <v>2154151.38200474</v>
      </c>
      <c r="BG25" s="69" t="n">
        <f aca="false">BG20+BG23+BG24</f>
        <v>2208124.48010269</v>
      </c>
      <c r="BH25" s="69" t="n">
        <f aca="false">BH20+BH23+BH24</f>
        <v>2258832.69107085</v>
      </c>
      <c r="BI25" s="69" t="n">
        <f aca="false">BI20+BI23+BI24</f>
        <v>2306587.77650079</v>
      </c>
      <c r="BJ25" s="69" t="n">
        <f aca="false">SUM(B25:BI25)</f>
        <v>43673054.3236971</v>
      </c>
    </row>
    <row r="26" customFormat="false" ht="15" hidden="false" customHeight="false" outlineLevel="0" collapsed="false">
      <c r="A26" s="47" t="s">
        <v>212</v>
      </c>
      <c r="B26" s="70" t="n">
        <f aca="false">IFERROR(B25/B20,0)</f>
        <v>0</v>
      </c>
      <c r="C26" s="70" t="n">
        <f aca="false">IFERROR(C25/C20,0)</f>
        <v>0</v>
      </c>
      <c r="D26" s="70" t="n">
        <f aca="false">IFERROR(D25/D20,0)</f>
        <v>0</v>
      </c>
      <c r="E26" s="70" t="n">
        <f aca="false">IFERROR(E25/E20,0)</f>
        <v>0</v>
      </c>
      <c r="F26" s="70" t="n">
        <f aca="false">IFERROR(F25/F20,0)</f>
        <v>0</v>
      </c>
      <c r="G26" s="70" t="n">
        <f aca="false">IFERROR(G25/G20,0)</f>
        <v>0</v>
      </c>
      <c r="H26" s="70" t="n">
        <f aca="false">IFERROR(H25/H20,0)</f>
        <v>0</v>
      </c>
      <c r="I26" s="70" t="n">
        <f aca="false">IFERROR(I25/I20,0)</f>
        <v>0</v>
      </c>
      <c r="J26" s="70" t="n">
        <f aca="false">IFERROR(J25/J20,0)</f>
        <v>0</v>
      </c>
      <c r="K26" s="70" t="n">
        <f aca="false">IFERROR(K25/K20,0)</f>
        <v>0.866444730897055</v>
      </c>
      <c r="L26" s="70" t="n">
        <f aca="false">IFERROR(L25/L20,0)</f>
        <v>0.881074639770648</v>
      </c>
      <c r="M26" s="70" t="n">
        <f aca="false">IFERROR(M25/M20,0)</f>
        <v>0.886049281989921</v>
      </c>
      <c r="N26" s="70" t="n">
        <f aca="false">IFERROR(N25/N20,0)</f>
        <v>0.85680836824163</v>
      </c>
      <c r="O26" s="70" t="n">
        <f aca="false">IFERROR(O25/O20,0)</f>
        <v>0.866239761346017</v>
      </c>
      <c r="P26" s="70" t="n">
        <f aca="false">IFERROR(P25/P20,0)</f>
        <v>0.871310590666296</v>
      </c>
      <c r="Q26" s="70" t="n">
        <f aca="false">IFERROR(Q25/Q20,0)</f>
        <v>0.8744806047264</v>
      </c>
      <c r="R26" s="70" t="n">
        <f aca="false">IFERROR(R25/R20,0)</f>
        <v>0.876887151950382</v>
      </c>
      <c r="S26" s="70" t="n">
        <f aca="false">IFERROR(S25/S20,0)</f>
        <v>0.878195803012772</v>
      </c>
      <c r="T26" s="70" t="n">
        <f aca="false">IFERROR(T25/T20,0)</f>
        <v>0.879395340956506</v>
      </c>
      <c r="U26" s="70" t="n">
        <f aca="false">IFERROR(U25/U20,0)</f>
        <v>0.880438773666849</v>
      </c>
      <c r="V26" s="70" t="n">
        <f aca="false">IFERROR(V25/V20,0)</f>
        <v>0.881398965092495</v>
      </c>
      <c r="W26" s="70" t="n">
        <f aca="false">IFERROR(W25/W20,0)</f>
        <v>0.881382554959713</v>
      </c>
      <c r="X26" s="70" t="n">
        <f aca="false">IFERROR(X25/X20,0)</f>
        <v>0.881255208127632</v>
      </c>
      <c r="Y26" s="70" t="n">
        <f aca="false">IFERROR(Y25/Y20,0)</f>
        <v>0.881277529870525</v>
      </c>
      <c r="Z26" s="70" t="n">
        <f aca="false">IFERROR(Z25/Z20,0)</f>
        <v>0.858412590055963</v>
      </c>
      <c r="AA26" s="70" t="n">
        <f aca="false">IFERROR(AA25/AA20,0)</f>
        <v>0.86530834027219</v>
      </c>
      <c r="AB26" s="70" t="n">
        <f aca="false">IFERROR(AB25/AB20,0)</f>
        <v>0.870402701670927</v>
      </c>
      <c r="AC26" s="70" t="n">
        <f aca="false">IFERROR(AC25/AC20,0)</f>
        <v>0.876487822016696</v>
      </c>
      <c r="AD26" s="70" t="n">
        <f aca="false">IFERROR(AD25/AD20,0)</f>
        <v>0.877274183201602</v>
      </c>
      <c r="AE26" s="70" t="n">
        <f aca="false">IFERROR(AE25/AE20,0)</f>
        <v>0.883422636960239</v>
      </c>
      <c r="AF26" s="70" t="n">
        <f aca="false">IFERROR(AF25/AF20,0)</f>
        <v>0.885830166377558</v>
      </c>
      <c r="AG26" s="70" t="n">
        <f aca="false">IFERROR(AG25/AG20,0)</f>
        <v>0.887852920581035</v>
      </c>
      <c r="AH26" s="70" t="n">
        <f aca="false">IFERROR(AH25/AH20,0)</f>
        <v>0.889565739966838</v>
      </c>
      <c r="AI26" s="70" t="n">
        <f aca="false">IFERROR(AI25/AI20,0)</f>
        <v>0.89102566946139</v>
      </c>
      <c r="AJ26" s="70" t="n">
        <f aca="false">IFERROR(AJ25/AJ20,0)</f>
        <v>0.892288627066684</v>
      </c>
      <c r="AK26" s="70" t="n">
        <f aca="false">IFERROR(AK25/AK20,0)</f>
        <v>0.893397157056423</v>
      </c>
      <c r="AL26" s="70" t="n">
        <f aca="false">IFERROR(AL25/AL20,0)</f>
        <v>0.872924551141268</v>
      </c>
      <c r="AM26" s="70" t="n">
        <f aca="false">IFERROR(AM25/AM20,0)</f>
        <v>0.877996102003836</v>
      </c>
      <c r="AN26" s="70" t="n">
        <f aca="false">IFERROR(AN25/AN20,0)</f>
        <v>0.882130852014725</v>
      </c>
      <c r="AO26" s="70" t="n">
        <f aca="false">IFERROR(AO25/AO20,0)</f>
        <v>0.885558895392029</v>
      </c>
      <c r="AP26" s="70" t="n">
        <f aca="false">IFERROR(AP25/AP20,0)</f>
        <v>0.8884410615333</v>
      </c>
      <c r="AQ26" s="70" t="n">
        <f aca="false">IFERROR(AQ25/AQ20,0)</f>
        <v>0.890895863996283</v>
      </c>
      <c r="AR26" s="70" t="n">
        <f aca="false">IFERROR(AR25/AR20,0)</f>
        <v>0.893005036184837</v>
      </c>
      <c r="AS26" s="70" t="n">
        <f aca="false">IFERROR(AS25/AS20,0)</f>
        <v>0.894832472049304</v>
      </c>
      <c r="AT26" s="70" t="n">
        <f aca="false">IFERROR(AT25/AT20,0)</f>
        <v>0.896425319906878</v>
      </c>
      <c r="AU26" s="70" t="n">
        <f aca="false">IFERROR(AU25/AU20,0)</f>
        <v>0.897830974906099</v>
      </c>
      <c r="AV26" s="70" t="n">
        <f aca="false">IFERROR(AV25/AV20,0)</f>
        <v>0.899071663939419</v>
      </c>
      <c r="AW26" s="70" t="n">
        <f aca="false">IFERROR(AW25/AW20,0)</f>
        <v>0.900172215241707</v>
      </c>
      <c r="AX26" s="70" t="n">
        <f aca="false">IFERROR(AX25/AX20,0)</f>
        <v>0.887505678510476</v>
      </c>
      <c r="AY26" s="70" t="n">
        <f aca="false">IFERROR(AY25/AY20,0)</f>
        <v>0.890851300618613</v>
      </c>
      <c r="AZ26" s="70" t="n">
        <f aca="false">IFERROR(AZ25/AZ20,0)</f>
        <v>0.893708449524177</v>
      </c>
      <c r="BA26" s="70" t="n">
        <f aca="false">IFERROR(BA25/BA20,0)</f>
        <v>0.896170670633289</v>
      </c>
      <c r="BB26" s="70" t="n">
        <f aca="false">IFERROR(BB25/BB20,0)</f>
        <v>0.898310749199435</v>
      </c>
      <c r="BC26" s="70" t="n">
        <f aca="false">IFERROR(BC25/BC20,0)</f>
        <v>0.900186139649092</v>
      </c>
      <c r="BD26" s="70" t="n">
        <f aca="false">IFERROR(BD25/BD20,0)</f>
        <v>0.901838579850489</v>
      </c>
      <c r="BE26" s="70" t="n">
        <f aca="false">IFERROR(BE25/BE20,0)</f>
        <v>0.903304368019283</v>
      </c>
      <c r="BF26" s="70" t="n">
        <f aca="false">IFERROR(BF25/BF20,0)</f>
        <v>0.904610152429317</v>
      </c>
      <c r="BG26" s="70" t="n">
        <f aca="false">IFERROR(BG25/BG20,0)</f>
        <v>0.905778272403171</v>
      </c>
      <c r="BH26" s="70" t="n">
        <f aca="false">IFERROR(BH25/BH20,0)</f>
        <v>0.906826941306238</v>
      </c>
      <c r="BI26" s="70" t="n">
        <f aca="false">IFERROR(BI25/BI20,0)</f>
        <v>0.907775839079738</v>
      </c>
      <c r="BJ26" s="72" t="n">
        <f aca="false">IFERROR(BJ25/BJ20,0)</f>
        <v>0.894466461737599</v>
      </c>
    </row>
    <row r="28" customFormat="false" ht="18" hidden="false" customHeight="true" outlineLevel="0" collapsed="false">
      <c r="A28" s="10" t="s">
        <v>213</v>
      </c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11"/>
      <c r="AO28" s="11"/>
      <c r="AP28" s="11"/>
      <c r="AQ28" s="11"/>
      <c r="AR28" s="11"/>
      <c r="AS28" s="11"/>
      <c r="AT28" s="11"/>
      <c r="AU28" s="11"/>
      <c r="AV28" s="11"/>
      <c r="AW28" s="11"/>
      <c r="AX28" s="11"/>
      <c r="AY28" s="11"/>
      <c r="AZ28" s="11"/>
      <c r="BA28" s="11"/>
      <c r="BB28" s="11"/>
      <c r="BC28" s="11"/>
      <c r="BD28" s="11"/>
      <c r="BE28" s="11"/>
      <c r="BF28" s="11"/>
      <c r="BG28" s="11"/>
      <c r="BH28" s="11"/>
      <c r="BI28" s="11"/>
      <c r="BJ28" s="11"/>
      <c r="BK28" s="11"/>
    </row>
    <row r="29" customFormat="false" ht="15" hidden="false" customHeight="false" outlineLevel="0" collapsed="false">
      <c r="A29" s="67" t="s">
        <v>214</v>
      </c>
      <c r="B29" s="68" t="n">
        <f aca="false">'Análise Fluxo'!B18+'Análise Fluxo'!B19</f>
        <v>-0</v>
      </c>
      <c r="C29" s="68" t="n">
        <f aca="false">'Análise Fluxo'!C18+'Análise Fluxo'!C19</f>
        <v>-0</v>
      </c>
      <c r="D29" s="68" t="n">
        <f aca="false">'Análise Fluxo'!D18+'Análise Fluxo'!D19</f>
        <v>-0</v>
      </c>
      <c r="E29" s="68" t="n">
        <f aca="false">'Análise Fluxo'!E18+'Análise Fluxo'!E19</f>
        <v>-0</v>
      </c>
      <c r="F29" s="68" t="n">
        <f aca="false">'Análise Fluxo'!F18+'Análise Fluxo'!F19</f>
        <v>-0</v>
      </c>
      <c r="G29" s="68" t="n">
        <f aca="false">'Análise Fluxo'!G18+'Análise Fluxo'!G19</f>
        <v>-0</v>
      </c>
      <c r="H29" s="68" t="n">
        <f aca="false">'Análise Fluxo'!H18+'Análise Fluxo'!H19</f>
        <v>-0</v>
      </c>
      <c r="I29" s="68" t="n">
        <f aca="false">'Análise Fluxo'!I18+'Análise Fluxo'!I19</f>
        <v>-0</v>
      </c>
      <c r="J29" s="68" t="n">
        <f aca="false">'Análise Fluxo'!J18+'Análise Fluxo'!J19</f>
        <v>-0</v>
      </c>
      <c r="K29" s="68" t="n">
        <f aca="false">'Análise Fluxo'!K18+'Análise Fluxo'!K19</f>
        <v>-0</v>
      </c>
      <c r="L29" s="68" t="n">
        <f aca="false">'Análise Fluxo'!L18+'Análise Fluxo'!L19</f>
        <v>-4000</v>
      </c>
      <c r="M29" s="68" t="n">
        <f aca="false">'Análise Fluxo'!M18+'Análise Fluxo'!M19</f>
        <v>-4000</v>
      </c>
      <c r="N29" s="68" t="n">
        <f aca="false">'Análise Fluxo'!N18+'Análise Fluxo'!N19</f>
        <v>-40000</v>
      </c>
      <c r="O29" s="68" t="n">
        <f aca="false">'Análise Fluxo'!O18+'Análise Fluxo'!O19</f>
        <v>-40000</v>
      </c>
      <c r="P29" s="68" t="n">
        <f aca="false">'Análise Fluxo'!P18+'Análise Fluxo'!P19</f>
        <v>-40000</v>
      </c>
      <c r="Q29" s="68" t="n">
        <f aca="false">'Análise Fluxo'!Q18+'Análise Fluxo'!Q19</f>
        <v>-40000</v>
      </c>
      <c r="R29" s="68" t="n">
        <f aca="false">'Análise Fluxo'!R18+'Análise Fluxo'!R19</f>
        <v>-40000</v>
      </c>
      <c r="S29" s="68" t="n">
        <f aca="false">'Análise Fluxo'!S18+'Análise Fluxo'!S19</f>
        <v>-40000</v>
      </c>
      <c r="T29" s="68" t="n">
        <f aca="false">'Análise Fluxo'!T18+'Análise Fluxo'!T19</f>
        <v>-40000</v>
      </c>
      <c r="U29" s="68" t="n">
        <f aca="false">'Análise Fluxo'!U18+'Análise Fluxo'!U19</f>
        <v>-40000</v>
      </c>
      <c r="V29" s="68" t="n">
        <f aca="false">'Análise Fluxo'!V18+'Análise Fluxo'!V19</f>
        <v>-40000</v>
      </c>
      <c r="W29" s="68" t="n">
        <f aca="false">'Análise Fluxo'!W18+'Análise Fluxo'!W19</f>
        <v>-40000</v>
      </c>
      <c r="X29" s="68" t="n">
        <f aca="false">'Análise Fluxo'!X18+'Análise Fluxo'!X19</f>
        <v>-40000</v>
      </c>
      <c r="Y29" s="68" t="n">
        <f aca="false">'Análise Fluxo'!Y18+'Análise Fluxo'!Y19</f>
        <v>-40000</v>
      </c>
      <c r="Z29" s="68" t="n">
        <f aca="false">'Análise Fluxo'!Z18+'Análise Fluxo'!Z19</f>
        <v>-130000</v>
      </c>
      <c r="AA29" s="68" t="n">
        <f aca="false">'Análise Fluxo'!AA18+'Análise Fluxo'!AA19</f>
        <v>-130000</v>
      </c>
      <c r="AB29" s="68" t="n">
        <f aca="false">'Análise Fluxo'!AB18+'Análise Fluxo'!AB19</f>
        <v>-130000</v>
      </c>
      <c r="AC29" s="68" t="n">
        <f aca="false">'Análise Fluxo'!AC18+'Análise Fluxo'!AC19</f>
        <v>-130000</v>
      </c>
      <c r="AD29" s="68" t="n">
        <f aca="false">'Análise Fluxo'!AD18+'Análise Fluxo'!AD19</f>
        <v>-130000</v>
      </c>
      <c r="AE29" s="68" t="n">
        <f aca="false">'Análise Fluxo'!AE18+'Análise Fluxo'!AE19</f>
        <v>-130000</v>
      </c>
      <c r="AF29" s="68" t="n">
        <f aca="false">'Análise Fluxo'!AF18+'Análise Fluxo'!AF19</f>
        <v>-130000</v>
      </c>
      <c r="AG29" s="68" t="n">
        <f aca="false">'Análise Fluxo'!AG18+'Análise Fluxo'!AG19</f>
        <v>-130000</v>
      </c>
      <c r="AH29" s="68" t="n">
        <f aca="false">'Análise Fluxo'!AH18+'Análise Fluxo'!AH19</f>
        <v>-130000</v>
      </c>
      <c r="AI29" s="68" t="n">
        <f aca="false">'Análise Fluxo'!AI18+'Análise Fluxo'!AI19</f>
        <v>-130000</v>
      </c>
      <c r="AJ29" s="68" t="n">
        <f aca="false">'Análise Fluxo'!AJ18+'Análise Fluxo'!AJ19</f>
        <v>-130000</v>
      </c>
      <c r="AK29" s="68" t="n">
        <f aca="false">'Análise Fluxo'!AK18+'Análise Fluxo'!AK19</f>
        <v>-130000</v>
      </c>
      <c r="AL29" s="68" t="n">
        <f aca="false">'Análise Fluxo'!AL18+'Análise Fluxo'!AL19</f>
        <v>-300000</v>
      </c>
      <c r="AM29" s="68" t="n">
        <f aca="false">'Análise Fluxo'!AM18+'Análise Fluxo'!AM19</f>
        <v>-300000</v>
      </c>
      <c r="AN29" s="68" t="n">
        <f aca="false">'Análise Fluxo'!AN18+'Análise Fluxo'!AN19</f>
        <v>-300000</v>
      </c>
      <c r="AO29" s="68" t="n">
        <f aca="false">'Análise Fluxo'!AO18+'Análise Fluxo'!AO19</f>
        <v>-300000</v>
      </c>
      <c r="AP29" s="68" t="n">
        <f aca="false">'Análise Fluxo'!AP18+'Análise Fluxo'!AP19</f>
        <v>-300000</v>
      </c>
      <c r="AQ29" s="68" t="n">
        <f aca="false">'Análise Fluxo'!AQ18+'Análise Fluxo'!AQ19</f>
        <v>-300000</v>
      </c>
      <c r="AR29" s="68" t="n">
        <f aca="false">'Análise Fluxo'!AR18+'Análise Fluxo'!AR19</f>
        <v>-300000</v>
      </c>
      <c r="AS29" s="68" t="n">
        <f aca="false">'Análise Fluxo'!AS18+'Análise Fluxo'!AS19</f>
        <v>-300000</v>
      </c>
      <c r="AT29" s="68" t="n">
        <f aca="false">'Análise Fluxo'!AT18+'Análise Fluxo'!AT19</f>
        <v>-300000</v>
      </c>
      <c r="AU29" s="68" t="n">
        <f aca="false">'Análise Fluxo'!AU18+'Análise Fluxo'!AU19</f>
        <v>-300000</v>
      </c>
      <c r="AV29" s="68" t="n">
        <f aca="false">'Análise Fluxo'!AV18+'Análise Fluxo'!AV19</f>
        <v>-300000</v>
      </c>
      <c r="AW29" s="68" t="n">
        <f aca="false">'Análise Fluxo'!AW18+'Análise Fluxo'!AW19</f>
        <v>-300000</v>
      </c>
      <c r="AX29" s="68" t="n">
        <f aca="false">'Análise Fluxo'!AX18+'Análise Fluxo'!AX19</f>
        <v>-560000</v>
      </c>
      <c r="AY29" s="68" t="n">
        <f aca="false">'Análise Fluxo'!AY18+'Análise Fluxo'!AY19</f>
        <v>-560000</v>
      </c>
      <c r="AZ29" s="68" t="n">
        <f aca="false">'Análise Fluxo'!AZ18+'Análise Fluxo'!AZ19</f>
        <v>-560000</v>
      </c>
      <c r="BA29" s="68" t="n">
        <f aca="false">'Análise Fluxo'!BA18+'Análise Fluxo'!BA19</f>
        <v>-560000</v>
      </c>
      <c r="BB29" s="68" t="n">
        <f aca="false">'Análise Fluxo'!BB18+'Análise Fluxo'!BB19</f>
        <v>-560000</v>
      </c>
      <c r="BC29" s="68" t="n">
        <f aca="false">'Análise Fluxo'!BC18+'Análise Fluxo'!BC19</f>
        <v>-560000</v>
      </c>
      <c r="BD29" s="68" t="n">
        <f aca="false">'Análise Fluxo'!BD18+'Análise Fluxo'!BD19</f>
        <v>-560000</v>
      </c>
      <c r="BE29" s="68" t="n">
        <f aca="false">'Análise Fluxo'!BE18+'Análise Fluxo'!BE19</f>
        <v>-560000</v>
      </c>
      <c r="BF29" s="68" t="n">
        <f aca="false">'Análise Fluxo'!BF18+'Análise Fluxo'!BF19</f>
        <v>-560000</v>
      </c>
      <c r="BG29" s="68" t="n">
        <f aca="false">'Análise Fluxo'!BG18+'Análise Fluxo'!BG19</f>
        <v>-560000</v>
      </c>
      <c r="BH29" s="68" t="n">
        <f aca="false">'Análise Fluxo'!BH18+'Análise Fluxo'!BH19</f>
        <v>-560000</v>
      </c>
      <c r="BI29" s="68" t="n">
        <f aca="false">'Análise Fluxo'!BI18+'Análise Fluxo'!BI19</f>
        <v>-560000</v>
      </c>
      <c r="BJ29" s="69" t="n">
        <f aca="false">SUM(B29:BI29)</f>
        <v>-12368000</v>
      </c>
      <c r="BK29" s="70" t="n">
        <f aca="false">IFERROR(BJ29/BJ$14,0)</f>
        <v>-0.182874071135994</v>
      </c>
    </row>
    <row r="30" customFormat="false" ht="15" hidden="false" customHeight="false" outlineLevel="0" collapsed="false">
      <c r="A30" s="67" t="s">
        <v>215</v>
      </c>
      <c r="B30" s="68" t="n">
        <f aca="false">'Análise Fluxo'!B20+'Análise Fluxo'!B21+'Análise Fluxo'!B22</f>
        <v>-0</v>
      </c>
      <c r="C30" s="68" t="n">
        <f aca="false">'Análise Fluxo'!C20+'Análise Fluxo'!C21+'Análise Fluxo'!C22</f>
        <v>-0</v>
      </c>
      <c r="D30" s="68" t="n">
        <f aca="false">'Análise Fluxo'!D20+'Análise Fluxo'!D21+'Análise Fluxo'!D22</f>
        <v>-0</v>
      </c>
      <c r="E30" s="68" t="n">
        <f aca="false">'Análise Fluxo'!E20+'Análise Fluxo'!E21+'Análise Fluxo'!E22</f>
        <v>-0</v>
      </c>
      <c r="F30" s="68" t="n">
        <f aca="false">'Análise Fluxo'!F20+'Análise Fluxo'!F21+'Análise Fluxo'!F22</f>
        <v>-0</v>
      </c>
      <c r="G30" s="68" t="n">
        <f aca="false">'Análise Fluxo'!G20+'Análise Fluxo'!G21+'Análise Fluxo'!G22</f>
        <v>-0</v>
      </c>
      <c r="H30" s="68" t="n">
        <f aca="false">'Análise Fluxo'!H20+'Análise Fluxo'!H21+'Análise Fluxo'!H22</f>
        <v>-0</v>
      </c>
      <c r="I30" s="68" t="n">
        <f aca="false">'Análise Fluxo'!I20+'Análise Fluxo'!I21+'Análise Fluxo'!I22</f>
        <v>-0</v>
      </c>
      <c r="J30" s="68" t="n">
        <f aca="false">'Análise Fluxo'!J20+'Análise Fluxo'!J21+'Análise Fluxo'!J22</f>
        <v>-0</v>
      </c>
      <c r="K30" s="68" t="n">
        <f aca="false">'Análise Fluxo'!K20+'Análise Fluxo'!K21+'Análise Fluxo'!K22</f>
        <v>-59675</v>
      </c>
      <c r="L30" s="68" t="n">
        <f aca="false">'Análise Fluxo'!L20+'Análise Fluxo'!L21+'Análise Fluxo'!L22</f>
        <v>-34675</v>
      </c>
      <c r="M30" s="68" t="n">
        <f aca="false">'Análise Fluxo'!M20+'Análise Fluxo'!M21+'Análise Fluxo'!M22</f>
        <v>-34675</v>
      </c>
      <c r="N30" s="68" t="n">
        <f aca="false">'Análise Fluxo'!N20+'Análise Fluxo'!N21+'Análise Fluxo'!N22</f>
        <v>-59880</v>
      </c>
      <c r="O30" s="68" t="n">
        <f aca="false">'Análise Fluxo'!O20+'Análise Fluxo'!O21+'Análise Fluxo'!O22</f>
        <v>-59880</v>
      </c>
      <c r="P30" s="68" t="n">
        <f aca="false">'Análise Fluxo'!P20+'Análise Fluxo'!P21+'Análise Fluxo'!P22</f>
        <v>-59880</v>
      </c>
      <c r="Q30" s="68" t="n">
        <f aca="false">'Análise Fluxo'!Q20+'Análise Fluxo'!Q21+'Análise Fluxo'!Q22</f>
        <v>-59880</v>
      </c>
      <c r="R30" s="68" t="n">
        <f aca="false">'Análise Fluxo'!R20+'Análise Fluxo'!R21+'Análise Fluxo'!R22</f>
        <v>-59880</v>
      </c>
      <c r="S30" s="68" t="n">
        <f aca="false">'Análise Fluxo'!S20+'Análise Fluxo'!S21+'Análise Fluxo'!S22</f>
        <v>-59880</v>
      </c>
      <c r="T30" s="68" t="n">
        <f aca="false">'Análise Fluxo'!T20+'Análise Fluxo'!T21+'Análise Fluxo'!T22</f>
        <v>-59880</v>
      </c>
      <c r="U30" s="68" t="n">
        <f aca="false">'Análise Fluxo'!U20+'Análise Fluxo'!U21+'Análise Fluxo'!U22</f>
        <v>-59880</v>
      </c>
      <c r="V30" s="68" t="n">
        <f aca="false">'Análise Fluxo'!V20+'Análise Fluxo'!V21+'Análise Fluxo'!V22</f>
        <v>-59880</v>
      </c>
      <c r="W30" s="68" t="n">
        <f aca="false">'Análise Fluxo'!W20+'Análise Fluxo'!W21+'Análise Fluxo'!W22</f>
        <v>-59880</v>
      </c>
      <c r="X30" s="68" t="n">
        <f aca="false">'Análise Fluxo'!X20+'Análise Fluxo'!X21+'Análise Fluxo'!X22</f>
        <v>-59880</v>
      </c>
      <c r="Y30" s="68" t="n">
        <f aca="false">'Análise Fluxo'!Y20+'Análise Fluxo'!Y21+'Análise Fluxo'!Y22</f>
        <v>-59880</v>
      </c>
      <c r="Z30" s="68" t="n">
        <f aca="false">'Análise Fluxo'!Z20+'Análise Fluxo'!Z21+'Análise Fluxo'!Z22</f>
        <v>-162375</v>
      </c>
      <c r="AA30" s="68" t="n">
        <f aca="false">'Análise Fluxo'!AA20+'Análise Fluxo'!AA21+'Análise Fluxo'!AA22</f>
        <v>-162375</v>
      </c>
      <c r="AB30" s="68" t="n">
        <f aca="false">'Análise Fluxo'!AB20+'Análise Fluxo'!AB21+'Análise Fluxo'!AB22</f>
        <v>-162375</v>
      </c>
      <c r="AC30" s="68" t="n">
        <f aca="false">'Análise Fluxo'!AC20+'Análise Fluxo'!AC21+'Análise Fluxo'!AC22</f>
        <v>-162375</v>
      </c>
      <c r="AD30" s="68" t="n">
        <f aca="false">'Análise Fluxo'!AD20+'Análise Fluxo'!AD21+'Análise Fluxo'!AD22</f>
        <v>-162375</v>
      </c>
      <c r="AE30" s="68" t="n">
        <f aca="false">'Análise Fluxo'!AE20+'Análise Fluxo'!AE21+'Análise Fluxo'!AE22</f>
        <v>-162375</v>
      </c>
      <c r="AF30" s="68" t="n">
        <f aca="false">'Análise Fluxo'!AF20+'Análise Fluxo'!AF21+'Análise Fluxo'!AF22</f>
        <v>-162375</v>
      </c>
      <c r="AG30" s="68" t="n">
        <f aca="false">'Análise Fluxo'!AG20+'Análise Fluxo'!AG21+'Análise Fluxo'!AG22</f>
        <v>-162375</v>
      </c>
      <c r="AH30" s="68" t="n">
        <f aca="false">'Análise Fluxo'!AH20+'Análise Fluxo'!AH21+'Análise Fluxo'!AH22</f>
        <v>-162375</v>
      </c>
      <c r="AI30" s="68" t="n">
        <f aca="false">'Análise Fluxo'!AI20+'Análise Fluxo'!AI21+'Análise Fluxo'!AI22</f>
        <v>-162375</v>
      </c>
      <c r="AJ30" s="68" t="n">
        <f aca="false">'Análise Fluxo'!AJ20+'Análise Fluxo'!AJ21+'Análise Fluxo'!AJ22</f>
        <v>-162375</v>
      </c>
      <c r="AK30" s="68" t="n">
        <f aca="false">'Análise Fluxo'!AK20+'Análise Fluxo'!AK21+'Análise Fluxo'!AK22</f>
        <v>-162375</v>
      </c>
      <c r="AL30" s="68" t="n">
        <f aca="false">'Análise Fluxo'!AL20+'Análise Fluxo'!AL21+'Análise Fluxo'!AL22</f>
        <v>-313600</v>
      </c>
      <c r="AM30" s="68" t="n">
        <f aca="false">'Análise Fluxo'!AM20+'Análise Fluxo'!AM21+'Análise Fluxo'!AM22</f>
        <v>-313600</v>
      </c>
      <c r="AN30" s="68" t="n">
        <f aca="false">'Análise Fluxo'!AN20+'Análise Fluxo'!AN21+'Análise Fluxo'!AN22</f>
        <v>-313600</v>
      </c>
      <c r="AO30" s="68" t="n">
        <f aca="false">'Análise Fluxo'!AO20+'Análise Fluxo'!AO21+'Análise Fluxo'!AO22</f>
        <v>-313600</v>
      </c>
      <c r="AP30" s="68" t="n">
        <f aca="false">'Análise Fluxo'!AP20+'Análise Fluxo'!AP21+'Análise Fluxo'!AP22</f>
        <v>-313600</v>
      </c>
      <c r="AQ30" s="68" t="n">
        <f aca="false">'Análise Fluxo'!AQ20+'Análise Fluxo'!AQ21+'Análise Fluxo'!AQ22</f>
        <v>-313600</v>
      </c>
      <c r="AR30" s="68" t="n">
        <f aca="false">'Análise Fluxo'!AR20+'Análise Fluxo'!AR21+'Análise Fluxo'!AR22</f>
        <v>-313600</v>
      </c>
      <c r="AS30" s="68" t="n">
        <f aca="false">'Análise Fluxo'!AS20+'Análise Fluxo'!AS21+'Análise Fluxo'!AS22</f>
        <v>-313600</v>
      </c>
      <c r="AT30" s="68" t="n">
        <f aca="false">'Análise Fluxo'!AT20+'Análise Fluxo'!AT21+'Análise Fluxo'!AT22</f>
        <v>-313600</v>
      </c>
      <c r="AU30" s="68" t="n">
        <f aca="false">'Análise Fluxo'!AU20+'Análise Fluxo'!AU21+'Análise Fluxo'!AU22</f>
        <v>-313600</v>
      </c>
      <c r="AV30" s="68" t="n">
        <f aca="false">'Análise Fluxo'!AV20+'Análise Fluxo'!AV21+'Análise Fluxo'!AV22</f>
        <v>-313600</v>
      </c>
      <c r="AW30" s="68" t="n">
        <f aca="false">'Análise Fluxo'!AW20+'Análise Fluxo'!AW21+'Análise Fluxo'!AW22</f>
        <v>-313600</v>
      </c>
      <c r="AX30" s="68" t="n">
        <f aca="false">'Análise Fluxo'!AX20+'Análise Fluxo'!AX21+'Análise Fluxo'!AX22</f>
        <v>-506500</v>
      </c>
      <c r="AY30" s="68" t="n">
        <f aca="false">'Análise Fluxo'!AY20+'Análise Fluxo'!AY21+'Análise Fluxo'!AY22</f>
        <v>-506500</v>
      </c>
      <c r="AZ30" s="68" t="n">
        <f aca="false">'Análise Fluxo'!AZ20+'Análise Fluxo'!AZ21+'Análise Fluxo'!AZ22</f>
        <v>-506500</v>
      </c>
      <c r="BA30" s="68" t="n">
        <f aca="false">'Análise Fluxo'!BA20+'Análise Fluxo'!BA21+'Análise Fluxo'!BA22</f>
        <v>-506500</v>
      </c>
      <c r="BB30" s="68" t="n">
        <f aca="false">'Análise Fluxo'!BB20+'Análise Fluxo'!BB21+'Análise Fluxo'!BB22</f>
        <v>-506500</v>
      </c>
      <c r="BC30" s="68" t="n">
        <f aca="false">'Análise Fluxo'!BC20+'Análise Fluxo'!BC21+'Análise Fluxo'!BC22</f>
        <v>-506500</v>
      </c>
      <c r="BD30" s="68" t="n">
        <f aca="false">'Análise Fluxo'!BD20+'Análise Fluxo'!BD21+'Análise Fluxo'!BD22</f>
        <v>-506500</v>
      </c>
      <c r="BE30" s="68" t="n">
        <f aca="false">'Análise Fluxo'!BE20+'Análise Fluxo'!BE21+'Análise Fluxo'!BE22</f>
        <v>-506500</v>
      </c>
      <c r="BF30" s="68" t="n">
        <f aca="false">'Análise Fluxo'!BF20+'Análise Fluxo'!BF21+'Análise Fluxo'!BF22</f>
        <v>-506500</v>
      </c>
      <c r="BG30" s="68" t="n">
        <f aca="false">'Análise Fluxo'!BG20+'Análise Fluxo'!BG21+'Análise Fluxo'!BG22</f>
        <v>-506500</v>
      </c>
      <c r="BH30" s="68" t="n">
        <f aca="false">'Análise Fluxo'!BH20+'Análise Fluxo'!BH21+'Análise Fluxo'!BH22</f>
        <v>-506500</v>
      </c>
      <c r="BI30" s="68" t="n">
        <f aca="false">'Análise Fluxo'!BI20+'Análise Fluxo'!BI21+'Análise Fluxo'!BI22</f>
        <v>-506500</v>
      </c>
      <c r="BJ30" s="69" t="n">
        <f aca="false">SUM(B30:BI30)</f>
        <v>-12637285</v>
      </c>
      <c r="BK30" s="71" t="s">
        <v>216</v>
      </c>
    </row>
    <row r="31" customFormat="false" ht="15" hidden="false" customHeight="false" outlineLevel="0" collapsed="false">
      <c r="A31" s="67" t="s">
        <v>217</v>
      </c>
      <c r="B31" s="68" t="n">
        <f aca="false">'Análise Fluxo'!B26</f>
        <v>-0</v>
      </c>
      <c r="C31" s="68" t="n">
        <f aca="false">'Análise Fluxo'!C26</f>
        <v>-0</v>
      </c>
      <c r="D31" s="68" t="n">
        <f aca="false">'Análise Fluxo'!D26</f>
        <v>-0</v>
      </c>
      <c r="E31" s="68" t="n">
        <f aca="false">'Análise Fluxo'!E26</f>
        <v>-1500</v>
      </c>
      <c r="F31" s="68" t="n">
        <f aca="false">'Análise Fluxo'!F26</f>
        <v>-1500</v>
      </c>
      <c r="G31" s="68" t="n">
        <f aca="false">'Análise Fluxo'!G26</f>
        <v>-1500</v>
      </c>
      <c r="H31" s="68" t="n">
        <f aca="false">'Análise Fluxo'!H26</f>
        <v>-1500</v>
      </c>
      <c r="I31" s="68" t="n">
        <f aca="false">'Análise Fluxo'!I26</f>
        <v>-1500</v>
      </c>
      <c r="J31" s="68" t="n">
        <f aca="false">'Análise Fluxo'!J26</f>
        <v>-1500</v>
      </c>
      <c r="K31" s="68" t="n">
        <f aca="false">'Análise Fluxo'!K26</f>
        <v>-1500</v>
      </c>
      <c r="L31" s="68" t="n">
        <f aca="false">'Análise Fluxo'!L26</f>
        <v>-1500</v>
      </c>
      <c r="M31" s="68" t="n">
        <f aca="false">'Análise Fluxo'!M26</f>
        <v>-1500</v>
      </c>
      <c r="N31" s="68" t="n">
        <f aca="false">'Análise Fluxo'!N26</f>
        <v>-6000</v>
      </c>
      <c r="O31" s="68" t="n">
        <f aca="false">'Análise Fluxo'!O26</f>
        <v>-6000</v>
      </c>
      <c r="P31" s="68" t="n">
        <f aca="false">'Análise Fluxo'!P26</f>
        <v>-6000</v>
      </c>
      <c r="Q31" s="68" t="n">
        <f aca="false">'Análise Fluxo'!Q26</f>
        <v>-6000</v>
      </c>
      <c r="R31" s="68" t="n">
        <f aca="false">'Análise Fluxo'!R26</f>
        <v>-6000</v>
      </c>
      <c r="S31" s="68" t="n">
        <f aca="false">'Análise Fluxo'!S26</f>
        <v>-6000</v>
      </c>
      <c r="T31" s="68" t="n">
        <f aca="false">'Análise Fluxo'!T26</f>
        <v>-6000</v>
      </c>
      <c r="U31" s="68" t="n">
        <f aca="false">'Análise Fluxo'!U26</f>
        <v>-6000</v>
      </c>
      <c r="V31" s="68" t="n">
        <f aca="false">'Análise Fluxo'!V26</f>
        <v>-6000</v>
      </c>
      <c r="W31" s="68" t="n">
        <f aca="false">'Análise Fluxo'!W26</f>
        <v>-6000</v>
      </c>
      <c r="X31" s="68" t="n">
        <f aca="false">'Análise Fluxo'!X26</f>
        <v>-6000</v>
      </c>
      <c r="Y31" s="68" t="n">
        <f aca="false">'Análise Fluxo'!Y26</f>
        <v>-6000</v>
      </c>
      <c r="Z31" s="68" t="n">
        <f aca="false">'Análise Fluxo'!Z26</f>
        <v>-25000</v>
      </c>
      <c r="AA31" s="68" t="n">
        <f aca="false">'Análise Fluxo'!AA26</f>
        <v>-25000</v>
      </c>
      <c r="AB31" s="68" t="n">
        <f aca="false">'Análise Fluxo'!AB26</f>
        <v>-25000</v>
      </c>
      <c r="AC31" s="68" t="n">
        <f aca="false">'Análise Fluxo'!AC26</f>
        <v>-25000</v>
      </c>
      <c r="AD31" s="68" t="n">
        <f aca="false">'Análise Fluxo'!AD26</f>
        <v>-25000</v>
      </c>
      <c r="AE31" s="68" t="n">
        <f aca="false">'Análise Fluxo'!AE26</f>
        <v>-25000</v>
      </c>
      <c r="AF31" s="68" t="n">
        <f aca="false">'Análise Fluxo'!AF26</f>
        <v>-25000</v>
      </c>
      <c r="AG31" s="68" t="n">
        <f aca="false">'Análise Fluxo'!AG26</f>
        <v>-25000</v>
      </c>
      <c r="AH31" s="68" t="n">
        <f aca="false">'Análise Fluxo'!AH26</f>
        <v>-25000</v>
      </c>
      <c r="AI31" s="68" t="n">
        <f aca="false">'Análise Fluxo'!AI26</f>
        <v>-25000</v>
      </c>
      <c r="AJ31" s="68" t="n">
        <f aca="false">'Análise Fluxo'!AJ26</f>
        <v>-25000</v>
      </c>
      <c r="AK31" s="68" t="n">
        <f aca="false">'Análise Fluxo'!AK26</f>
        <v>-25000</v>
      </c>
      <c r="AL31" s="68" t="n">
        <f aca="false">'Análise Fluxo'!AL26</f>
        <v>-60000</v>
      </c>
      <c r="AM31" s="68" t="n">
        <f aca="false">'Análise Fluxo'!AM26</f>
        <v>-60000</v>
      </c>
      <c r="AN31" s="68" t="n">
        <f aca="false">'Análise Fluxo'!AN26</f>
        <v>-60000</v>
      </c>
      <c r="AO31" s="68" t="n">
        <f aca="false">'Análise Fluxo'!AO26</f>
        <v>-60000</v>
      </c>
      <c r="AP31" s="68" t="n">
        <f aca="false">'Análise Fluxo'!AP26</f>
        <v>-60000</v>
      </c>
      <c r="AQ31" s="68" t="n">
        <f aca="false">'Análise Fluxo'!AQ26</f>
        <v>-60000</v>
      </c>
      <c r="AR31" s="68" t="n">
        <f aca="false">'Análise Fluxo'!AR26</f>
        <v>-60000</v>
      </c>
      <c r="AS31" s="68" t="n">
        <f aca="false">'Análise Fluxo'!AS26</f>
        <v>-60000</v>
      </c>
      <c r="AT31" s="68" t="n">
        <f aca="false">'Análise Fluxo'!AT26</f>
        <v>-60000</v>
      </c>
      <c r="AU31" s="68" t="n">
        <f aca="false">'Análise Fluxo'!AU26</f>
        <v>-60000</v>
      </c>
      <c r="AV31" s="68" t="n">
        <f aca="false">'Análise Fluxo'!AV26</f>
        <v>-60000</v>
      </c>
      <c r="AW31" s="68" t="n">
        <f aca="false">'Análise Fluxo'!AW26</f>
        <v>-60000</v>
      </c>
      <c r="AX31" s="68" t="n">
        <f aca="false">'Análise Fluxo'!AX26</f>
        <v>-110000</v>
      </c>
      <c r="AY31" s="68" t="n">
        <f aca="false">'Análise Fluxo'!AY26</f>
        <v>-110000</v>
      </c>
      <c r="AZ31" s="68" t="n">
        <f aca="false">'Análise Fluxo'!AZ26</f>
        <v>-110000</v>
      </c>
      <c r="BA31" s="68" t="n">
        <f aca="false">'Análise Fluxo'!BA26</f>
        <v>-110000</v>
      </c>
      <c r="BB31" s="68" t="n">
        <f aca="false">'Análise Fluxo'!BB26</f>
        <v>-110000</v>
      </c>
      <c r="BC31" s="68" t="n">
        <f aca="false">'Análise Fluxo'!BC26</f>
        <v>-110000</v>
      </c>
      <c r="BD31" s="68" t="n">
        <f aca="false">'Análise Fluxo'!BD26</f>
        <v>-110000</v>
      </c>
      <c r="BE31" s="68" t="n">
        <f aca="false">'Análise Fluxo'!BE26</f>
        <v>-110000</v>
      </c>
      <c r="BF31" s="68" t="n">
        <f aca="false">'Análise Fluxo'!BF26</f>
        <v>-110000</v>
      </c>
      <c r="BG31" s="68" t="n">
        <f aca="false">'Análise Fluxo'!BG26</f>
        <v>-110000</v>
      </c>
      <c r="BH31" s="68" t="n">
        <f aca="false">'Análise Fluxo'!BH26</f>
        <v>-110000</v>
      </c>
      <c r="BI31" s="68" t="n">
        <f aca="false">'Análise Fluxo'!BI26</f>
        <v>-110000</v>
      </c>
      <c r="BJ31" s="69" t="n">
        <f aca="false">SUM(B31:BI31)</f>
        <v>-2425500</v>
      </c>
      <c r="BK31" s="70" t="n">
        <f aca="false">IFERROR(BJ31/BJ$14,0)</f>
        <v>-0.0358636044259666</v>
      </c>
    </row>
    <row r="32" customFormat="false" ht="15" hidden="false" customHeight="false" outlineLevel="0" collapsed="false">
      <c r="A32" s="34" t="s">
        <v>218</v>
      </c>
      <c r="B32" s="69" t="n">
        <f aca="false">B25+SUM(B29:B31)</f>
        <v>0</v>
      </c>
      <c r="C32" s="69" t="n">
        <f aca="false">C25+SUM(C29:C31)</f>
        <v>0</v>
      </c>
      <c r="D32" s="69" t="n">
        <f aca="false">D25+SUM(D29:D31)</f>
        <v>0</v>
      </c>
      <c r="E32" s="69" t="n">
        <f aca="false">E25+SUM(E29:E31)</f>
        <v>-1500</v>
      </c>
      <c r="F32" s="69" t="n">
        <f aca="false">F25+SUM(F29:F31)</f>
        <v>-2100</v>
      </c>
      <c r="G32" s="69" t="n">
        <f aca="false">G25+SUM(G29:G31)</f>
        <v>-2100</v>
      </c>
      <c r="H32" s="69" t="n">
        <f aca="false">H25+SUM(H29:H31)</f>
        <v>-2100</v>
      </c>
      <c r="I32" s="69" t="n">
        <f aca="false">I25+SUM(I29:I31)</f>
        <v>-2100</v>
      </c>
      <c r="J32" s="69" t="n">
        <f aca="false">J25+SUM(J29:J31)</f>
        <v>-2100</v>
      </c>
      <c r="K32" s="69" t="n">
        <f aca="false">K25+SUM(K29:K31)</f>
        <v>-44189.655375</v>
      </c>
      <c r="L32" s="69" t="n">
        <f aca="false">L25+SUM(L29:L31)</f>
        <v>-7017.05935</v>
      </c>
      <c r="M32" s="69" t="n">
        <f aca="false">M25+SUM(M29:M31)</f>
        <v>7908.18339999999</v>
      </c>
      <c r="N32" s="69" t="n">
        <f aca="false">N25+SUM(N29:N31)</f>
        <v>-27026.94952315</v>
      </c>
      <c r="O32" s="69" t="n">
        <f aca="false">O25+SUM(O29:O31)</f>
        <v>-8244.70560212518</v>
      </c>
      <c r="P32" s="69" t="n">
        <f aca="false">P25+SUM(P29:P31)</f>
        <v>8069.89296611209</v>
      </c>
      <c r="Q32" s="69" t="n">
        <f aca="false">Q25+SUM(Q29:Q31)</f>
        <v>22678.0492113196</v>
      </c>
      <c r="R32" s="69" t="n">
        <f aca="false">R25+SUM(R29:R31)</f>
        <v>36249.4697029503</v>
      </c>
      <c r="S32" s="69" t="n">
        <f aca="false">S25+SUM(S29:S31)</f>
        <v>48009.038858845</v>
      </c>
      <c r="T32" s="69" t="n">
        <f aca="false">T25+SUM(T29:T31)</f>
        <v>59111.4088733819</v>
      </c>
      <c r="U32" s="69" t="n">
        <f aca="false">U25+SUM(U29:U31)</f>
        <v>69493.4835982719</v>
      </c>
      <c r="V32" s="69" t="n">
        <f aca="false">V25+SUM(V29:V31)</f>
        <v>79276.5066844774</v>
      </c>
      <c r="W32" s="69" t="n">
        <f aca="false">W25+SUM(W29:W31)</f>
        <v>86808.2429875609</v>
      </c>
      <c r="X32" s="69" t="n">
        <f aca="false">X25+SUM(X29:X31)</f>
        <v>93550.9101039425</v>
      </c>
      <c r="Y32" s="69" t="n">
        <f aca="false">Y25+SUM(Y29:Y31)</f>
        <v>100054.911400121</v>
      </c>
      <c r="Z32" s="69" t="n">
        <f aca="false">Z25+SUM(Z29:Z31)</f>
        <v>-33630.3611132733</v>
      </c>
      <c r="AA32" s="69" t="n">
        <f aca="false">AA25+SUM(AA29:AA31)</f>
        <v>2631.29882572952</v>
      </c>
      <c r="AB32" s="69" t="n">
        <f aca="false">AB25+SUM(AB29:AB31)</f>
        <v>35967.4118958319</v>
      </c>
      <c r="AC32" s="69" t="n">
        <f aca="false">AC25+SUM(AC29:AC31)</f>
        <v>74451.5765354096</v>
      </c>
      <c r="AD32" s="69" t="n">
        <f aca="false">AD25+SUM(AD29:AD31)</f>
        <v>94624.3372791493</v>
      </c>
      <c r="AE32" s="69" t="n">
        <f aca="false">AE25+SUM(AE29:AE31)</f>
        <v>136456.572460462</v>
      </c>
      <c r="AF32" s="69" t="n">
        <f aca="false">AF25+SUM(AF29:AF31)</f>
        <v>163536.873180623</v>
      </c>
      <c r="AG32" s="69" t="n">
        <f aca="false">AG25+SUM(AG29:AG31)</f>
        <v>188742.354036882</v>
      </c>
      <c r="AH32" s="69" t="n">
        <f aca="false">AH25+SUM(AH29:AH31)</f>
        <v>212176.507481075</v>
      </c>
      <c r="AI32" s="69" t="n">
        <f aca="false">AI25+SUM(AI29:AI31)</f>
        <v>233929.92007177</v>
      </c>
      <c r="AJ32" s="69" t="n">
        <f aca="false">AJ25+SUM(AJ29:AJ31)</f>
        <v>254156.643350167</v>
      </c>
      <c r="AK32" s="69" t="n">
        <f aca="false">AK25+SUM(AK29:AK31)</f>
        <v>273037.035120235</v>
      </c>
      <c r="AL32" s="69" t="n">
        <f aca="false">AL25+SUM(AL29:AL31)</f>
        <v>91039.7115739451</v>
      </c>
      <c r="AM32" s="69" t="n">
        <f aca="false">AM25+SUM(AM29:AM31)</f>
        <v>153834.326019236</v>
      </c>
      <c r="AN32" s="69" t="n">
        <f aca="false">AN25+SUM(AN29:AN31)</f>
        <v>212539.959418507</v>
      </c>
      <c r="AO32" s="69" t="n">
        <f aca="false">AO25+SUM(AO29:AO31)</f>
        <v>267433.560971211</v>
      </c>
      <c r="AP32" s="69" t="n">
        <f aca="false">AP25+SUM(AP29:AP31)</f>
        <v>318747.443148262</v>
      </c>
      <c r="AQ32" s="69" t="n">
        <f aca="false">AQ25+SUM(AQ29:AQ31)</f>
        <v>366744.33150064</v>
      </c>
      <c r="AR32" s="69" t="n">
        <f aca="false">AR25+SUM(AR29:AR31)</f>
        <v>411634.359338907</v>
      </c>
      <c r="AS32" s="69" t="n">
        <f aca="false">AS25+SUM(AS29:AS31)</f>
        <v>453585.897869278</v>
      </c>
      <c r="AT32" s="69" t="n">
        <f aca="false">AT25+SUM(AT29:AT31)</f>
        <v>492777.516849346</v>
      </c>
      <c r="AU32" s="69" t="n">
        <f aca="false">AU25+SUM(AU29:AU31)</f>
        <v>529489.17981966</v>
      </c>
      <c r="AV32" s="69" t="n">
        <f aca="false">AV25+SUM(AV29:AV31)</f>
        <v>563801.368535813</v>
      </c>
      <c r="AW32" s="69" t="n">
        <f aca="false">AW25+SUM(AW29:AW31)</f>
        <v>595848.363093709</v>
      </c>
      <c r="AX32" s="69" t="n">
        <f aca="false">AX25+SUM(AX29:AX31)</f>
        <v>401360.592464957</v>
      </c>
      <c r="AY32" s="69" t="n">
        <f aca="false">AY25+SUM(AY29:AY31)</f>
        <v>489907.563978918</v>
      </c>
      <c r="AZ32" s="69" t="n">
        <f aca="false">AZ25+SUM(AZ29:AZ31)</f>
        <v>573178.574121103</v>
      </c>
      <c r="BA32" s="69" t="n">
        <f aca="false">BA25+SUM(BA29:BA31)</f>
        <v>651423.318470566</v>
      </c>
      <c r="BB32" s="69" t="n">
        <f aca="false">BB25+SUM(BB29:BB31)</f>
        <v>724969.857056905</v>
      </c>
      <c r="BC32" s="69" t="n">
        <f aca="false">BC25+SUM(BC29:BC31)</f>
        <v>794116.986206983</v>
      </c>
      <c r="BD32" s="69" t="n">
        <f aca="false">BD25+SUM(BD29:BD31)</f>
        <v>859107.410529968</v>
      </c>
      <c r="BE32" s="69" t="n">
        <f aca="false">BE25+SUM(BE29:BE31)</f>
        <v>920220.775989314</v>
      </c>
      <c r="BF32" s="69" t="n">
        <f aca="false">BF25+SUM(BF29:BF31)</f>
        <v>977651.382004739</v>
      </c>
      <c r="BG32" s="69" t="n">
        <f aca="false">BG25+SUM(BG29:BG31)</f>
        <v>1031624.48010269</v>
      </c>
      <c r="BH32" s="69" t="n">
        <f aca="false">BH25+SUM(BH29:BH31)</f>
        <v>1082332.69107085</v>
      </c>
      <c r="BI32" s="69" t="n">
        <f aca="false">BI25+SUM(BI29:BI31)</f>
        <v>1130087.77650079</v>
      </c>
      <c r="BJ32" s="69" t="n">
        <f aca="false">SUM(B32:BI32)</f>
        <v>16242269.3236971</v>
      </c>
    </row>
    <row r="33" customFormat="false" ht="15" hidden="false" customHeight="false" outlineLevel="0" collapsed="false">
      <c r="A33" s="47" t="s">
        <v>219</v>
      </c>
      <c r="B33" s="70" t="n">
        <f aca="false">IFERROR(B32/B20,0)</f>
        <v>0</v>
      </c>
      <c r="C33" s="70" t="n">
        <f aca="false">IFERROR(C32/C20,0)</f>
        <v>0</v>
      </c>
      <c r="D33" s="70" t="n">
        <f aca="false">IFERROR(D32/D20,0)</f>
        <v>0</v>
      </c>
      <c r="E33" s="70" t="n">
        <f aca="false">IFERROR(E32/E20,0)</f>
        <v>0</v>
      </c>
      <c r="F33" s="70" t="n">
        <f aca="false">IFERROR(F32/F20,0)</f>
        <v>0</v>
      </c>
      <c r="G33" s="70" t="n">
        <f aca="false">IFERROR(G32/G20,0)</f>
        <v>0</v>
      </c>
      <c r="H33" s="70" t="n">
        <f aca="false">IFERROR(H32/H20,0)</f>
        <v>0</v>
      </c>
      <c r="I33" s="70" t="n">
        <f aca="false">IFERROR(I32/I20,0)</f>
        <v>0</v>
      </c>
      <c r="J33" s="70" t="n">
        <f aca="false">IFERROR(J32/J20,0)</f>
        <v>0</v>
      </c>
      <c r="K33" s="70" t="n">
        <f aca="false">IFERROR(K32/K20,0)</f>
        <v>-2.25417234122357</v>
      </c>
      <c r="L33" s="70" t="n">
        <f aca="false">IFERROR(L32/L20,0)</f>
        <v>-0.186457690612053</v>
      </c>
      <c r="M33" s="70" t="n">
        <f aca="false">IFERROR(M32/M20,0)</f>
        <v>0.145727460786521</v>
      </c>
      <c r="N33" s="70" t="n">
        <f aca="false">IFERROR(N32/N20,0)</f>
        <v>-0.293671790494365</v>
      </c>
      <c r="O33" s="70" t="n">
        <f aca="false">IFERROR(O32/O20,0)</f>
        <v>-0.0731486688005371</v>
      </c>
      <c r="P33" s="70" t="n">
        <f aca="false">IFERROR(P32/P20,0)</f>
        <v>0.0617059219968553</v>
      </c>
      <c r="Q33" s="70" t="n">
        <f aca="false">IFERROR(Q32/Q20,0)</f>
        <v>0.154261163030962</v>
      </c>
      <c r="R33" s="70" t="n">
        <f aca="false">IFERROR(R32/R20,0)</f>
        <v>0.2236460483105</v>
      </c>
      <c r="S33" s="70" t="n">
        <f aca="false">IFERROR(S32/S20,0)</f>
        <v>0.27397231632064</v>
      </c>
      <c r="T33" s="70" t="n">
        <f aca="false">IFERROR(T32/T20,0)</f>
        <v>0.315060632038845</v>
      </c>
      <c r="U33" s="70" t="n">
        <f aca="false">IFERROR(U32/U20,0)</f>
        <v>0.348882603126341</v>
      </c>
      <c r="V33" s="70" t="n">
        <f aca="false">IFERROR(V32/V20,0)</f>
        <v>0.377379289548373</v>
      </c>
      <c r="W33" s="70" t="n">
        <f aca="false">IFERROR(W32/W20,0)</f>
        <v>0.397072856182924</v>
      </c>
      <c r="X33" s="70" t="n">
        <f aca="false">IFERROR(X32/X20,0)</f>
        <v>0.413387406752598</v>
      </c>
      <c r="Y33" s="70" t="n">
        <f aca="false">IFERROR(Y32/Y20,0)</f>
        <v>0.428174827524951</v>
      </c>
      <c r="Z33" s="70" t="n">
        <f aca="false">IFERROR(Z32/Z20,0)</f>
        <v>-0.101741923657232</v>
      </c>
      <c r="AA33" s="70" t="n">
        <f aca="false">IFERROR(AA32/AA20,0)</f>
        <v>0.00711512500849907</v>
      </c>
      <c r="AB33" s="70" t="n">
        <f aca="false">IFERROR(AB32/AB20,0)</f>
        <v>0.088599985261527</v>
      </c>
      <c r="AC33" s="70" t="n">
        <f aca="false">IFERROR(AC32/AC20,0)</f>
        <v>0.166542812741885</v>
      </c>
      <c r="AD33" s="70" t="n">
        <f aca="false">IFERROR(AD32/AD20,0)</f>
        <v>0.201484518751336</v>
      </c>
      <c r="AE33" s="70" t="n">
        <f aca="false">IFERROR(AE32/AE20,0)</f>
        <v>0.265624589360362</v>
      </c>
      <c r="AF33" s="70" t="n">
        <f aca="false">IFERROR(AF32/AF20,0)</f>
        <v>0.301231688501165</v>
      </c>
      <c r="AG33" s="70" t="n">
        <f aca="false">IFERROR(AG32/AG20,0)</f>
        <v>0.331099988831392</v>
      </c>
      <c r="AH33" s="70" t="n">
        <f aca="false">IFERROR(AH32/AH20,0)</f>
        <v>0.356424161228031</v>
      </c>
      <c r="AI33" s="70" t="n">
        <f aca="false">IFERROR(AI32/AI20,0)</f>
        <v>0.378080361793005</v>
      </c>
      <c r="AJ33" s="70" t="n">
        <f aca="false">IFERROR(AJ32/AJ20,0)</f>
        <v>0.396795321822369</v>
      </c>
      <c r="AK33" s="70" t="n">
        <f aca="false">IFERROR(AK32/AK20,0)</f>
        <v>0.413153012536164</v>
      </c>
      <c r="AL33" s="70" t="n">
        <f aca="false">IFERROR(AL32/AL20,0)</f>
        <v>0.103932346383283</v>
      </c>
      <c r="AM33" s="70" t="n">
        <f aca="false">IFERROR(AM32/AM20,0)</f>
        <v>0.163234633072422</v>
      </c>
      <c r="AN33" s="70" t="n">
        <f aca="false">IFERROR(AN32/AN20,0)</f>
        <v>0.211578378219231</v>
      </c>
      <c r="AO33" s="70" t="n">
        <f aca="false">IFERROR(AO32/AO20,0)</f>
        <v>0.251668143057512</v>
      </c>
      <c r="AP33" s="70" t="n">
        <f aca="false">IFERROR(AP32/AP20,0)</f>
        <v>0.285372143302189</v>
      </c>
      <c r="AQ33" s="70" t="n">
        <f aca="false">IFERROR(AQ32/AQ20,0)</f>
        <v>0.314060449204073</v>
      </c>
      <c r="AR33" s="70" t="n">
        <f aca="false">IFERROR(AR32/AR20,0)</f>
        <v>0.338720897281845</v>
      </c>
      <c r="AS33" s="70" t="n">
        <f aca="false">IFERROR(AS32/AS20,0)</f>
        <v>0.360085582195724</v>
      </c>
      <c r="AT33" s="70" t="n">
        <f aca="false">IFERROR(AT32/AT20,0)</f>
        <v>0.378726644506856</v>
      </c>
      <c r="AU33" s="70" t="n">
        <f aca="false">IFERROR(AU32/AU20,0)</f>
        <v>0.395142599978312</v>
      </c>
      <c r="AV33" s="70" t="n">
        <f aca="false">IFERROR(AV32/AV20,0)</f>
        <v>0.409647061519428</v>
      </c>
      <c r="AW33" s="70" t="n">
        <f aca="false">IFERROR(AW32/AW20,0)</f>
        <v>0.422519069343678</v>
      </c>
      <c r="AX33" s="70" t="n">
        <f aca="false">IFERROR(AX32/AX20,0)</f>
        <v>0.225754928314993</v>
      </c>
      <c r="AY33" s="70" t="n">
        <f aca="false">IFERROR(AY32/AY20,0)</f>
        <v>0.261901589975642</v>
      </c>
      <c r="AZ33" s="70" t="n">
        <f aca="false">IFERROR(AZ32/AZ20,0)</f>
        <v>0.29277065076685</v>
      </c>
      <c r="BA33" s="70" t="n">
        <f aca="false">IFERROR(BA32/BA20,0)</f>
        <v>0.319371423451388</v>
      </c>
      <c r="BB33" s="70" t="n">
        <f aca="false">IFERROR(BB32/BB20,0)</f>
        <v>0.342497259697715</v>
      </c>
      <c r="BC33" s="70" t="n">
        <f aca="false">IFERROR(BC32/BC20,0)</f>
        <v>0.362755984164825</v>
      </c>
      <c r="BD33" s="70" t="n">
        <f aca="false">IFERROR(BD32/BD20,0)</f>
        <v>0.380611803161822</v>
      </c>
      <c r="BE33" s="70" t="n">
        <f aca="false">IFERROR(BE32/BE20,0)</f>
        <v>0.39644737440112</v>
      </c>
      <c r="BF33" s="70" t="n">
        <f aca="false">IFERROR(BF32/BF20,0)</f>
        <v>0.410553024771633</v>
      </c>
      <c r="BG33" s="70" t="n">
        <f aca="false">IFERROR(BG32/BG20,0)</f>
        <v>0.42317498301218</v>
      </c>
      <c r="BH33" s="70" t="n">
        <f aca="false">IFERROR(BH32/BH20,0)</f>
        <v>0.434511350751803</v>
      </c>
      <c r="BI33" s="70" t="n">
        <f aca="false">IFERROR(BI32/BI20,0)</f>
        <v>0.444754970956731</v>
      </c>
      <c r="BJ33" s="72" t="n">
        <f aca="false">IFERROR(BJ32/BJ20,0)</f>
        <v>0.332657410788726</v>
      </c>
    </row>
    <row r="35" customFormat="false" ht="18" hidden="false" customHeight="true" outlineLevel="0" collapsed="false">
      <c r="A35" s="10" t="s">
        <v>220</v>
      </c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  <c r="AH35" s="11"/>
      <c r="AI35" s="11"/>
      <c r="AJ35" s="11"/>
      <c r="AK35" s="11"/>
      <c r="AL35" s="11"/>
      <c r="AM35" s="11"/>
      <c r="AN35" s="11"/>
      <c r="AO35" s="11"/>
      <c r="AP35" s="11"/>
      <c r="AQ35" s="11"/>
      <c r="AR35" s="11"/>
      <c r="AS35" s="11"/>
      <c r="AT35" s="11"/>
      <c r="AU35" s="11"/>
      <c r="AV35" s="11"/>
      <c r="AW35" s="11"/>
      <c r="AX35" s="11"/>
      <c r="AY35" s="11"/>
      <c r="AZ35" s="11"/>
      <c r="BA35" s="11"/>
      <c r="BB35" s="11"/>
      <c r="BC35" s="11"/>
      <c r="BD35" s="11"/>
      <c r="BE35" s="11"/>
      <c r="BF35" s="11"/>
      <c r="BG35" s="11"/>
      <c r="BH35" s="11"/>
      <c r="BI35" s="11"/>
      <c r="BJ35" s="11"/>
      <c r="BK35" s="11"/>
    </row>
    <row r="36" customFormat="false" ht="15" hidden="false" customHeight="false" outlineLevel="0" collapsed="false">
      <c r="A36" s="67" t="s">
        <v>221</v>
      </c>
      <c r="B36" s="68" t="n">
        <f aca="false">-Investimentos!B37</f>
        <v>-0</v>
      </c>
      <c r="C36" s="68" t="n">
        <f aca="false">-Investimentos!C37</f>
        <v>-0</v>
      </c>
      <c r="D36" s="68" t="n">
        <f aca="false">-Investimentos!D37</f>
        <v>-0</v>
      </c>
      <c r="E36" s="68" t="n">
        <f aca="false">-Investimentos!E37</f>
        <v>-0</v>
      </c>
      <c r="F36" s="68" t="n">
        <f aca="false">-Investimentos!F37</f>
        <v>-0</v>
      </c>
      <c r="G36" s="68" t="n">
        <f aca="false">-Investimentos!G37</f>
        <v>-100</v>
      </c>
      <c r="H36" s="68" t="n">
        <f aca="false">-Investimentos!H37</f>
        <v>-100</v>
      </c>
      <c r="I36" s="68" t="n">
        <f aca="false">-Investimentos!I37</f>
        <v>-100</v>
      </c>
      <c r="J36" s="68" t="n">
        <f aca="false">-Investimentos!J37</f>
        <v>-368.797</v>
      </c>
      <c r="K36" s="68" t="n">
        <f aca="false">-Investimentos!K37</f>
        <v>-485.463666666667</v>
      </c>
      <c r="L36" s="68" t="n">
        <f aca="false">-Investimentos!L37</f>
        <v>-602.130333333333</v>
      </c>
      <c r="M36" s="68" t="n">
        <f aca="false">-Investimentos!M37</f>
        <v>-602.130333333333</v>
      </c>
      <c r="N36" s="68" t="n">
        <f aca="false">-Investimentos!N37</f>
        <v>-602.130333333333</v>
      </c>
      <c r="O36" s="68" t="n">
        <f aca="false">-Investimentos!O37</f>
        <v>-852.130333333333</v>
      </c>
      <c r="P36" s="68" t="n">
        <f aca="false">-Investimentos!P37</f>
        <v>-852.130333333333</v>
      </c>
      <c r="Q36" s="68" t="n">
        <f aca="false">-Investimentos!Q37</f>
        <v>-1052.13033333333</v>
      </c>
      <c r="R36" s="68" t="n">
        <f aca="false">-Investimentos!R37</f>
        <v>-1052.13033333333</v>
      </c>
      <c r="S36" s="68" t="n">
        <f aca="false">-Investimentos!S37</f>
        <v>-1052.13033333333</v>
      </c>
      <c r="T36" s="68" t="n">
        <f aca="false">-Investimentos!T37</f>
        <v>-1152.13033333333</v>
      </c>
      <c r="U36" s="68" t="n">
        <f aca="false">-Investimentos!U37</f>
        <v>-1568.797</v>
      </c>
      <c r="V36" s="68" t="n">
        <f aca="false">-Investimentos!V37</f>
        <v>-1568.797</v>
      </c>
      <c r="W36" s="68" t="n">
        <f aca="false">-Investimentos!W37</f>
        <v>-1568.797</v>
      </c>
      <c r="X36" s="68" t="n">
        <f aca="false">-Investimentos!X37</f>
        <v>-1568.797</v>
      </c>
      <c r="Y36" s="68" t="n">
        <f aca="false">-Investimentos!Y37</f>
        <v>-1568.797</v>
      </c>
      <c r="Z36" s="68" t="n">
        <f aca="false">-Investimentos!Z37</f>
        <v>-1568.797</v>
      </c>
      <c r="AA36" s="68" t="n">
        <f aca="false">-Investimentos!AA37</f>
        <v>-2318.797</v>
      </c>
      <c r="AB36" s="68" t="n">
        <f aca="false">-Investimentos!AB37</f>
        <v>-2318.797</v>
      </c>
      <c r="AC36" s="68" t="n">
        <f aca="false">-Investimentos!AC37</f>
        <v>-2318.797</v>
      </c>
      <c r="AD36" s="68" t="n">
        <f aca="false">-Investimentos!AD37</f>
        <v>-2318.797</v>
      </c>
      <c r="AE36" s="68" t="n">
        <f aca="false">-Investimentos!AE37</f>
        <v>-2318.797</v>
      </c>
      <c r="AF36" s="68" t="n">
        <f aca="false">-Investimentos!AF37</f>
        <v>-2568.797</v>
      </c>
      <c r="AG36" s="68" t="n">
        <f aca="false">-Investimentos!AG37</f>
        <v>-2568.797</v>
      </c>
      <c r="AH36" s="68" t="n">
        <f aca="false">-Investimentos!AH37</f>
        <v>-2568.797</v>
      </c>
      <c r="AI36" s="68" t="n">
        <f aca="false">-Investimentos!AI37</f>
        <v>-2568.797</v>
      </c>
      <c r="AJ36" s="68" t="n">
        <f aca="false">-Investimentos!AJ37</f>
        <v>-2568.797</v>
      </c>
      <c r="AK36" s="68" t="n">
        <f aca="false">-Investimentos!AK37</f>
        <v>-2568.797</v>
      </c>
      <c r="AL36" s="68" t="n">
        <f aca="false">-Investimentos!AL37</f>
        <v>-2568.797</v>
      </c>
      <c r="AM36" s="68" t="n">
        <f aca="false">-Investimentos!AM37</f>
        <v>-3568.797</v>
      </c>
      <c r="AN36" s="68" t="n">
        <f aca="false">-Investimentos!AN37</f>
        <v>-3568.797</v>
      </c>
      <c r="AO36" s="68" t="n">
        <f aca="false">-Investimentos!AO37</f>
        <v>-3568.797</v>
      </c>
      <c r="AP36" s="68" t="n">
        <f aca="false">-Investimentos!AP37</f>
        <v>-3568.797</v>
      </c>
      <c r="AQ36" s="68" t="n">
        <f aca="false">-Investimentos!AQ37</f>
        <v>-3568.797</v>
      </c>
      <c r="AR36" s="68" t="n">
        <f aca="false">-Investimentos!AR37</f>
        <v>-3985.46366666667</v>
      </c>
      <c r="AS36" s="68" t="n">
        <f aca="false">-Investimentos!AS37</f>
        <v>-3985.46366666667</v>
      </c>
      <c r="AT36" s="68" t="n">
        <f aca="false">-Investimentos!AT37</f>
        <v>-3985.46366666667</v>
      </c>
      <c r="AU36" s="68" t="n">
        <f aca="false">-Investimentos!AU37</f>
        <v>-3985.46366666667</v>
      </c>
      <c r="AV36" s="68" t="n">
        <f aca="false">-Investimentos!AV37</f>
        <v>-3985.46366666667</v>
      </c>
      <c r="AW36" s="68" t="n">
        <f aca="false">-Investimentos!AW37</f>
        <v>-3985.46366666667</v>
      </c>
      <c r="AX36" s="68" t="n">
        <f aca="false">-Investimentos!AX37</f>
        <v>-3985.46366666667</v>
      </c>
      <c r="AY36" s="68" t="n">
        <f aca="false">-Investimentos!AY37</f>
        <v>-5152.13033333333</v>
      </c>
      <c r="AZ36" s="68" t="n">
        <f aca="false">-Investimentos!AZ37</f>
        <v>-5152.13033333333</v>
      </c>
      <c r="BA36" s="68" t="n">
        <f aca="false">-Investimentos!BA37</f>
        <v>-5152.13033333333</v>
      </c>
      <c r="BB36" s="68" t="n">
        <f aca="false">-Investimentos!BB37</f>
        <v>-5152.13033333333</v>
      </c>
      <c r="BC36" s="68" t="n">
        <f aca="false">-Investimentos!BC37</f>
        <v>-5152.13033333333</v>
      </c>
      <c r="BD36" s="68" t="n">
        <f aca="false">-Investimentos!BD37</f>
        <v>-5652.13033333333</v>
      </c>
      <c r="BE36" s="68" t="n">
        <f aca="false">-Investimentos!BE37</f>
        <v>-5652.13033333333</v>
      </c>
      <c r="BF36" s="68" t="n">
        <f aca="false">-Investimentos!BF37</f>
        <v>-5652.13033333333</v>
      </c>
      <c r="BG36" s="68" t="n">
        <f aca="false">-Investimentos!BG37</f>
        <v>-5652.13033333333</v>
      </c>
      <c r="BH36" s="68" t="n">
        <f aca="false">-Investimentos!BH37</f>
        <v>-5652.13033333333</v>
      </c>
      <c r="BI36" s="68" t="n">
        <f aca="false">-Investimentos!BI37</f>
        <v>-5652.13033333333</v>
      </c>
      <c r="BJ36" s="69" t="n">
        <f aca="false">SUM(B36:BI36)</f>
        <v>-153377.444</v>
      </c>
      <c r="BK36" s="14" t="s">
        <v>222</v>
      </c>
    </row>
    <row r="37" customFormat="false" ht="15" hidden="false" customHeight="false" outlineLevel="0" collapsed="false">
      <c r="A37" s="34" t="s">
        <v>223</v>
      </c>
      <c r="B37" s="69" t="n">
        <f aca="false">B32+B36</f>
        <v>0</v>
      </c>
      <c r="C37" s="69" t="n">
        <f aca="false">C32+C36</f>
        <v>0</v>
      </c>
      <c r="D37" s="69" t="n">
        <f aca="false">D32+D36</f>
        <v>0</v>
      </c>
      <c r="E37" s="69" t="n">
        <f aca="false">E32+E36</f>
        <v>-1500</v>
      </c>
      <c r="F37" s="69" t="n">
        <f aca="false">F32+F36</f>
        <v>-2100</v>
      </c>
      <c r="G37" s="69" t="n">
        <f aca="false">G32+G36</f>
        <v>-2200</v>
      </c>
      <c r="H37" s="69" t="n">
        <f aca="false">H32+H36</f>
        <v>-2200</v>
      </c>
      <c r="I37" s="69" t="n">
        <f aca="false">I32+I36</f>
        <v>-2200</v>
      </c>
      <c r="J37" s="69" t="n">
        <f aca="false">J32+J36</f>
        <v>-2468.797</v>
      </c>
      <c r="K37" s="69" t="n">
        <f aca="false">K32+K36</f>
        <v>-44675.1190416667</v>
      </c>
      <c r="L37" s="69" t="n">
        <f aca="false">L32+L36</f>
        <v>-7619.18968333334</v>
      </c>
      <c r="M37" s="69" t="n">
        <f aca="false">M32+M36</f>
        <v>7306.05306666666</v>
      </c>
      <c r="N37" s="69" t="n">
        <f aca="false">N32+N36</f>
        <v>-27629.0798564833</v>
      </c>
      <c r="O37" s="69" t="n">
        <f aca="false">O32+O36</f>
        <v>-9096.83593545851</v>
      </c>
      <c r="P37" s="69" t="n">
        <f aca="false">P32+P36</f>
        <v>7217.76263277876</v>
      </c>
      <c r="Q37" s="69" t="n">
        <f aca="false">Q32+Q36</f>
        <v>21625.9188779863</v>
      </c>
      <c r="R37" s="69" t="n">
        <f aca="false">R32+R36</f>
        <v>35197.3393696169</v>
      </c>
      <c r="S37" s="69" t="n">
        <f aca="false">S32+S36</f>
        <v>46956.9085255117</v>
      </c>
      <c r="T37" s="69" t="n">
        <f aca="false">T32+T36</f>
        <v>57959.2785400485</v>
      </c>
      <c r="U37" s="69" t="n">
        <f aca="false">U32+U36</f>
        <v>67924.6865982718</v>
      </c>
      <c r="V37" s="69" t="n">
        <f aca="false">V32+V36</f>
        <v>77707.7096844774</v>
      </c>
      <c r="W37" s="69" t="n">
        <f aca="false">W32+W36</f>
        <v>85239.4459875609</v>
      </c>
      <c r="X37" s="69" t="n">
        <f aca="false">X32+X36</f>
        <v>91982.1131039425</v>
      </c>
      <c r="Y37" s="69" t="n">
        <f aca="false">Y32+Y36</f>
        <v>98486.1144001209</v>
      </c>
      <c r="Z37" s="69" t="n">
        <f aca="false">Z32+Z36</f>
        <v>-35199.1581132733</v>
      </c>
      <c r="AA37" s="69" t="n">
        <f aca="false">AA32+AA36</f>
        <v>312.501825729522</v>
      </c>
      <c r="AB37" s="69" t="n">
        <f aca="false">AB32+AB36</f>
        <v>33648.6148958319</v>
      </c>
      <c r="AC37" s="69" t="n">
        <f aca="false">AC32+AC36</f>
        <v>72132.7795354096</v>
      </c>
      <c r="AD37" s="69" t="n">
        <f aca="false">AD32+AD36</f>
        <v>92305.5402791493</v>
      </c>
      <c r="AE37" s="69" t="n">
        <f aca="false">AE32+AE36</f>
        <v>134137.775460462</v>
      </c>
      <c r="AF37" s="69" t="n">
        <f aca="false">AF32+AF36</f>
        <v>160968.076180623</v>
      </c>
      <c r="AG37" s="69" t="n">
        <f aca="false">AG32+AG36</f>
        <v>186173.557036882</v>
      </c>
      <c r="AH37" s="69" t="n">
        <f aca="false">AH32+AH36</f>
        <v>209607.710481075</v>
      </c>
      <c r="AI37" s="69" t="n">
        <f aca="false">AI32+AI36</f>
        <v>231361.12307177</v>
      </c>
      <c r="AJ37" s="69" t="n">
        <f aca="false">AJ32+AJ36</f>
        <v>251587.846350167</v>
      </c>
      <c r="AK37" s="69" t="n">
        <f aca="false">AK32+AK36</f>
        <v>270468.238120235</v>
      </c>
      <c r="AL37" s="69" t="n">
        <f aca="false">AL32+AL36</f>
        <v>88470.9145739451</v>
      </c>
      <c r="AM37" s="69" t="n">
        <f aca="false">AM32+AM36</f>
        <v>150265.529019236</v>
      </c>
      <c r="AN37" s="69" t="n">
        <f aca="false">AN32+AN36</f>
        <v>208971.162418507</v>
      </c>
      <c r="AO37" s="69" t="n">
        <f aca="false">AO32+AO36</f>
        <v>263864.763971211</v>
      </c>
      <c r="AP37" s="69" t="n">
        <f aca="false">AP32+AP36</f>
        <v>315178.646148262</v>
      </c>
      <c r="AQ37" s="69" t="n">
        <f aca="false">AQ32+AQ36</f>
        <v>363175.53450064</v>
      </c>
      <c r="AR37" s="69" t="n">
        <f aca="false">AR32+AR36</f>
        <v>407648.89567224</v>
      </c>
      <c r="AS37" s="69" t="n">
        <f aca="false">AS32+AS36</f>
        <v>449600.434202611</v>
      </c>
      <c r="AT37" s="69" t="n">
        <f aca="false">AT32+AT36</f>
        <v>488792.053182679</v>
      </c>
      <c r="AU37" s="69" t="n">
        <f aca="false">AU32+AU36</f>
        <v>525503.716152993</v>
      </c>
      <c r="AV37" s="69" t="n">
        <f aca="false">AV32+AV36</f>
        <v>559815.904869146</v>
      </c>
      <c r="AW37" s="69" t="n">
        <f aca="false">AW32+AW36</f>
        <v>591862.899427043</v>
      </c>
      <c r="AX37" s="69" t="n">
        <f aca="false">AX32+AX36</f>
        <v>397375.128798291</v>
      </c>
      <c r="AY37" s="69" t="n">
        <f aca="false">AY32+AY36</f>
        <v>484755.433645584</v>
      </c>
      <c r="AZ37" s="69" t="n">
        <f aca="false">AZ32+AZ36</f>
        <v>568026.44378777</v>
      </c>
      <c r="BA37" s="69" t="n">
        <f aca="false">BA32+BA36</f>
        <v>646271.188137233</v>
      </c>
      <c r="BB37" s="69" t="n">
        <f aca="false">BB32+BB36</f>
        <v>719817.726723572</v>
      </c>
      <c r="BC37" s="69" t="n">
        <f aca="false">BC32+BC36</f>
        <v>788964.85587365</v>
      </c>
      <c r="BD37" s="69" t="n">
        <f aca="false">BD32+BD36</f>
        <v>853455.280196635</v>
      </c>
      <c r="BE37" s="69" t="n">
        <f aca="false">BE32+BE36</f>
        <v>914568.645655981</v>
      </c>
      <c r="BF37" s="69" t="n">
        <f aca="false">BF32+BF36</f>
        <v>971999.251671406</v>
      </c>
      <c r="BG37" s="69" t="n">
        <f aca="false">BG32+BG36</f>
        <v>1025972.34976936</v>
      </c>
      <c r="BH37" s="69" t="n">
        <f aca="false">BH32+BH36</f>
        <v>1076680.56073751</v>
      </c>
      <c r="BI37" s="69" t="n">
        <f aca="false">BI32+BI36</f>
        <v>1124435.64616746</v>
      </c>
      <c r="BJ37" s="69" t="n">
        <f aca="false">SUM(B37:BI37)</f>
        <v>16088891.8796971</v>
      </c>
    </row>
    <row r="38" customFormat="false" ht="15" hidden="false" customHeight="false" outlineLevel="0" collapsed="false">
      <c r="A38" s="73" t="s">
        <v>224</v>
      </c>
      <c r="B38" s="74" t="n">
        <f aca="false">0</f>
        <v>0</v>
      </c>
      <c r="C38" s="74" t="n">
        <f aca="false">0</f>
        <v>0</v>
      </c>
      <c r="D38" s="74" t="n">
        <f aca="false">0</f>
        <v>0</v>
      </c>
      <c r="E38" s="74" t="n">
        <f aca="false">0</f>
        <v>0</v>
      </c>
      <c r="F38" s="74" t="n">
        <f aca="false">0</f>
        <v>0</v>
      </c>
      <c r="G38" s="74" t="n">
        <f aca="false">0</f>
        <v>0</v>
      </c>
      <c r="H38" s="74" t="n">
        <f aca="false">0</f>
        <v>0</v>
      </c>
      <c r="I38" s="74" t="n">
        <f aca="false">0</f>
        <v>0</v>
      </c>
      <c r="J38" s="74" t="n">
        <f aca="false">0</f>
        <v>0</v>
      </c>
      <c r="K38" s="74" t="n">
        <f aca="false">0</f>
        <v>0</v>
      </c>
      <c r="L38" s="74" t="n">
        <f aca="false">0</f>
        <v>0</v>
      </c>
      <c r="M38" s="74" t="n">
        <f aca="false">0</f>
        <v>0</v>
      </c>
      <c r="N38" s="74" t="n">
        <f aca="false">0</f>
        <v>0</v>
      </c>
      <c r="O38" s="74" t="n">
        <f aca="false">0</f>
        <v>0</v>
      </c>
      <c r="P38" s="74" t="n">
        <f aca="false">0</f>
        <v>0</v>
      </c>
      <c r="Q38" s="74" t="n">
        <f aca="false">0</f>
        <v>0</v>
      </c>
      <c r="R38" s="74" t="n">
        <f aca="false">0</f>
        <v>0</v>
      </c>
      <c r="S38" s="74" t="n">
        <f aca="false">0</f>
        <v>0</v>
      </c>
      <c r="T38" s="74" t="n">
        <f aca="false">0</f>
        <v>0</v>
      </c>
      <c r="U38" s="74" t="n">
        <f aca="false">0</f>
        <v>0</v>
      </c>
      <c r="V38" s="74" t="n">
        <f aca="false">0</f>
        <v>0</v>
      </c>
      <c r="W38" s="74" t="n">
        <f aca="false">0</f>
        <v>0</v>
      </c>
      <c r="X38" s="74" t="n">
        <f aca="false">0</f>
        <v>0</v>
      </c>
      <c r="Y38" s="74" t="n">
        <f aca="false">0</f>
        <v>0</v>
      </c>
      <c r="Z38" s="74" t="n">
        <f aca="false">0</f>
        <v>0</v>
      </c>
      <c r="AA38" s="74" t="n">
        <f aca="false">0</f>
        <v>0</v>
      </c>
      <c r="AB38" s="74" t="n">
        <f aca="false">0</f>
        <v>0</v>
      </c>
      <c r="AC38" s="74" t="n">
        <f aca="false">0</f>
        <v>0</v>
      </c>
      <c r="AD38" s="74" t="n">
        <f aca="false">0</f>
        <v>0</v>
      </c>
      <c r="AE38" s="74" t="n">
        <f aca="false">0</f>
        <v>0</v>
      </c>
      <c r="AF38" s="74" t="n">
        <f aca="false">0</f>
        <v>0</v>
      </c>
      <c r="AG38" s="74" t="n">
        <f aca="false">0</f>
        <v>0</v>
      </c>
      <c r="AH38" s="74" t="n">
        <f aca="false">0</f>
        <v>0</v>
      </c>
      <c r="AI38" s="74" t="n">
        <f aca="false">0</f>
        <v>0</v>
      </c>
      <c r="AJ38" s="74" t="n">
        <f aca="false">0</f>
        <v>0</v>
      </c>
      <c r="AK38" s="74" t="n">
        <f aca="false">0</f>
        <v>0</v>
      </c>
      <c r="AL38" s="74" t="n">
        <f aca="false">0</f>
        <v>0</v>
      </c>
      <c r="AM38" s="74" t="n">
        <f aca="false">0</f>
        <v>0</v>
      </c>
      <c r="AN38" s="74" t="n">
        <f aca="false">0</f>
        <v>0</v>
      </c>
      <c r="AO38" s="74" t="n">
        <f aca="false">0</f>
        <v>0</v>
      </c>
      <c r="AP38" s="74" t="n">
        <f aca="false">0</f>
        <v>0</v>
      </c>
      <c r="AQ38" s="74" t="n">
        <f aca="false">0</f>
        <v>0</v>
      </c>
      <c r="AR38" s="74" t="n">
        <f aca="false">0</f>
        <v>0</v>
      </c>
      <c r="AS38" s="74" t="n">
        <f aca="false">0</f>
        <v>0</v>
      </c>
      <c r="AT38" s="74" t="n">
        <f aca="false">0</f>
        <v>0</v>
      </c>
      <c r="AU38" s="74" t="n">
        <f aca="false">0</f>
        <v>0</v>
      </c>
      <c r="AV38" s="74" t="n">
        <f aca="false">0</f>
        <v>0</v>
      </c>
      <c r="AW38" s="74" t="n">
        <f aca="false">0</f>
        <v>0</v>
      </c>
      <c r="AX38" s="74" t="n">
        <f aca="false">0</f>
        <v>0</v>
      </c>
      <c r="AY38" s="74" t="n">
        <f aca="false">0</f>
        <v>0</v>
      </c>
      <c r="AZ38" s="74" t="n">
        <f aca="false">0</f>
        <v>0</v>
      </c>
      <c r="BA38" s="74" t="n">
        <f aca="false">0</f>
        <v>0</v>
      </c>
      <c r="BB38" s="74" t="n">
        <f aca="false">0</f>
        <v>0</v>
      </c>
      <c r="BC38" s="74" t="n">
        <f aca="false">0</f>
        <v>0</v>
      </c>
      <c r="BD38" s="74" t="n">
        <f aca="false">0</f>
        <v>0</v>
      </c>
      <c r="BE38" s="74" t="n">
        <f aca="false">0</f>
        <v>0</v>
      </c>
      <c r="BF38" s="74" t="n">
        <f aca="false">0</f>
        <v>0</v>
      </c>
      <c r="BG38" s="74" t="n">
        <f aca="false">0</f>
        <v>0</v>
      </c>
      <c r="BH38" s="74" t="n">
        <f aca="false">0</f>
        <v>0</v>
      </c>
      <c r="BI38" s="74" t="n">
        <f aca="false">0</f>
        <v>0</v>
      </c>
      <c r="BJ38" s="69" t="n">
        <f aca="false">SUM(B38:BI38)</f>
        <v>0</v>
      </c>
      <c r="BK38" s="14" t="s">
        <v>225</v>
      </c>
    </row>
    <row r="39" customFormat="false" ht="15" hidden="false" customHeight="false" outlineLevel="0" collapsed="false">
      <c r="A39" s="34" t="s">
        <v>226</v>
      </c>
      <c r="B39" s="75" t="n">
        <f aca="false">B37+B38</f>
        <v>0</v>
      </c>
      <c r="C39" s="75" t="n">
        <f aca="false">C37+C38</f>
        <v>0</v>
      </c>
      <c r="D39" s="75" t="n">
        <f aca="false">D37+D38</f>
        <v>0</v>
      </c>
      <c r="E39" s="75" t="n">
        <f aca="false">E37+E38</f>
        <v>-1500</v>
      </c>
      <c r="F39" s="75" t="n">
        <f aca="false">F37+F38</f>
        <v>-2100</v>
      </c>
      <c r="G39" s="75" t="n">
        <f aca="false">G37+G38</f>
        <v>-2200</v>
      </c>
      <c r="H39" s="75" t="n">
        <f aca="false">H37+H38</f>
        <v>-2200</v>
      </c>
      <c r="I39" s="75" t="n">
        <f aca="false">I37+I38</f>
        <v>-2200</v>
      </c>
      <c r="J39" s="75" t="n">
        <f aca="false">J37+J38</f>
        <v>-2468.797</v>
      </c>
      <c r="K39" s="75" t="n">
        <f aca="false">K37+K38</f>
        <v>-44675.1190416667</v>
      </c>
      <c r="L39" s="75" t="n">
        <f aca="false">L37+L38</f>
        <v>-7619.18968333334</v>
      </c>
      <c r="M39" s="75" t="n">
        <f aca="false">M37+M38</f>
        <v>7306.05306666666</v>
      </c>
      <c r="N39" s="75" t="n">
        <f aca="false">N37+N38</f>
        <v>-27629.0798564833</v>
      </c>
      <c r="O39" s="75" t="n">
        <f aca="false">O37+O38</f>
        <v>-9096.83593545851</v>
      </c>
      <c r="P39" s="75" t="n">
        <f aca="false">P37+P38</f>
        <v>7217.76263277876</v>
      </c>
      <c r="Q39" s="75" t="n">
        <f aca="false">Q37+Q38</f>
        <v>21625.9188779863</v>
      </c>
      <c r="R39" s="75" t="n">
        <f aca="false">R37+R38</f>
        <v>35197.3393696169</v>
      </c>
      <c r="S39" s="75" t="n">
        <f aca="false">S37+S38</f>
        <v>46956.9085255117</v>
      </c>
      <c r="T39" s="75" t="n">
        <f aca="false">T37+T38</f>
        <v>57959.2785400485</v>
      </c>
      <c r="U39" s="75" t="n">
        <f aca="false">U37+U38</f>
        <v>67924.6865982718</v>
      </c>
      <c r="V39" s="75" t="n">
        <f aca="false">V37+V38</f>
        <v>77707.7096844774</v>
      </c>
      <c r="W39" s="75" t="n">
        <f aca="false">W37+W38</f>
        <v>85239.4459875609</v>
      </c>
      <c r="X39" s="75" t="n">
        <f aca="false">X37+X38</f>
        <v>91982.1131039425</v>
      </c>
      <c r="Y39" s="75" t="n">
        <f aca="false">Y37+Y38</f>
        <v>98486.1144001209</v>
      </c>
      <c r="Z39" s="75" t="n">
        <f aca="false">Z37+Z38</f>
        <v>-35199.1581132733</v>
      </c>
      <c r="AA39" s="75" t="n">
        <f aca="false">AA37+AA38</f>
        <v>312.501825729522</v>
      </c>
      <c r="AB39" s="75" t="n">
        <f aca="false">AB37+AB38</f>
        <v>33648.6148958319</v>
      </c>
      <c r="AC39" s="75" t="n">
        <f aca="false">AC37+AC38</f>
        <v>72132.7795354096</v>
      </c>
      <c r="AD39" s="75" t="n">
        <f aca="false">AD37+AD38</f>
        <v>92305.5402791493</v>
      </c>
      <c r="AE39" s="75" t="n">
        <f aca="false">AE37+AE38</f>
        <v>134137.775460462</v>
      </c>
      <c r="AF39" s="75" t="n">
        <f aca="false">AF37+AF38</f>
        <v>160968.076180623</v>
      </c>
      <c r="AG39" s="75" t="n">
        <f aca="false">AG37+AG38</f>
        <v>186173.557036882</v>
      </c>
      <c r="AH39" s="75" t="n">
        <f aca="false">AH37+AH38</f>
        <v>209607.710481075</v>
      </c>
      <c r="AI39" s="75" t="n">
        <f aca="false">AI37+AI38</f>
        <v>231361.12307177</v>
      </c>
      <c r="AJ39" s="75" t="n">
        <f aca="false">AJ37+AJ38</f>
        <v>251587.846350167</v>
      </c>
      <c r="AK39" s="75" t="n">
        <f aca="false">AK37+AK38</f>
        <v>270468.238120235</v>
      </c>
      <c r="AL39" s="75" t="n">
        <f aca="false">AL37+AL38</f>
        <v>88470.9145739451</v>
      </c>
      <c r="AM39" s="75" t="n">
        <f aca="false">AM37+AM38</f>
        <v>150265.529019236</v>
      </c>
      <c r="AN39" s="75" t="n">
        <f aca="false">AN37+AN38</f>
        <v>208971.162418507</v>
      </c>
      <c r="AO39" s="75" t="n">
        <f aca="false">AO37+AO38</f>
        <v>263864.763971211</v>
      </c>
      <c r="AP39" s="75" t="n">
        <f aca="false">AP37+AP38</f>
        <v>315178.646148262</v>
      </c>
      <c r="AQ39" s="75" t="n">
        <f aca="false">AQ37+AQ38</f>
        <v>363175.53450064</v>
      </c>
      <c r="AR39" s="75" t="n">
        <f aca="false">AR37+AR38</f>
        <v>407648.89567224</v>
      </c>
      <c r="AS39" s="75" t="n">
        <f aca="false">AS37+AS38</f>
        <v>449600.434202611</v>
      </c>
      <c r="AT39" s="75" t="n">
        <f aca="false">AT37+AT38</f>
        <v>488792.053182679</v>
      </c>
      <c r="AU39" s="75" t="n">
        <f aca="false">AU37+AU38</f>
        <v>525503.716152993</v>
      </c>
      <c r="AV39" s="75" t="n">
        <f aca="false">AV37+AV38</f>
        <v>559815.904869146</v>
      </c>
      <c r="AW39" s="75" t="n">
        <f aca="false">AW37+AW38</f>
        <v>591862.899427043</v>
      </c>
      <c r="AX39" s="75" t="n">
        <f aca="false">AX37+AX38</f>
        <v>397375.128798291</v>
      </c>
      <c r="AY39" s="75" t="n">
        <f aca="false">AY37+AY38</f>
        <v>484755.433645584</v>
      </c>
      <c r="AZ39" s="75" t="n">
        <f aca="false">AZ37+AZ38</f>
        <v>568026.44378777</v>
      </c>
      <c r="BA39" s="75" t="n">
        <f aca="false">BA37+BA38</f>
        <v>646271.188137233</v>
      </c>
      <c r="BB39" s="75" t="n">
        <f aca="false">BB37+BB38</f>
        <v>719817.726723572</v>
      </c>
      <c r="BC39" s="75" t="n">
        <f aca="false">BC37+BC38</f>
        <v>788964.85587365</v>
      </c>
      <c r="BD39" s="75" t="n">
        <f aca="false">BD37+BD38</f>
        <v>853455.280196635</v>
      </c>
      <c r="BE39" s="75" t="n">
        <f aca="false">BE37+BE38</f>
        <v>914568.645655981</v>
      </c>
      <c r="BF39" s="75" t="n">
        <f aca="false">BF37+BF38</f>
        <v>971999.251671406</v>
      </c>
      <c r="BG39" s="75" t="n">
        <f aca="false">BG37+BG38</f>
        <v>1025972.34976936</v>
      </c>
      <c r="BH39" s="75" t="n">
        <f aca="false">BH37+BH38</f>
        <v>1076680.56073751</v>
      </c>
      <c r="BI39" s="75" t="n">
        <f aca="false">BI37+BI38</f>
        <v>1124435.64616746</v>
      </c>
      <c r="BJ39" s="69" t="n">
        <f aca="false">SUM(B39:BI39)</f>
        <v>16088891.8796971</v>
      </c>
    </row>
    <row r="40" customFormat="false" ht="15" hidden="false" customHeight="false" outlineLevel="0" collapsed="false">
      <c r="A40" s="73" t="s">
        <v>227</v>
      </c>
      <c r="B40" s="74" t="n">
        <f aca="false">0</f>
        <v>0</v>
      </c>
      <c r="C40" s="74" t="n">
        <f aca="false">0</f>
        <v>0</v>
      </c>
      <c r="D40" s="74" t="n">
        <f aca="false">0</f>
        <v>0</v>
      </c>
      <c r="E40" s="74" t="n">
        <f aca="false">0</f>
        <v>0</v>
      </c>
      <c r="F40" s="74" t="n">
        <f aca="false">0</f>
        <v>0</v>
      </c>
      <c r="G40" s="74" t="n">
        <f aca="false">0</f>
        <v>0</v>
      </c>
      <c r="H40" s="74" t="n">
        <f aca="false">0</f>
        <v>0</v>
      </c>
      <c r="I40" s="74" t="n">
        <f aca="false">0</f>
        <v>0</v>
      </c>
      <c r="J40" s="74" t="n">
        <f aca="false">0</f>
        <v>0</v>
      </c>
      <c r="K40" s="74" t="n">
        <f aca="false">0</f>
        <v>0</v>
      </c>
      <c r="L40" s="74" t="n">
        <f aca="false">0</f>
        <v>0</v>
      </c>
      <c r="M40" s="74" t="n">
        <f aca="false">0</f>
        <v>0</v>
      </c>
      <c r="N40" s="74" t="n">
        <f aca="false">0</f>
        <v>0</v>
      </c>
      <c r="O40" s="74" t="n">
        <f aca="false">0</f>
        <v>0</v>
      </c>
      <c r="P40" s="74" t="n">
        <f aca="false">0</f>
        <v>0</v>
      </c>
      <c r="Q40" s="74" t="n">
        <f aca="false">0</f>
        <v>0</v>
      </c>
      <c r="R40" s="74" t="n">
        <f aca="false">0</f>
        <v>0</v>
      </c>
      <c r="S40" s="74" t="n">
        <f aca="false">0</f>
        <v>0</v>
      </c>
      <c r="T40" s="74" t="n">
        <f aca="false">0</f>
        <v>0</v>
      </c>
      <c r="U40" s="74" t="n">
        <f aca="false">0</f>
        <v>0</v>
      </c>
      <c r="V40" s="74" t="n">
        <f aca="false">0</f>
        <v>0</v>
      </c>
      <c r="W40" s="74" t="n">
        <f aca="false">0</f>
        <v>0</v>
      </c>
      <c r="X40" s="74" t="n">
        <f aca="false">0</f>
        <v>0</v>
      </c>
      <c r="Y40" s="74" t="n">
        <f aca="false">0</f>
        <v>0</v>
      </c>
      <c r="Z40" s="74" t="n">
        <f aca="false">0</f>
        <v>0</v>
      </c>
      <c r="AA40" s="74" t="n">
        <f aca="false">0</f>
        <v>0</v>
      </c>
      <c r="AB40" s="74" t="n">
        <f aca="false">0</f>
        <v>0</v>
      </c>
      <c r="AC40" s="74" t="n">
        <f aca="false">0</f>
        <v>0</v>
      </c>
      <c r="AD40" s="74" t="n">
        <f aca="false">0</f>
        <v>0</v>
      </c>
      <c r="AE40" s="74" t="n">
        <f aca="false">0</f>
        <v>0</v>
      </c>
      <c r="AF40" s="74" t="n">
        <f aca="false">0</f>
        <v>0</v>
      </c>
      <c r="AG40" s="74" t="n">
        <f aca="false">0</f>
        <v>0</v>
      </c>
      <c r="AH40" s="74" t="n">
        <f aca="false">0</f>
        <v>0</v>
      </c>
      <c r="AI40" s="74" t="n">
        <f aca="false">0</f>
        <v>0</v>
      </c>
      <c r="AJ40" s="74" t="n">
        <f aca="false">0</f>
        <v>0</v>
      </c>
      <c r="AK40" s="74" t="n">
        <f aca="false">0</f>
        <v>0</v>
      </c>
      <c r="AL40" s="74" t="n">
        <f aca="false">0</f>
        <v>0</v>
      </c>
      <c r="AM40" s="74" t="n">
        <f aca="false">0</f>
        <v>0</v>
      </c>
      <c r="AN40" s="74" t="n">
        <f aca="false">0</f>
        <v>0</v>
      </c>
      <c r="AO40" s="74" t="n">
        <f aca="false">0</f>
        <v>0</v>
      </c>
      <c r="AP40" s="74" t="n">
        <f aca="false">0</f>
        <v>0</v>
      </c>
      <c r="AQ40" s="74" t="n">
        <f aca="false">0</f>
        <v>0</v>
      </c>
      <c r="AR40" s="74" t="n">
        <f aca="false">0</f>
        <v>0</v>
      </c>
      <c r="AS40" s="74" t="n">
        <f aca="false">0</f>
        <v>0</v>
      </c>
      <c r="AT40" s="74" t="n">
        <f aca="false">0</f>
        <v>0</v>
      </c>
      <c r="AU40" s="74" t="n">
        <f aca="false">0</f>
        <v>0</v>
      </c>
      <c r="AV40" s="74" t="n">
        <f aca="false">0</f>
        <v>0</v>
      </c>
      <c r="AW40" s="74" t="n">
        <f aca="false">0</f>
        <v>0</v>
      </c>
      <c r="AX40" s="74" t="n">
        <f aca="false">0</f>
        <v>0</v>
      </c>
      <c r="AY40" s="74" t="n">
        <f aca="false">0</f>
        <v>0</v>
      </c>
      <c r="AZ40" s="74" t="n">
        <f aca="false">0</f>
        <v>0</v>
      </c>
      <c r="BA40" s="74" t="n">
        <f aca="false">0</f>
        <v>0</v>
      </c>
      <c r="BB40" s="74" t="n">
        <f aca="false">0</f>
        <v>0</v>
      </c>
      <c r="BC40" s="74" t="n">
        <f aca="false">0</f>
        <v>0</v>
      </c>
      <c r="BD40" s="74" t="n">
        <f aca="false">0</f>
        <v>0</v>
      </c>
      <c r="BE40" s="74" t="n">
        <f aca="false">0</f>
        <v>0</v>
      </c>
      <c r="BF40" s="74" t="n">
        <f aca="false">0</f>
        <v>0</v>
      </c>
      <c r="BG40" s="74" t="n">
        <f aca="false">0</f>
        <v>0</v>
      </c>
      <c r="BH40" s="74" t="n">
        <f aca="false">0</f>
        <v>0</v>
      </c>
      <c r="BI40" s="74" t="n">
        <f aca="false">0</f>
        <v>0</v>
      </c>
      <c r="BJ40" s="69" t="n">
        <f aca="false">SUM(B40:BI40)</f>
        <v>0</v>
      </c>
      <c r="BK40" s="14" t="s">
        <v>228</v>
      </c>
    </row>
    <row r="41" customFormat="false" ht="15" hidden="false" customHeight="false" outlineLevel="0" collapsed="false">
      <c r="A41" s="34" t="s">
        <v>229</v>
      </c>
      <c r="B41" s="69" t="n">
        <f aca="false">B39+B40</f>
        <v>0</v>
      </c>
      <c r="C41" s="69" t="n">
        <f aca="false">C39+C40</f>
        <v>0</v>
      </c>
      <c r="D41" s="69" t="n">
        <f aca="false">D39+D40</f>
        <v>0</v>
      </c>
      <c r="E41" s="69" t="n">
        <f aca="false">E39+E40</f>
        <v>-1500</v>
      </c>
      <c r="F41" s="69" t="n">
        <f aca="false">F39+F40</f>
        <v>-2100</v>
      </c>
      <c r="G41" s="69" t="n">
        <f aca="false">G39+G40</f>
        <v>-2200</v>
      </c>
      <c r="H41" s="69" t="n">
        <f aca="false">H39+H40</f>
        <v>-2200</v>
      </c>
      <c r="I41" s="69" t="n">
        <f aca="false">I39+I40</f>
        <v>-2200</v>
      </c>
      <c r="J41" s="69" t="n">
        <f aca="false">J39+J40</f>
        <v>-2468.797</v>
      </c>
      <c r="K41" s="69" t="n">
        <f aca="false">K39+K40</f>
        <v>-44675.1190416667</v>
      </c>
      <c r="L41" s="69" t="n">
        <f aca="false">L39+L40</f>
        <v>-7619.18968333334</v>
      </c>
      <c r="M41" s="69" t="n">
        <f aca="false">M39+M40</f>
        <v>7306.05306666666</v>
      </c>
      <c r="N41" s="69" t="n">
        <f aca="false">N39+N40</f>
        <v>-27629.0798564833</v>
      </c>
      <c r="O41" s="69" t="n">
        <f aca="false">O39+O40</f>
        <v>-9096.83593545851</v>
      </c>
      <c r="P41" s="69" t="n">
        <f aca="false">P39+P40</f>
        <v>7217.76263277876</v>
      </c>
      <c r="Q41" s="69" t="n">
        <f aca="false">Q39+Q40</f>
        <v>21625.9188779863</v>
      </c>
      <c r="R41" s="69" t="n">
        <f aca="false">R39+R40</f>
        <v>35197.3393696169</v>
      </c>
      <c r="S41" s="69" t="n">
        <f aca="false">S39+S40</f>
        <v>46956.9085255117</v>
      </c>
      <c r="T41" s="69" t="n">
        <f aca="false">T39+T40</f>
        <v>57959.2785400485</v>
      </c>
      <c r="U41" s="69" t="n">
        <f aca="false">U39+U40</f>
        <v>67924.6865982718</v>
      </c>
      <c r="V41" s="69" t="n">
        <f aca="false">V39+V40</f>
        <v>77707.7096844774</v>
      </c>
      <c r="W41" s="69" t="n">
        <f aca="false">W39+W40</f>
        <v>85239.4459875609</v>
      </c>
      <c r="X41" s="69" t="n">
        <f aca="false">X39+X40</f>
        <v>91982.1131039425</v>
      </c>
      <c r="Y41" s="69" t="n">
        <f aca="false">Y39+Y40</f>
        <v>98486.1144001209</v>
      </c>
      <c r="Z41" s="69" t="n">
        <f aca="false">Z39+Z40</f>
        <v>-35199.1581132733</v>
      </c>
      <c r="AA41" s="69" t="n">
        <f aca="false">AA39+AA40</f>
        <v>312.501825729522</v>
      </c>
      <c r="AB41" s="69" t="n">
        <f aca="false">AB39+AB40</f>
        <v>33648.6148958319</v>
      </c>
      <c r="AC41" s="69" t="n">
        <f aca="false">AC39+AC40</f>
        <v>72132.7795354096</v>
      </c>
      <c r="AD41" s="69" t="n">
        <f aca="false">AD39+AD40</f>
        <v>92305.5402791493</v>
      </c>
      <c r="AE41" s="69" t="n">
        <f aca="false">AE39+AE40</f>
        <v>134137.775460462</v>
      </c>
      <c r="AF41" s="69" t="n">
        <f aca="false">AF39+AF40</f>
        <v>160968.076180623</v>
      </c>
      <c r="AG41" s="69" t="n">
        <f aca="false">AG39+AG40</f>
        <v>186173.557036882</v>
      </c>
      <c r="AH41" s="69" t="n">
        <f aca="false">AH39+AH40</f>
        <v>209607.710481075</v>
      </c>
      <c r="AI41" s="69" t="n">
        <f aca="false">AI39+AI40</f>
        <v>231361.12307177</v>
      </c>
      <c r="AJ41" s="69" t="n">
        <f aca="false">AJ39+AJ40</f>
        <v>251587.846350167</v>
      </c>
      <c r="AK41" s="69" t="n">
        <f aca="false">AK39+AK40</f>
        <v>270468.238120235</v>
      </c>
      <c r="AL41" s="69" t="n">
        <f aca="false">AL39+AL40</f>
        <v>88470.9145739451</v>
      </c>
      <c r="AM41" s="69" t="n">
        <f aca="false">AM39+AM40</f>
        <v>150265.529019236</v>
      </c>
      <c r="AN41" s="69" t="n">
        <f aca="false">AN39+AN40</f>
        <v>208971.162418507</v>
      </c>
      <c r="AO41" s="69" t="n">
        <f aca="false">AO39+AO40</f>
        <v>263864.763971211</v>
      </c>
      <c r="AP41" s="69" t="n">
        <f aca="false">AP39+AP40</f>
        <v>315178.646148262</v>
      </c>
      <c r="AQ41" s="69" t="n">
        <f aca="false">AQ39+AQ40</f>
        <v>363175.53450064</v>
      </c>
      <c r="AR41" s="69" t="n">
        <f aca="false">AR39+AR40</f>
        <v>407648.89567224</v>
      </c>
      <c r="AS41" s="69" t="n">
        <f aca="false">AS39+AS40</f>
        <v>449600.434202611</v>
      </c>
      <c r="AT41" s="69" t="n">
        <f aca="false">AT39+AT40</f>
        <v>488792.053182679</v>
      </c>
      <c r="AU41" s="69" t="n">
        <f aca="false">AU39+AU40</f>
        <v>525503.716152993</v>
      </c>
      <c r="AV41" s="69" t="n">
        <f aca="false">AV39+AV40</f>
        <v>559815.904869146</v>
      </c>
      <c r="AW41" s="69" t="n">
        <f aca="false">AW39+AW40</f>
        <v>591862.899427043</v>
      </c>
      <c r="AX41" s="69" t="n">
        <f aca="false">AX39+AX40</f>
        <v>397375.128798291</v>
      </c>
      <c r="AY41" s="69" t="n">
        <f aca="false">AY39+AY40</f>
        <v>484755.433645584</v>
      </c>
      <c r="AZ41" s="69" t="n">
        <f aca="false">AZ39+AZ40</f>
        <v>568026.44378777</v>
      </c>
      <c r="BA41" s="69" t="n">
        <f aca="false">BA39+BA40</f>
        <v>646271.188137233</v>
      </c>
      <c r="BB41" s="69" t="n">
        <f aca="false">BB39+BB40</f>
        <v>719817.726723572</v>
      </c>
      <c r="BC41" s="69" t="n">
        <f aca="false">BC39+BC40</f>
        <v>788964.85587365</v>
      </c>
      <c r="BD41" s="69" t="n">
        <f aca="false">BD39+BD40</f>
        <v>853455.280196635</v>
      </c>
      <c r="BE41" s="69" t="n">
        <f aca="false">BE39+BE40</f>
        <v>914568.645655981</v>
      </c>
      <c r="BF41" s="69" t="n">
        <f aca="false">BF39+BF40</f>
        <v>971999.251671406</v>
      </c>
      <c r="BG41" s="69" t="n">
        <f aca="false">BG39+BG40</f>
        <v>1025972.34976936</v>
      </c>
      <c r="BH41" s="69" t="n">
        <f aca="false">BH39+BH40</f>
        <v>1076680.56073751</v>
      </c>
      <c r="BI41" s="69" t="n">
        <f aca="false">BI39+BI40</f>
        <v>1124435.64616746</v>
      </c>
      <c r="BJ41" s="69" t="n">
        <f aca="false">SUM(B41:BI41)</f>
        <v>16088891.8796971</v>
      </c>
    </row>
    <row r="42" customFormat="false" ht="15" hidden="false" customHeight="false" outlineLevel="0" collapsed="false">
      <c r="A42" s="47" t="s">
        <v>230</v>
      </c>
      <c r="B42" s="70" t="n">
        <f aca="false">IFERROR(B41/B20,0)</f>
        <v>0</v>
      </c>
      <c r="C42" s="70" t="n">
        <f aca="false">IFERROR(C41/C20,0)</f>
        <v>0</v>
      </c>
      <c r="D42" s="70" t="n">
        <f aca="false">IFERROR(D41/D20,0)</f>
        <v>0</v>
      </c>
      <c r="E42" s="70" t="n">
        <f aca="false">IFERROR(E41/E20,0)</f>
        <v>0</v>
      </c>
      <c r="F42" s="70" t="n">
        <f aca="false">IFERROR(F41/F20,0)</f>
        <v>0</v>
      </c>
      <c r="G42" s="70" t="n">
        <f aca="false">IFERROR(G41/G20,0)</f>
        <v>0</v>
      </c>
      <c r="H42" s="70" t="n">
        <f aca="false">IFERROR(H41/H20,0)</f>
        <v>0</v>
      </c>
      <c r="I42" s="70" t="n">
        <f aca="false">IFERROR(I41/I20,0)</f>
        <v>0</v>
      </c>
      <c r="J42" s="70" t="n">
        <f aca="false">IFERROR(J41/J20,0)</f>
        <v>0</v>
      </c>
      <c r="K42" s="70" t="n">
        <f aca="false">IFERROR(K41/K20,0)</f>
        <v>-2.27893648026884</v>
      </c>
      <c r="L42" s="70" t="n">
        <f aca="false">IFERROR(L41/L20,0)</f>
        <v>-0.202457531257665</v>
      </c>
      <c r="M42" s="70" t="n">
        <f aca="false">IFERROR(M41/M20,0)</f>
        <v>0.134631748901639</v>
      </c>
      <c r="N42" s="70" t="n">
        <f aca="false">IFERROR(N41/N20,0)</f>
        <v>-0.300214470901175</v>
      </c>
      <c r="O42" s="70" t="n">
        <f aca="false">IFERROR(O41/O20,0)</f>
        <v>-0.0807089386920205</v>
      </c>
      <c r="P42" s="70" t="n">
        <f aca="false">IFERROR(P41/P20,0)</f>
        <v>0.0551901617382463</v>
      </c>
      <c r="Q42" s="70" t="n">
        <f aca="false">IFERROR(Q41/Q20,0)</f>
        <v>0.147104337178448</v>
      </c>
      <c r="R42" s="70" t="n">
        <f aca="false">IFERROR(R41/R20,0)</f>
        <v>0.217154786692445</v>
      </c>
      <c r="S42" s="70" t="n">
        <f aca="false">IFERROR(S41/S20,0)</f>
        <v>0.267968143120213</v>
      </c>
      <c r="T42" s="70" t="n">
        <f aca="false">IFERROR(T41/T20,0)</f>
        <v>0.308919839289535</v>
      </c>
      <c r="U42" s="70" t="n">
        <f aca="false">IFERROR(U41/U20,0)</f>
        <v>0.341006670696463</v>
      </c>
      <c r="V42" s="70" t="n">
        <f aca="false">IFERROR(V41/V20,0)</f>
        <v>0.369911358353298</v>
      </c>
      <c r="W42" s="70" t="n">
        <f aca="false">IFERROR(W41/W20,0)</f>
        <v>0.3898969626949</v>
      </c>
      <c r="X42" s="70" t="n">
        <f aca="false">IFERROR(X41/X20,0)</f>
        <v>0.406455128671811</v>
      </c>
      <c r="Y42" s="70" t="n">
        <f aca="false">IFERROR(Y41/Y20,0)</f>
        <v>0.421461320156877</v>
      </c>
      <c r="Z42" s="70" t="n">
        <f aca="false">IFERROR(Z41/Z20,0)</f>
        <v>-0.106488004856601</v>
      </c>
      <c r="AA42" s="70" t="n">
        <f aca="false">IFERROR(AA41/AA20,0)</f>
        <v>0.000845015979830144</v>
      </c>
      <c r="AB42" s="70" t="n">
        <f aca="false">IFERROR(AB41/AB20,0)</f>
        <v>0.0828879985158729</v>
      </c>
      <c r="AC42" s="70" t="n">
        <f aca="false">IFERROR(AC41/AC20,0)</f>
        <v>0.161355830913854</v>
      </c>
      <c r="AD42" s="70" t="n">
        <f aca="false">IFERROR(AD41/AD20,0)</f>
        <v>0.196547081818501</v>
      </c>
      <c r="AE42" s="70" t="n">
        <f aca="false">IFERROR(AE41/AE20,0)</f>
        <v>0.261110849275666</v>
      </c>
      <c r="AF42" s="70" t="n">
        <f aca="false">IFERROR(AF41/AF20,0)</f>
        <v>0.296500015193017</v>
      </c>
      <c r="AG42" s="70" t="n">
        <f aca="false">IFERROR(AG41/AG20,0)</f>
        <v>0.326593694193126</v>
      </c>
      <c r="AH42" s="70" t="n">
        <f aca="false">IFERROR(AH41/AH20,0)</f>
        <v>0.352108974184189</v>
      </c>
      <c r="AI42" s="70" t="n">
        <f aca="false">IFERROR(AI41/AI20,0)</f>
        <v>0.373928641060425</v>
      </c>
      <c r="AJ42" s="70" t="n">
        <f aca="false">IFERROR(AJ41/AJ20,0)</f>
        <v>0.392784855604073</v>
      </c>
      <c r="AK42" s="70" t="n">
        <f aca="false">IFERROR(AK41/AK20,0)</f>
        <v>0.409265971283037</v>
      </c>
      <c r="AL42" s="70" t="n">
        <f aca="false">IFERROR(AL41/AL20,0)</f>
        <v>0.100999767896635</v>
      </c>
      <c r="AM42" s="70" t="n">
        <f aca="false">IFERROR(AM41/AM20,0)</f>
        <v>0.159447758686973</v>
      </c>
      <c r="AN42" s="70" t="n">
        <f aca="false">IFERROR(AN41/AN20,0)</f>
        <v>0.208025727303518</v>
      </c>
      <c r="AO42" s="70" t="n">
        <f aca="false">IFERROR(AO41/AO20,0)</f>
        <v>0.248309729436284</v>
      </c>
      <c r="AP42" s="70" t="n">
        <f aca="false">IFERROR(AP41/AP20,0)</f>
        <v>0.282177026695633</v>
      </c>
      <c r="AQ42" s="70" t="n">
        <f aca="false">IFERROR(AQ41/AQ20,0)</f>
        <v>0.311004320199019</v>
      </c>
      <c r="AR42" s="70" t="n">
        <f aca="false">IFERROR(AR41/AR20,0)</f>
        <v>0.335441385261941</v>
      </c>
      <c r="AS42" s="70" t="n">
        <f aca="false">IFERROR(AS41/AS20,0)</f>
        <v>0.356921665479017</v>
      </c>
      <c r="AT42" s="70" t="n">
        <f aca="false">IFERROR(AT41/AT20,0)</f>
        <v>0.375663596316405</v>
      </c>
      <c r="AU42" s="70" t="n">
        <f aca="false">IFERROR(AU41/AU20,0)</f>
        <v>0.39216836266547</v>
      </c>
      <c r="AV42" s="70" t="n">
        <f aca="false">IFERROR(AV41/AV20,0)</f>
        <v>0.406751301468185</v>
      </c>
      <c r="AW42" s="70" t="n">
        <f aca="false">IFERROR(AW41/AW20,0)</f>
        <v>0.41969295702443</v>
      </c>
      <c r="AX42" s="70" t="n">
        <f aca="false">IFERROR(AX41/AX20,0)</f>
        <v>0.223513208322393</v>
      </c>
      <c r="AY42" s="70" t="n">
        <f aca="false">IFERROR(AY41/AY20,0)</f>
        <v>0.259147292583084</v>
      </c>
      <c r="AZ42" s="70" t="n">
        <f aca="false">IFERROR(AZ41/AZ20,0)</f>
        <v>0.290139023175329</v>
      </c>
      <c r="BA42" s="70" t="n">
        <f aca="false">IFERROR(BA41/BA20,0)</f>
        <v>0.316845503436386</v>
      </c>
      <c r="BB42" s="70" t="n">
        <f aca="false">IFERROR(BB41/BB20,0)</f>
        <v>0.340063240540097</v>
      </c>
      <c r="BC42" s="70" t="n">
        <f aca="false">IFERROR(BC41/BC20,0)</f>
        <v>0.360402469327495</v>
      </c>
      <c r="BD42" s="70" t="n">
        <f aca="false">IFERROR(BD41/BD20,0)</f>
        <v>0.378107730339835</v>
      </c>
      <c r="BE42" s="70" t="n">
        <f aca="false">IFERROR(BE41/BE20,0)</f>
        <v>0.394012336757013</v>
      </c>
      <c r="BF42" s="70" t="n">
        <f aca="false">IFERROR(BF41/BF20,0)</f>
        <v>0.408179480124261</v>
      </c>
      <c r="BG42" s="70" t="n">
        <f aca="false">IFERROR(BG41/BG20,0)</f>
        <v>0.420856464787842</v>
      </c>
      <c r="BH42" s="70" t="n">
        <f aca="false">IFERROR(BH41/BH20,0)</f>
        <v>0.43224225659432</v>
      </c>
      <c r="BI42" s="70" t="n">
        <f aca="false">IFERROR(BI41/BI20,0)</f>
        <v>0.442530530418113</v>
      </c>
      <c r="BJ42" s="72" t="n">
        <f aca="false">IFERROR(BJ41/BJ20,0)</f>
        <v>0.329516092147987</v>
      </c>
    </row>
    <row r="43" customFormat="false" ht="15" hidden="false" customHeight="false" outlineLevel="0" collapsed="false">
      <c r="A43" s="76" t="s">
        <v>231</v>
      </c>
      <c r="B43" s="74" t="n">
        <f aca="false">B41</f>
        <v>0</v>
      </c>
      <c r="C43" s="74" t="n">
        <f aca="false">B43+C41</f>
        <v>0</v>
      </c>
      <c r="D43" s="74" t="n">
        <f aca="false">C43+D41</f>
        <v>0</v>
      </c>
      <c r="E43" s="74" t="n">
        <f aca="false">D43+E41</f>
        <v>-1500</v>
      </c>
      <c r="F43" s="74" t="n">
        <f aca="false">E43+F41</f>
        <v>-3600</v>
      </c>
      <c r="G43" s="74" t="n">
        <f aca="false">F43+G41</f>
        <v>-5800</v>
      </c>
      <c r="H43" s="74" t="n">
        <f aca="false">G43+H41</f>
        <v>-8000</v>
      </c>
      <c r="I43" s="74" t="n">
        <f aca="false">H43+I41</f>
        <v>-10200</v>
      </c>
      <c r="J43" s="74" t="n">
        <f aca="false">I43+J41</f>
        <v>-12668.797</v>
      </c>
      <c r="K43" s="74" t="n">
        <f aca="false">J43+K41</f>
        <v>-57343.9160416667</v>
      </c>
      <c r="L43" s="74" t="n">
        <f aca="false">K43+L41</f>
        <v>-64963.105725</v>
      </c>
      <c r="M43" s="74" t="n">
        <f aca="false">L43+M41</f>
        <v>-57657.0526583334</v>
      </c>
      <c r="N43" s="74" t="n">
        <f aca="false">M43+N41</f>
        <v>-85286.1325148167</v>
      </c>
      <c r="O43" s="74" t="n">
        <f aca="false">N43+O41</f>
        <v>-94382.9684502752</v>
      </c>
      <c r="P43" s="74" t="n">
        <f aca="false">O43+P41</f>
        <v>-87165.2058174964</v>
      </c>
      <c r="Q43" s="74" t="n">
        <f aca="false">P43+Q41</f>
        <v>-65539.2869395102</v>
      </c>
      <c r="R43" s="74" t="n">
        <f aca="false">Q43+R41</f>
        <v>-30341.9475698932</v>
      </c>
      <c r="S43" s="74" t="n">
        <f aca="false">R43+S41</f>
        <v>16614.9609556184</v>
      </c>
      <c r="T43" s="74" t="n">
        <f aca="false">S43+T41</f>
        <v>74574.239495667</v>
      </c>
      <c r="U43" s="74" t="n">
        <f aca="false">T43+U41</f>
        <v>142498.926093939</v>
      </c>
      <c r="V43" s="74" t="n">
        <f aca="false">U43+V41</f>
        <v>220206.635778416</v>
      </c>
      <c r="W43" s="74" t="n">
        <f aca="false">V43+W41</f>
        <v>305446.081765977</v>
      </c>
      <c r="X43" s="74" t="n">
        <f aca="false">W43+X41</f>
        <v>397428.19486992</v>
      </c>
      <c r="Y43" s="74" t="n">
        <f aca="false">X43+Y41</f>
        <v>495914.309270041</v>
      </c>
      <c r="Z43" s="74" t="n">
        <f aca="false">Y43+Z41</f>
        <v>460715.151156767</v>
      </c>
      <c r="AA43" s="74" t="n">
        <f aca="false">Z43+AA41</f>
        <v>461027.652982497</v>
      </c>
      <c r="AB43" s="74" t="n">
        <f aca="false">AA43+AB41</f>
        <v>494676.267878329</v>
      </c>
      <c r="AC43" s="74" t="n">
        <f aca="false">AB43+AC41</f>
        <v>566809.047413738</v>
      </c>
      <c r="AD43" s="74" t="n">
        <f aca="false">AC43+AD41</f>
        <v>659114.587692888</v>
      </c>
      <c r="AE43" s="74" t="n">
        <f aca="false">AD43+AE41</f>
        <v>793252.36315335</v>
      </c>
      <c r="AF43" s="74" t="n">
        <f aca="false">AE43+AF41</f>
        <v>954220.439333973</v>
      </c>
      <c r="AG43" s="74" t="n">
        <f aca="false">AF43+AG41</f>
        <v>1140393.99637086</v>
      </c>
      <c r="AH43" s="74" t="n">
        <f aca="false">AG43+AH41</f>
        <v>1350001.70685193</v>
      </c>
      <c r="AI43" s="74" t="n">
        <f aca="false">AH43+AI41</f>
        <v>1581362.8299237</v>
      </c>
      <c r="AJ43" s="74" t="n">
        <f aca="false">AI43+AJ41</f>
        <v>1832950.67627387</v>
      </c>
      <c r="AK43" s="74" t="n">
        <f aca="false">AJ43+AK41</f>
        <v>2103418.9143941</v>
      </c>
      <c r="AL43" s="74" t="n">
        <f aca="false">AK43+AL41</f>
        <v>2191889.82896805</v>
      </c>
      <c r="AM43" s="74" t="n">
        <f aca="false">AL43+AM41</f>
        <v>2342155.35798728</v>
      </c>
      <c r="AN43" s="74" t="n">
        <f aca="false">AM43+AN41</f>
        <v>2551126.52040579</v>
      </c>
      <c r="AO43" s="74" t="n">
        <f aca="false">AN43+AO41</f>
        <v>2814991.284377</v>
      </c>
      <c r="AP43" s="74" t="n">
        <f aca="false">AO43+AP41</f>
        <v>3130169.93052526</v>
      </c>
      <c r="AQ43" s="74" t="n">
        <f aca="false">AP43+AQ41</f>
        <v>3493345.4650259</v>
      </c>
      <c r="AR43" s="74" t="n">
        <f aca="false">AQ43+AR41</f>
        <v>3900994.36069814</v>
      </c>
      <c r="AS43" s="74" t="n">
        <f aca="false">AR43+AS41</f>
        <v>4350594.79490075</v>
      </c>
      <c r="AT43" s="74" t="n">
        <f aca="false">AS43+AT41</f>
        <v>4839386.84808343</v>
      </c>
      <c r="AU43" s="74" t="n">
        <f aca="false">AT43+AU41</f>
        <v>5364890.56423643</v>
      </c>
      <c r="AV43" s="74" t="n">
        <f aca="false">AU43+AV41</f>
        <v>5924706.46910557</v>
      </c>
      <c r="AW43" s="74" t="n">
        <f aca="false">AV43+AW41</f>
        <v>6516569.36853262</v>
      </c>
      <c r="AX43" s="74" t="n">
        <f aca="false">AW43+AX41</f>
        <v>6913944.49733091</v>
      </c>
      <c r="AY43" s="74" t="n">
        <f aca="false">AX43+AY41</f>
        <v>7398699.93097649</v>
      </c>
      <c r="AZ43" s="74" t="n">
        <f aca="false">AY43+AZ41</f>
        <v>7966726.37476426</v>
      </c>
      <c r="BA43" s="74" t="n">
        <f aca="false">AZ43+BA41</f>
        <v>8612997.56290149</v>
      </c>
      <c r="BB43" s="74" t="n">
        <f aca="false">BA43+BB41</f>
        <v>9332815.28962507</v>
      </c>
      <c r="BC43" s="74" t="n">
        <f aca="false">BB43+BC41</f>
        <v>10121780.1454987</v>
      </c>
      <c r="BD43" s="74" t="n">
        <f aca="false">BC43+BD41</f>
        <v>10975235.4256954</v>
      </c>
      <c r="BE43" s="74" t="n">
        <f aca="false">BD43+BE41</f>
        <v>11889804.0713513</v>
      </c>
      <c r="BF43" s="74" t="n">
        <f aca="false">BE43+BF41</f>
        <v>12861803.3230227</v>
      </c>
      <c r="BG43" s="74" t="n">
        <f aca="false">BF43+BG41</f>
        <v>13887775.6727921</v>
      </c>
      <c r="BH43" s="74" t="n">
        <f aca="false">BG43+BH41</f>
        <v>14964456.2335296</v>
      </c>
      <c r="BI43" s="74" t="n">
        <f aca="false">BH43+BI41</f>
        <v>16088891.8796971</v>
      </c>
    </row>
    <row r="45" customFormat="false" ht="18" hidden="false" customHeight="true" outlineLevel="0" collapsed="false">
      <c r="A45" s="10" t="s">
        <v>232</v>
      </c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  <c r="AA45" s="11"/>
      <c r="AB45" s="11"/>
      <c r="AC45" s="11"/>
      <c r="AD45" s="11"/>
      <c r="AE45" s="11"/>
      <c r="AF45" s="11"/>
      <c r="AG45" s="11"/>
      <c r="AH45" s="11"/>
      <c r="AI45" s="11"/>
      <c r="AJ45" s="11"/>
      <c r="AK45" s="11"/>
      <c r="AL45" s="11"/>
      <c r="AM45" s="11"/>
      <c r="AN45" s="11"/>
      <c r="AO45" s="11"/>
      <c r="AP45" s="11"/>
      <c r="AQ45" s="11"/>
      <c r="AR45" s="11"/>
      <c r="AS45" s="11"/>
      <c r="AT45" s="11"/>
      <c r="AU45" s="11"/>
      <c r="AV45" s="11"/>
      <c r="AW45" s="11"/>
      <c r="AX45" s="11"/>
      <c r="AY45" s="11"/>
      <c r="AZ45" s="11"/>
      <c r="BA45" s="11"/>
      <c r="BB45" s="11"/>
      <c r="BC45" s="11"/>
      <c r="BD45" s="11"/>
      <c r="BE45" s="11"/>
      <c r="BF45" s="11"/>
      <c r="BG45" s="11"/>
      <c r="BH45" s="11"/>
      <c r="BI45" s="11"/>
      <c r="BJ45" s="11"/>
      <c r="BK45" s="11"/>
    </row>
    <row r="46" customFormat="false" ht="15" hidden="false" customHeight="false" outlineLevel="0" collapsed="false">
      <c r="A46" s="77" t="s">
        <v>233</v>
      </c>
      <c r="B46" s="35" t="n">
        <v>2026</v>
      </c>
      <c r="C46" s="35" t="n">
        <v>2027</v>
      </c>
      <c r="D46" s="35" t="n">
        <v>2028</v>
      </c>
      <c r="E46" s="35" t="n">
        <v>2029</v>
      </c>
      <c r="F46" s="35" t="n">
        <v>2030</v>
      </c>
      <c r="G46" s="78" t="s">
        <v>234</v>
      </c>
    </row>
    <row r="47" customFormat="false" ht="15" hidden="false" customHeight="false" outlineLevel="0" collapsed="false">
      <c r="A47" s="34" t="s">
        <v>235</v>
      </c>
      <c r="B47" s="79" t="n">
        <f aca="false">SUMIFS($B$14:$BI$14,$B$6:$BI$6,B$46)</f>
        <v>138385.3</v>
      </c>
      <c r="C47" s="79" t="n">
        <f aca="false">SUMIFS($B$14:$BI$14,$B$6:$BI$6,C$46)</f>
        <v>2810195.10298151</v>
      </c>
      <c r="D47" s="79" t="n">
        <f aca="false">SUMIFS($B$14:$BI$14,$B$6:$BI$6,D$46)</f>
        <v>8641466.33856838</v>
      </c>
      <c r="E47" s="79" t="n">
        <f aca="false">SUMIFS($B$14:$BI$14,$B$6:$BI$6,E$46)</f>
        <v>19534087.9657865</v>
      </c>
      <c r="F47" s="79" t="n">
        <f aca="false">SUMIFS($B$14:$BI$14,$B$6:$BI$6,F$46)</f>
        <v>36507104.2275836</v>
      </c>
      <c r="G47" s="80" t="n">
        <f aca="false">SUM(B47:F47)</f>
        <v>67631238.93492</v>
      </c>
    </row>
    <row r="48" customFormat="false" ht="15" hidden="false" customHeight="false" outlineLevel="0" collapsed="false">
      <c r="A48" s="12" t="s">
        <v>236</v>
      </c>
      <c r="B48" s="81" t="n">
        <f aca="false">SUMIFS($B$17:$BI$17,$B$6:$BI$6,B$46)</f>
        <v>-8303.118</v>
      </c>
      <c r="C48" s="81" t="n">
        <f aca="false">SUMIFS($B$17:$BI$17,$B$6:$BI$6,C$46)</f>
        <v>-359832.531525628</v>
      </c>
      <c r="D48" s="81" t="n">
        <f aca="false">SUMIFS($B$17:$BI$17,$B$6:$BI$6,D$46)</f>
        <v>-1436495.52677149</v>
      </c>
      <c r="E48" s="81" t="n">
        <f aca="false">SUMIFS($B$17:$BI$17,$B$6:$BI$6,E$46)</f>
        <v>-3189916.56481294</v>
      </c>
      <c r="F48" s="81" t="n">
        <f aca="false">SUMIFS($B$17:$BI$17,$B$6:$BI$6,F$46)</f>
        <v>-5961610.12036441</v>
      </c>
      <c r="G48" s="80" t="n">
        <f aca="false">SUM(B48:F48)</f>
        <v>-10956157.8614745</v>
      </c>
    </row>
    <row r="49" customFormat="false" ht="15" hidden="false" customHeight="false" outlineLevel="0" collapsed="false">
      <c r="A49" s="12" t="s">
        <v>204</v>
      </c>
      <c r="B49" s="81" t="n">
        <f aca="false">SUMIFS($B$18:$BI$18,$B$6:$BI$6,B$46)</f>
        <v>-17644.12575</v>
      </c>
      <c r="C49" s="81" t="n">
        <f aca="false">SUMIFS($B$18:$BI$18,$B$6:$BI$6,C$46)</f>
        <v>-326532.39564</v>
      </c>
      <c r="D49" s="81" t="n">
        <f aca="false">SUMIFS($B$18:$BI$18,$B$6:$BI$6,D$46)</f>
        <v>-930061.774870594</v>
      </c>
      <c r="E49" s="81" t="n">
        <f aca="false">SUMIFS($B$18:$BI$18,$B$6:$BI$6,E$46)</f>
        <v>-1988973.60589427</v>
      </c>
      <c r="F49" s="81" t="n">
        <f aca="false">SUMIFS($B$18:$BI$18,$B$6:$BI$6,F$46)</f>
        <v>-3602302.30093383</v>
      </c>
      <c r="G49" s="80" t="n">
        <f aca="false">SUM(B49:F49)</f>
        <v>-6865514.2030887</v>
      </c>
    </row>
    <row r="50" customFormat="false" ht="15" hidden="false" customHeight="false" outlineLevel="0" collapsed="false">
      <c r="A50" s="12" t="s">
        <v>206</v>
      </c>
      <c r="B50" s="81" t="n">
        <f aca="false">SUMIFS($B$19:$BI$19,$B$6:$BI$6,B$46)</f>
        <v>-934.100775</v>
      </c>
      <c r="C50" s="81" t="n">
        <f aca="false">SUMIFS($B$19:$BI$19,$B$6:$BI$6,C$46)</f>
        <v>-28499.0609421677</v>
      </c>
      <c r="D50" s="81" t="n">
        <f aca="false">SUMIFS($B$19:$BI$19,$B$6:$BI$6,D$46)</f>
        <v>-109847.452774399</v>
      </c>
      <c r="E50" s="81" t="n">
        <f aca="false">SUMIFS($B$19:$BI$19,$B$6:$BI$6,E$46)</f>
        <v>-282341.876692111</v>
      </c>
      <c r="F50" s="81" t="n">
        <f aca="false">SUMIFS($B$19:$BI$19,$B$6:$BI$6,F$46)</f>
        <v>-562128.999961114</v>
      </c>
      <c r="G50" s="80" t="n">
        <f aca="false">SUM(B50:F50)</f>
        <v>-983751.491144792</v>
      </c>
    </row>
    <row r="51" customFormat="false" ht="15" hidden="false" customHeight="false" outlineLevel="0" collapsed="false">
      <c r="A51" s="34" t="s">
        <v>237</v>
      </c>
      <c r="B51" s="79" t="n">
        <f aca="false">SUMIFS($B$20:$BI$20,$B$6:$BI$6,B$46)</f>
        <v>111503.955475</v>
      </c>
      <c r="C51" s="79" t="n">
        <f aca="false">SUMIFS($B$20:$BI$20,$B$6:$BI$6,C$46)</f>
        <v>2095331.11487371</v>
      </c>
      <c r="D51" s="79" t="n">
        <f aca="false">SUMIFS($B$20:$BI$20,$B$6:$BI$6,D$46)</f>
        <v>6165061.5841519</v>
      </c>
      <c r="E51" s="79" t="n">
        <f aca="false">SUMIFS($B$20:$BI$20,$B$6:$BI$6,E$46)</f>
        <v>14072855.9183872</v>
      </c>
      <c r="F51" s="79" t="n">
        <f aca="false">SUMIFS($B$20:$BI$20,$B$6:$BI$6,F$46)</f>
        <v>26381062.8063243</v>
      </c>
      <c r="G51" s="80" t="n">
        <f aca="false">SUM(B51:F51)</f>
        <v>48825815.3792121</v>
      </c>
    </row>
    <row r="52" customFormat="false" ht="15" hidden="false" customHeight="false" outlineLevel="0" collapsed="false">
      <c r="A52" s="12" t="s">
        <v>209</v>
      </c>
      <c r="B52" s="81" t="n">
        <f aca="false">SUMIFS($B$23:$BI$23,$B$6:$BI$6,B$46)</f>
        <v>-14476.0368</v>
      </c>
      <c r="C52" s="81" t="n">
        <f aca="false">SUMIFS($B$23:$BI$23,$B$6:$BI$6,C$46)</f>
        <v>-188073.955612002</v>
      </c>
      <c r="D52" s="81" t="n">
        <f aca="false">SUMIFS($B$23:$BI$23,$B$6:$BI$6,D$46)</f>
        <v>-463492.715027839</v>
      </c>
      <c r="E52" s="81" t="n">
        <f aca="false">SUMIFS($B$23:$BI$23,$B$6:$BI$6,E$46)</f>
        <v>-846883.14024868</v>
      </c>
      <c r="F52" s="81" t="n">
        <f aca="false">SUMIFS($B$23:$BI$23,$B$6:$BI$6,F$46)</f>
        <v>-1327135.14782649</v>
      </c>
      <c r="G52" s="80" t="n">
        <f aca="false">SUM(B52:F52)</f>
        <v>-2840060.99551501</v>
      </c>
    </row>
    <row r="53" customFormat="false" ht="15" hidden="false" customHeight="false" outlineLevel="0" collapsed="false">
      <c r="A53" s="12" t="s">
        <v>210</v>
      </c>
      <c r="B53" s="81" t="n">
        <f aca="false">SUMIFS($B$24:$BI$24,$B$6:$BI$6,B$46)</f>
        <v>-1801.45</v>
      </c>
      <c r="C53" s="81" t="n">
        <f aca="false">SUMIFS($B$24:$BI$24,$B$6:$BI$6,C$46)</f>
        <v>-68666.9</v>
      </c>
      <c r="D53" s="81" t="n">
        <f aca="false">SUMIFS($B$24:$BI$24,$B$6:$BI$6,D$46)</f>
        <v>-256988.7</v>
      </c>
      <c r="E53" s="81" t="n">
        <f aca="false">SUMIFS($B$24:$BI$24,$B$6:$BI$6,E$46)</f>
        <v>-685296.76</v>
      </c>
      <c r="F53" s="81" t="n">
        <f aca="false">SUMIFS($B$24:$BI$24,$B$6:$BI$6,F$46)</f>
        <v>-1299946.25</v>
      </c>
      <c r="G53" s="80" t="n">
        <f aca="false">SUM(B53:F53)</f>
        <v>-2312700.06</v>
      </c>
    </row>
    <row r="54" customFormat="false" ht="15" hidden="false" customHeight="false" outlineLevel="0" collapsed="false">
      <c r="A54" s="34" t="s">
        <v>211</v>
      </c>
      <c r="B54" s="79" t="n">
        <f aca="false">SUMIFS($B$25:$BI$25,$B$6:$BI$6,B$46)</f>
        <v>95226.468675</v>
      </c>
      <c r="C54" s="79" t="n">
        <f aca="false">SUMIFS($B$25:$BI$25,$B$6:$BI$6,C$46)</f>
        <v>1838590.25926171</v>
      </c>
      <c r="D54" s="79" t="n">
        <f aca="false">SUMIFS($B$25:$BI$25,$B$6:$BI$6,D$46)</f>
        <v>5444580.16912406</v>
      </c>
      <c r="E54" s="79" t="n">
        <f aca="false">SUMIFS($B$25:$BI$25,$B$6:$BI$6,E$46)</f>
        <v>12540676.0181385</v>
      </c>
      <c r="F54" s="79" t="n">
        <f aca="false">SUMIFS($B$25:$BI$25,$B$6:$BI$6,F$46)</f>
        <v>23753981.4084978</v>
      </c>
      <c r="G54" s="80" t="n">
        <f aca="false">SUM(B54:F54)</f>
        <v>43673054.3236971</v>
      </c>
    </row>
    <row r="55" customFormat="false" ht="15" hidden="false" customHeight="false" outlineLevel="0" collapsed="false">
      <c r="A55" s="12" t="s">
        <v>238</v>
      </c>
      <c r="B55" s="82" t="n">
        <f aca="false">IFERROR(B54/B51,0)</f>
        <v>0.854018750001658</v>
      </c>
      <c r="C55" s="82" t="n">
        <f aca="false">IFERROR(C54/C51,0)</f>
        <v>0.877470031447762</v>
      </c>
      <c r="D55" s="82" t="n">
        <f aca="false">IFERROR(D54/D51,0)</f>
        <v>0.883134757829519</v>
      </c>
      <c r="E55" s="82" t="n">
        <f aca="false">IFERROR(E54/E51,0)</f>
        <v>0.891125162572952</v>
      </c>
      <c r="F55" s="82" t="n">
        <f aca="false">IFERROR(F54/F51,0)</f>
        <v>0.900417908970797</v>
      </c>
      <c r="G55" s="83" t="n">
        <f aca="false">IFERROR(G54/G51,0)</f>
        <v>0.894466461737599</v>
      </c>
    </row>
    <row r="56" customFormat="false" ht="15" hidden="false" customHeight="false" outlineLevel="0" collapsed="false">
      <c r="A56" s="12" t="s">
        <v>239</v>
      </c>
      <c r="B56" s="81" t="n">
        <f aca="false">SUMIFS($B$29:$BI$29,$B$6:$BI$6,B$46)</f>
        <v>-8000</v>
      </c>
      <c r="C56" s="81" t="n">
        <f aca="false">SUMIFS($B$29:$BI$29,$B$6:$BI$6,C$46)</f>
        <v>-480000</v>
      </c>
      <c r="D56" s="81" t="n">
        <f aca="false">SUMIFS($B$29:$BI$29,$B$6:$BI$6,D$46)</f>
        <v>-1560000</v>
      </c>
      <c r="E56" s="81" t="n">
        <f aca="false">SUMIFS($B$29:$BI$29,$B$6:$BI$6,E$46)</f>
        <v>-3600000</v>
      </c>
      <c r="F56" s="81" t="n">
        <f aca="false">SUMIFS($B$29:$BI$29,$B$6:$BI$6,F$46)</f>
        <v>-6720000</v>
      </c>
      <c r="G56" s="80" t="n">
        <f aca="false">SUM(B56:F56)</f>
        <v>-12368000</v>
      </c>
    </row>
    <row r="57" customFormat="false" ht="15" hidden="false" customHeight="false" outlineLevel="0" collapsed="false">
      <c r="A57" s="12" t="s">
        <v>215</v>
      </c>
      <c r="B57" s="81" t="n">
        <f aca="false">SUMIFS($B$30:$BI$30,$B$6:$BI$6,B$46)</f>
        <v>-129025</v>
      </c>
      <c r="C57" s="81" t="n">
        <f aca="false">SUMIFS($B$30:$BI$30,$B$6:$BI$6,C$46)</f>
        <v>-718560</v>
      </c>
      <c r="D57" s="81" t="n">
        <f aca="false">SUMIFS($B$30:$BI$30,$B$6:$BI$6,D$46)</f>
        <v>-1948500</v>
      </c>
      <c r="E57" s="81" t="n">
        <f aca="false">SUMIFS($B$30:$BI$30,$B$6:$BI$6,E$46)</f>
        <v>-3763200</v>
      </c>
      <c r="F57" s="81" t="n">
        <f aca="false">SUMIFS($B$30:$BI$30,$B$6:$BI$6,F$46)</f>
        <v>-6078000</v>
      </c>
      <c r="G57" s="80" t="n">
        <f aca="false">SUM(B57:F57)</f>
        <v>-12637285</v>
      </c>
    </row>
    <row r="58" customFormat="false" ht="15" hidden="false" customHeight="false" outlineLevel="0" collapsed="false">
      <c r="A58" s="12" t="s">
        <v>217</v>
      </c>
      <c r="B58" s="81" t="n">
        <f aca="false">SUMIFS($B$31:$BI$31,$B$6:$BI$6,B$46)</f>
        <v>-13500</v>
      </c>
      <c r="C58" s="81" t="n">
        <f aca="false">SUMIFS($B$31:$BI$31,$B$6:$BI$6,C$46)</f>
        <v>-72000</v>
      </c>
      <c r="D58" s="81" t="n">
        <f aca="false">SUMIFS($B$31:$BI$31,$B$6:$BI$6,D$46)</f>
        <v>-300000</v>
      </c>
      <c r="E58" s="81" t="n">
        <f aca="false">SUMIFS($B$31:$BI$31,$B$6:$BI$6,E$46)</f>
        <v>-720000</v>
      </c>
      <c r="F58" s="81" t="n">
        <f aca="false">SUMIFS($B$31:$BI$31,$B$6:$BI$6,F$46)</f>
        <v>-1320000</v>
      </c>
      <c r="G58" s="80" t="n">
        <f aca="false">SUM(B58:F58)</f>
        <v>-2425500</v>
      </c>
    </row>
    <row r="59" customFormat="false" ht="15" hidden="false" customHeight="false" outlineLevel="0" collapsed="false">
      <c r="A59" s="34" t="s">
        <v>218</v>
      </c>
      <c r="B59" s="79" t="n">
        <f aca="false">SUMIFS($B$32:$BI$32,$B$6:$BI$6,B$46)</f>
        <v>-55298.531325</v>
      </c>
      <c r="C59" s="79" t="n">
        <f aca="false">SUMIFS($B$32:$BI$32,$B$6:$BI$6,C$46)</f>
        <v>568030.259261707</v>
      </c>
      <c r="D59" s="79" t="n">
        <f aca="false">SUMIFS($B$32:$BI$32,$B$6:$BI$6,D$46)</f>
        <v>1636080.16912406</v>
      </c>
      <c r="E59" s="79" t="n">
        <f aca="false">SUMIFS($B$32:$BI$32,$B$6:$BI$6,E$46)</f>
        <v>4457476.01813851</v>
      </c>
      <c r="F59" s="79" t="n">
        <f aca="false">SUMIFS($B$32:$BI$32,$B$6:$BI$6,F$46)</f>
        <v>9635981.40849778</v>
      </c>
      <c r="G59" s="80" t="n">
        <f aca="false">SUM(B59:F59)</f>
        <v>16242269.3236971</v>
      </c>
    </row>
    <row r="60" customFormat="false" ht="15" hidden="false" customHeight="false" outlineLevel="0" collapsed="false">
      <c r="A60" s="12" t="s">
        <v>240</v>
      </c>
      <c r="B60" s="82" t="n">
        <f aca="false">IFERROR(B59/B51,0)</f>
        <v>-0.49593336029589</v>
      </c>
      <c r="C60" s="82" t="n">
        <f aca="false">IFERROR(C59/C51,0)</f>
        <v>0.27109331562422</v>
      </c>
      <c r="D60" s="82" t="n">
        <f aca="false">IFERROR(D59/D51,0)</f>
        <v>0.265379371607547</v>
      </c>
      <c r="E60" s="82" t="n">
        <f aca="false">IFERROR(E59/E51,0)</f>
        <v>0.316742816382743</v>
      </c>
      <c r="F60" s="82" t="n">
        <f aca="false">IFERROR(F59/F51,0)</f>
        <v>0.365261304263594</v>
      </c>
      <c r="G60" s="83" t="n">
        <f aca="false">IFERROR(G59/G51,0)</f>
        <v>0.332657410788726</v>
      </c>
    </row>
    <row r="61" customFormat="false" ht="15" hidden="false" customHeight="false" outlineLevel="0" collapsed="false">
      <c r="A61" s="12" t="s">
        <v>221</v>
      </c>
      <c r="B61" s="81" t="n">
        <f aca="false">SUMIFS($B$36:$BI$36,$B$6:$BI$6,B$46)</f>
        <v>-2358.52133333333</v>
      </c>
      <c r="C61" s="81" t="n">
        <f aca="false">SUMIFS($B$36:$BI$36,$B$6:$BI$6,C$46)</f>
        <v>-14458.8973333333</v>
      </c>
      <c r="D61" s="81" t="n">
        <f aca="false">SUMIFS($B$36:$BI$36,$B$6:$BI$6,D$46)</f>
        <v>-28575.564</v>
      </c>
      <c r="E61" s="81" t="n">
        <f aca="false">SUMIFS($B$36:$BI$36,$B$6:$BI$6,E$46)</f>
        <v>-44325.564</v>
      </c>
      <c r="F61" s="81" t="n">
        <f aca="false">SUMIFS($B$36:$BI$36,$B$6:$BI$6,F$46)</f>
        <v>-63658.8973333333</v>
      </c>
      <c r="G61" s="80" t="n">
        <f aca="false">SUM(B61:F61)</f>
        <v>-153377.444</v>
      </c>
    </row>
    <row r="62" customFormat="false" ht="15" hidden="false" customHeight="false" outlineLevel="0" collapsed="false">
      <c r="A62" s="34" t="s">
        <v>241</v>
      </c>
      <c r="B62" s="79" t="n">
        <f aca="false">SUMIFS($B$37:$BI$37,$B$6:$BI$6,B$46)</f>
        <v>-57657.0526583334</v>
      </c>
      <c r="C62" s="79" t="n">
        <f aca="false">SUMIFS($B$37:$BI$37,$B$6:$BI$6,C$46)</f>
        <v>553571.361928374</v>
      </c>
      <c r="D62" s="79" t="n">
        <f aca="false">SUMIFS($B$37:$BI$37,$B$6:$BI$6,D$46)</f>
        <v>1607504.60512406</v>
      </c>
      <c r="E62" s="79" t="n">
        <f aca="false">SUMIFS($B$37:$BI$37,$B$6:$BI$6,E$46)</f>
        <v>4413150.45413851</v>
      </c>
      <c r="F62" s="79" t="n">
        <f aca="false">SUMIFS($B$37:$BI$37,$B$6:$BI$6,F$46)</f>
        <v>9572322.51116445</v>
      </c>
      <c r="G62" s="80" t="n">
        <f aca="false">SUM(B62:F62)</f>
        <v>16088891.8796971</v>
      </c>
    </row>
    <row r="63" customFormat="false" ht="15" hidden="false" customHeight="false" outlineLevel="0" collapsed="false">
      <c r="A63" s="34" t="s">
        <v>242</v>
      </c>
      <c r="B63" s="79" t="n">
        <f aca="false">SUMIFS($B$41:$BI$41,$B$6:$BI$6,B$46)</f>
        <v>-57657.0526583334</v>
      </c>
      <c r="C63" s="79" t="n">
        <f aca="false">SUMIFS($B$41:$BI$41,$B$6:$BI$6,C$46)</f>
        <v>553571.361928374</v>
      </c>
      <c r="D63" s="79" t="n">
        <f aca="false">SUMIFS($B$41:$BI$41,$B$6:$BI$6,D$46)</f>
        <v>1607504.60512406</v>
      </c>
      <c r="E63" s="79" t="n">
        <f aca="false">SUMIFS($B$41:$BI$41,$B$6:$BI$6,E$46)</f>
        <v>4413150.45413851</v>
      </c>
      <c r="F63" s="79" t="n">
        <f aca="false">SUMIFS($B$41:$BI$41,$B$6:$BI$6,F$46)</f>
        <v>9572322.51116445</v>
      </c>
      <c r="G63" s="80" t="n">
        <f aca="false">SUM(B63:F63)</f>
        <v>16088891.8796971</v>
      </c>
    </row>
    <row r="64" customFormat="false" ht="15" hidden="false" customHeight="false" outlineLevel="0" collapsed="false">
      <c r="A64" s="12" t="s">
        <v>243</v>
      </c>
      <c r="B64" s="82" t="n">
        <f aca="false">IFERROR(B63/B51,0)</f>
        <v>-0.517085267627663</v>
      </c>
      <c r="C64" s="82" t="n">
        <f aca="false">IFERROR(C63/C51,0)</f>
        <v>0.264192784614731</v>
      </c>
      <c r="D64" s="82" t="n">
        <f aca="false">IFERROR(D63/D51,0)</f>
        <v>0.260744289928322</v>
      </c>
      <c r="E64" s="82" t="n">
        <f aca="false">IFERROR(E63/E51,0)</f>
        <v>0.313593095796029</v>
      </c>
      <c r="F64" s="82" t="n">
        <f aca="false">IFERROR(F63/F51,0)</f>
        <v>0.362848251468841</v>
      </c>
      <c r="G64" s="83" t="n">
        <f aca="false">IFERROR(G63/G51,0)</f>
        <v>0.329516092147987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7040"/>
    <pageSetUpPr fitToPage="false"/>
  </sheetPr>
  <dimension ref="A1:BK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8" topLeftCell="B9" activePane="bottomRight" state="frozen"/>
      <selection pane="topLeft" activeCell="A1" activeCellId="0" sqref="A1"/>
      <selection pane="topRight" activeCell="B1" activeCellId="0" sqref="B1"/>
      <selection pane="bottomLeft" activeCell="A9" activeCellId="0" sqref="A9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61" min="2" style="0" width="11"/>
    <col collapsed="false" customWidth="true" hidden="false" outlineLevel="0" max="62" min="62" style="0" width="15"/>
    <col collapsed="false" customWidth="true" hidden="false" outlineLevel="0" max="63" min="63" style="0" width="34"/>
  </cols>
  <sheetData>
    <row r="1" customFormat="false" ht="25.5" hidden="false" customHeight="true" outlineLevel="0" collapsed="false">
      <c r="A1" s="1" t="s">
        <v>244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</row>
    <row r="2" customFormat="false" ht="15.75" hidden="false" customHeight="true" outlineLevel="0" collapsed="false">
      <c r="A2" s="58" t="str">
        <f aca="false">" Cenário ativo: "&amp;Premissas!B7</f>
        <v> Cenário ativo: PROVÁVEL</v>
      </c>
    </row>
    <row r="4" customFormat="false" ht="15" hidden="false" customHeight="false" outlineLevel="0" collapsed="false">
      <c r="A4" s="59" t="s">
        <v>189</v>
      </c>
      <c r="B4" s="60" t="n">
        <v>46023</v>
      </c>
      <c r="C4" s="60" t="n">
        <v>46054</v>
      </c>
      <c r="D4" s="60" t="n">
        <v>46082</v>
      </c>
      <c r="E4" s="60" t="n">
        <v>46113</v>
      </c>
      <c r="F4" s="60" t="n">
        <v>46143</v>
      </c>
      <c r="G4" s="60" t="n">
        <v>46174</v>
      </c>
      <c r="H4" s="60" t="n">
        <v>46204</v>
      </c>
      <c r="I4" s="60" t="n">
        <v>46235</v>
      </c>
      <c r="J4" s="60" t="n">
        <v>46266</v>
      </c>
      <c r="K4" s="60" t="n">
        <v>46296</v>
      </c>
      <c r="L4" s="60" t="n">
        <v>46327</v>
      </c>
      <c r="M4" s="60" t="n">
        <v>46357</v>
      </c>
      <c r="N4" s="60" t="n">
        <v>46388</v>
      </c>
      <c r="O4" s="60" t="n">
        <v>46419</v>
      </c>
      <c r="P4" s="60" t="n">
        <v>46447</v>
      </c>
      <c r="Q4" s="60" t="n">
        <v>46478</v>
      </c>
      <c r="R4" s="60" t="n">
        <v>46508</v>
      </c>
      <c r="S4" s="60" t="n">
        <v>46539</v>
      </c>
      <c r="T4" s="60" t="n">
        <v>46569</v>
      </c>
      <c r="U4" s="60" t="n">
        <v>46600</v>
      </c>
      <c r="V4" s="60" t="n">
        <v>46631</v>
      </c>
      <c r="W4" s="60" t="n">
        <v>46661</v>
      </c>
      <c r="X4" s="60" t="n">
        <v>46692</v>
      </c>
      <c r="Y4" s="60" t="n">
        <v>46722</v>
      </c>
      <c r="Z4" s="60" t="n">
        <v>46753</v>
      </c>
      <c r="AA4" s="60" t="n">
        <v>46784</v>
      </c>
      <c r="AB4" s="60" t="n">
        <v>46813</v>
      </c>
      <c r="AC4" s="60" t="n">
        <v>46844</v>
      </c>
      <c r="AD4" s="60" t="n">
        <v>46874</v>
      </c>
      <c r="AE4" s="60" t="n">
        <v>46905</v>
      </c>
      <c r="AF4" s="60" t="n">
        <v>46935</v>
      </c>
      <c r="AG4" s="60" t="n">
        <v>46966</v>
      </c>
      <c r="AH4" s="60" t="n">
        <v>46997</v>
      </c>
      <c r="AI4" s="60" t="n">
        <v>47027</v>
      </c>
      <c r="AJ4" s="60" t="n">
        <v>47058</v>
      </c>
      <c r="AK4" s="60" t="n">
        <v>47088</v>
      </c>
      <c r="AL4" s="60" t="n">
        <v>47119</v>
      </c>
      <c r="AM4" s="60" t="n">
        <v>47150</v>
      </c>
      <c r="AN4" s="60" t="n">
        <v>47178</v>
      </c>
      <c r="AO4" s="60" t="n">
        <v>47209</v>
      </c>
      <c r="AP4" s="60" t="n">
        <v>47239</v>
      </c>
      <c r="AQ4" s="60" t="n">
        <v>47270</v>
      </c>
      <c r="AR4" s="60" t="n">
        <v>47300</v>
      </c>
      <c r="AS4" s="60" t="n">
        <v>47331</v>
      </c>
      <c r="AT4" s="60" t="n">
        <v>47362</v>
      </c>
      <c r="AU4" s="60" t="n">
        <v>47392</v>
      </c>
      <c r="AV4" s="60" t="n">
        <v>47423</v>
      </c>
      <c r="AW4" s="60" t="n">
        <v>47453</v>
      </c>
      <c r="AX4" s="60" t="n">
        <v>47484</v>
      </c>
      <c r="AY4" s="60" t="n">
        <v>47515</v>
      </c>
      <c r="AZ4" s="60" t="n">
        <v>47543</v>
      </c>
      <c r="BA4" s="60" t="n">
        <v>47574</v>
      </c>
      <c r="BB4" s="60" t="n">
        <v>47604</v>
      </c>
      <c r="BC4" s="60" t="n">
        <v>47635</v>
      </c>
      <c r="BD4" s="60" t="n">
        <v>47665</v>
      </c>
      <c r="BE4" s="60" t="n">
        <v>47696</v>
      </c>
      <c r="BF4" s="60" t="n">
        <v>47727</v>
      </c>
      <c r="BG4" s="60" t="n">
        <v>47757</v>
      </c>
      <c r="BH4" s="60" t="n">
        <v>47788</v>
      </c>
      <c r="BI4" s="60" t="n">
        <v>47818</v>
      </c>
      <c r="BJ4" s="61" t="s">
        <v>190</v>
      </c>
      <c r="BK4" s="61" t="s">
        <v>191</v>
      </c>
    </row>
    <row r="5" customFormat="false" ht="15" hidden="false" customHeight="false" outlineLevel="0" collapsed="false">
      <c r="A5" s="62" t="s">
        <v>192</v>
      </c>
      <c r="B5" s="63" t="n">
        <v>1</v>
      </c>
      <c r="C5" s="63" t="n">
        <v>2</v>
      </c>
      <c r="D5" s="63" t="n">
        <v>3</v>
      </c>
      <c r="E5" s="63" t="n">
        <v>4</v>
      </c>
      <c r="F5" s="63" t="n">
        <v>5</v>
      </c>
      <c r="G5" s="63" t="n">
        <v>6</v>
      </c>
      <c r="H5" s="63" t="n">
        <v>7</v>
      </c>
      <c r="I5" s="63" t="n">
        <v>8</v>
      </c>
      <c r="J5" s="63" t="n">
        <v>9</v>
      </c>
      <c r="K5" s="63" t="n">
        <v>10</v>
      </c>
      <c r="L5" s="63" t="n">
        <v>11</v>
      </c>
      <c r="M5" s="63" t="n">
        <v>12</v>
      </c>
      <c r="N5" s="63" t="n">
        <v>13</v>
      </c>
      <c r="O5" s="63" t="n">
        <v>14</v>
      </c>
      <c r="P5" s="63" t="n">
        <v>15</v>
      </c>
      <c r="Q5" s="63" t="n">
        <v>16</v>
      </c>
      <c r="R5" s="63" t="n">
        <v>17</v>
      </c>
      <c r="S5" s="63" t="n">
        <v>18</v>
      </c>
      <c r="T5" s="63" t="n">
        <v>19</v>
      </c>
      <c r="U5" s="63" t="n">
        <v>20</v>
      </c>
      <c r="V5" s="63" t="n">
        <v>21</v>
      </c>
      <c r="W5" s="63" t="n">
        <v>22</v>
      </c>
      <c r="X5" s="63" t="n">
        <v>23</v>
      </c>
      <c r="Y5" s="63" t="n">
        <v>24</v>
      </c>
      <c r="Z5" s="63" t="n">
        <v>25</v>
      </c>
      <c r="AA5" s="63" t="n">
        <v>26</v>
      </c>
      <c r="AB5" s="63" t="n">
        <v>27</v>
      </c>
      <c r="AC5" s="63" t="n">
        <v>28</v>
      </c>
      <c r="AD5" s="63" t="n">
        <v>29</v>
      </c>
      <c r="AE5" s="63" t="n">
        <v>30</v>
      </c>
      <c r="AF5" s="63" t="n">
        <v>31</v>
      </c>
      <c r="AG5" s="63" t="n">
        <v>32</v>
      </c>
      <c r="AH5" s="63" t="n">
        <v>33</v>
      </c>
      <c r="AI5" s="63" t="n">
        <v>34</v>
      </c>
      <c r="AJ5" s="63" t="n">
        <v>35</v>
      </c>
      <c r="AK5" s="63" t="n">
        <v>36</v>
      </c>
      <c r="AL5" s="63" t="n">
        <v>37</v>
      </c>
      <c r="AM5" s="63" t="n">
        <v>38</v>
      </c>
      <c r="AN5" s="63" t="n">
        <v>39</v>
      </c>
      <c r="AO5" s="63" t="n">
        <v>40</v>
      </c>
      <c r="AP5" s="63" t="n">
        <v>41</v>
      </c>
      <c r="AQ5" s="63" t="n">
        <v>42</v>
      </c>
      <c r="AR5" s="63" t="n">
        <v>43</v>
      </c>
      <c r="AS5" s="63" t="n">
        <v>44</v>
      </c>
      <c r="AT5" s="63" t="n">
        <v>45</v>
      </c>
      <c r="AU5" s="63" t="n">
        <v>46</v>
      </c>
      <c r="AV5" s="63" t="n">
        <v>47</v>
      </c>
      <c r="AW5" s="63" t="n">
        <v>48</v>
      </c>
      <c r="AX5" s="63" t="n">
        <v>49</v>
      </c>
      <c r="AY5" s="63" t="n">
        <v>50</v>
      </c>
      <c r="AZ5" s="63" t="n">
        <v>51</v>
      </c>
      <c r="BA5" s="63" t="n">
        <v>52</v>
      </c>
      <c r="BB5" s="63" t="n">
        <v>53</v>
      </c>
      <c r="BC5" s="63" t="n">
        <v>54</v>
      </c>
      <c r="BD5" s="63" t="n">
        <v>55</v>
      </c>
      <c r="BE5" s="63" t="n">
        <v>56</v>
      </c>
      <c r="BF5" s="63" t="n">
        <v>57</v>
      </c>
      <c r="BG5" s="63" t="n">
        <v>58</v>
      </c>
      <c r="BH5" s="63" t="n">
        <v>59</v>
      </c>
      <c r="BI5" s="63" t="n">
        <v>60</v>
      </c>
    </row>
    <row r="6" customFormat="false" ht="15" hidden="false" customHeight="false" outlineLevel="0" collapsed="false">
      <c r="A6" s="62" t="s">
        <v>193</v>
      </c>
      <c r="B6" s="64" t="n">
        <f aca="false">YEAR(B4)</f>
        <v>2026</v>
      </c>
      <c r="C6" s="64" t="n">
        <f aca="false">YEAR(C4)</f>
        <v>2026</v>
      </c>
      <c r="D6" s="64" t="n">
        <f aca="false">YEAR(D4)</f>
        <v>2026</v>
      </c>
      <c r="E6" s="64" t="n">
        <f aca="false">YEAR(E4)</f>
        <v>2026</v>
      </c>
      <c r="F6" s="64" t="n">
        <f aca="false">YEAR(F4)</f>
        <v>2026</v>
      </c>
      <c r="G6" s="64" t="n">
        <f aca="false">YEAR(G4)</f>
        <v>2026</v>
      </c>
      <c r="H6" s="64" t="n">
        <f aca="false">YEAR(H4)</f>
        <v>2026</v>
      </c>
      <c r="I6" s="64" t="n">
        <f aca="false">YEAR(I4)</f>
        <v>2026</v>
      </c>
      <c r="J6" s="64" t="n">
        <f aca="false">YEAR(J4)</f>
        <v>2026</v>
      </c>
      <c r="K6" s="64" t="n">
        <f aca="false">YEAR(K4)</f>
        <v>2026</v>
      </c>
      <c r="L6" s="64" t="n">
        <f aca="false">YEAR(L4)</f>
        <v>2026</v>
      </c>
      <c r="M6" s="64" t="n">
        <f aca="false">YEAR(M4)</f>
        <v>2026</v>
      </c>
      <c r="N6" s="64" t="n">
        <f aca="false">YEAR(N4)</f>
        <v>2027</v>
      </c>
      <c r="O6" s="64" t="n">
        <f aca="false">YEAR(O4)</f>
        <v>2027</v>
      </c>
      <c r="P6" s="64" t="n">
        <f aca="false">YEAR(P4)</f>
        <v>2027</v>
      </c>
      <c r="Q6" s="64" t="n">
        <f aca="false">YEAR(Q4)</f>
        <v>2027</v>
      </c>
      <c r="R6" s="64" t="n">
        <f aca="false">YEAR(R4)</f>
        <v>2027</v>
      </c>
      <c r="S6" s="64" t="n">
        <f aca="false">YEAR(S4)</f>
        <v>2027</v>
      </c>
      <c r="T6" s="64" t="n">
        <f aca="false">YEAR(T4)</f>
        <v>2027</v>
      </c>
      <c r="U6" s="64" t="n">
        <f aca="false">YEAR(U4)</f>
        <v>2027</v>
      </c>
      <c r="V6" s="64" t="n">
        <f aca="false">YEAR(V4)</f>
        <v>2027</v>
      </c>
      <c r="W6" s="64" t="n">
        <f aca="false">YEAR(W4)</f>
        <v>2027</v>
      </c>
      <c r="X6" s="64" t="n">
        <f aca="false">YEAR(X4)</f>
        <v>2027</v>
      </c>
      <c r="Y6" s="64" t="n">
        <f aca="false">YEAR(Y4)</f>
        <v>2027</v>
      </c>
      <c r="Z6" s="64" t="n">
        <f aca="false">YEAR(Z4)</f>
        <v>2028</v>
      </c>
      <c r="AA6" s="64" t="n">
        <f aca="false">YEAR(AA4)</f>
        <v>2028</v>
      </c>
      <c r="AB6" s="64" t="n">
        <f aca="false">YEAR(AB4)</f>
        <v>2028</v>
      </c>
      <c r="AC6" s="64" t="n">
        <f aca="false">YEAR(AC4)</f>
        <v>2028</v>
      </c>
      <c r="AD6" s="64" t="n">
        <f aca="false">YEAR(AD4)</f>
        <v>2028</v>
      </c>
      <c r="AE6" s="64" t="n">
        <f aca="false">YEAR(AE4)</f>
        <v>2028</v>
      </c>
      <c r="AF6" s="64" t="n">
        <f aca="false">YEAR(AF4)</f>
        <v>2028</v>
      </c>
      <c r="AG6" s="64" t="n">
        <f aca="false">YEAR(AG4)</f>
        <v>2028</v>
      </c>
      <c r="AH6" s="64" t="n">
        <f aca="false">YEAR(AH4)</f>
        <v>2028</v>
      </c>
      <c r="AI6" s="64" t="n">
        <f aca="false">YEAR(AI4)</f>
        <v>2028</v>
      </c>
      <c r="AJ6" s="64" t="n">
        <f aca="false">YEAR(AJ4)</f>
        <v>2028</v>
      </c>
      <c r="AK6" s="64" t="n">
        <f aca="false">YEAR(AK4)</f>
        <v>2028</v>
      </c>
      <c r="AL6" s="64" t="n">
        <f aca="false">YEAR(AL4)</f>
        <v>2029</v>
      </c>
      <c r="AM6" s="64" t="n">
        <f aca="false">YEAR(AM4)</f>
        <v>2029</v>
      </c>
      <c r="AN6" s="64" t="n">
        <f aca="false">YEAR(AN4)</f>
        <v>2029</v>
      </c>
      <c r="AO6" s="64" t="n">
        <f aca="false">YEAR(AO4)</f>
        <v>2029</v>
      </c>
      <c r="AP6" s="64" t="n">
        <f aca="false">YEAR(AP4)</f>
        <v>2029</v>
      </c>
      <c r="AQ6" s="64" t="n">
        <f aca="false">YEAR(AQ4)</f>
        <v>2029</v>
      </c>
      <c r="AR6" s="64" t="n">
        <f aca="false">YEAR(AR4)</f>
        <v>2029</v>
      </c>
      <c r="AS6" s="64" t="n">
        <f aca="false">YEAR(AS4)</f>
        <v>2029</v>
      </c>
      <c r="AT6" s="64" t="n">
        <f aca="false">YEAR(AT4)</f>
        <v>2029</v>
      </c>
      <c r="AU6" s="64" t="n">
        <f aca="false">YEAR(AU4)</f>
        <v>2029</v>
      </c>
      <c r="AV6" s="64" t="n">
        <f aca="false">YEAR(AV4)</f>
        <v>2029</v>
      </c>
      <c r="AW6" s="64" t="n">
        <f aca="false">YEAR(AW4)</f>
        <v>2029</v>
      </c>
      <c r="AX6" s="64" t="n">
        <f aca="false">YEAR(AX4)</f>
        <v>2030</v>
      </c>
      <c r="AY6" s="64" t="n">
        <f aca="false">YEAR(AY4)</f>
        <v>2030</v>
      </c>
      <c r="AZ6" s="64" t="n">
        <f aca="false">YEAR(AZ4)</f>
        <v>2030</v>
      </c>
      <c r="BA6" s="64" t="n">
        <f aca="false">YEAR(BA4)</f>
        <v>2030</v>
      </c>
      <c r="BB6" s="64" t="n">
        <f aca="false">YEAR(BB4)</f>
        <v>2030</v>
      </c>
      <c r="BC6" s="64" t="n">
        <f aca="false">YEAR(BC4)</f>
        <v>2030</v>
      </c>
      <c r="BD6" s="64" t="n">
        <f aca="false">YEAR(BD4)</f>
        <v>2030</v>
      </c>
      <c r="BE6" s="64" t="n">
        <f aca="false">YEAR(BE4)</f>
        <v>2030</v>
      </c>
      <c r="BF6" s="64" t="n">
        <f aca="false">YEAR(BF4)</f>
        <v>2030</v>
      </c>
      <c r="BG6" s="64" t="n">
        <f aca="false">YEAR(BG4)</f>
        <v>2030</v>
      </c>
      <c r="BH6" s="64" t="n">
        <f aca="false">YEAR(BH4)</f>
        <v>2030</v>
      </c>
      <c r="BI6" s="64" t="n">
        <f aca="false">YEAR(BI4)</f>
        <v>2030</v>
      </c>
    </row>
    <row r="7" customFormat="false" ht="15" hidden="false" customHeight="false" outlineLevel="0" collapsed="false">
      <c r="A7" s="65" t="s">
        <v>194</v>
      </c>
      <c r="B7" s="66" t="n">
        <f aca="false">MATCH(B6,Premissas!$C$5:$G$5,0)</f>
        <v>1</v>
      </c>
      <c r="C7" s="66" t="n">
        <f aca="false">MATCH(C6,Premissas!$C$5:$G$5,0)</f>
        <v>1</v>
      </c>
      <c r="D7" s="66" t="n">
        <f aca="false">MATCH(D6,Premissas!$C$5:$G$5,0)</f>
        <v>1</v>
      </c>
      <c r="E7" s="66" t="n">
        <f aca="false">MATCH(E6,Premissas!$C$5:$G$5,0)</f>
        <v>1</v>
      </c>
      <c r="F7" s="66" t="n">
        <f aca="false">MATCH(F6,Premissas!$C$5:$G$5,0)</f>
        <v>1</v>
      </c>
      <c r="G7" s="66" t="n">
        <f aca="false">MATCH(G6,Premissas!$C$5:$G$5,0)</f>
        <v>1</v>
      </c>
      <c r="H7" s="66" t="n">
        <f aca="false">MATCH(H6,Premissas!$C$5:$G$5,0)</f>
        <v>1</v>
      </c>
      <c r="I7" s="66" t="n">
        <f aca="false">MATCH(I6,Premissas!$C$5:$G$5,0)</f>
        <v>1</v>
      </c>
      <c r="J7" s="66" t="n">
        <f aca="false">MATCH(J6,Premissas!$C$5:$G$5,0)</f>
        <v>1</v>
      </c>
      <c r="K7" s="66" t="n">
        <f aca="false">MATCH(K6,Premissas!$C$5:$G$5,0)</f>
        <v>1</v>
      </c>
      <c r="L7" s="66" t="n">
        <f aca="false">MATCH(L6,Premissas!$C$5:$G$5,0)</f>
        <v>1</v>
      </c>
      <c r="M7" s="66" t="n">
        <f aca="false">MATCH(M6,Premissas!$C$5:$G$5,0)</f>
        <v>1</v>
      </c>
      <c r="N7" s="66" t="n">
        <f aca="false">MATCH(N6,Premissas!$C$5:$G$5,0)</f>
        <v>2</v>
      </c>
      <c r="O7" s="66" t="n">
        <f aca="false">MATCH(O6,Premissas!$C$5:$G$5,0)</f>
        <v>2</v>
      </c>
      <c r="P7" s="66" t="n">
        <f aca="false">MATCH(P6,Premissas!$C$5:$G$5,0)</f>
        <v>2</v>
      </c>
      <c r="Q7" s="66" t="n">
        <f aca="false">MATCH(Q6,Premissas!$C$5:$G$5,0)</f>
        <v>2</v>
      </c>
      <c r="R7" s="66" t="n">
        <f aca="false">MATCH(R6,Premissas!$C$5:$G$5,0)</f>
        <v>2</v>
      </c>
      <c r="S7" s="66" t="n">
        <f aca="false">MATCH(S6,Premissas!$C$5:$G$5,0)</f>
        <v>2</v>
      </c>
      <c r="T7" s="66" t="n">
        <f aca="false">MATCH(T6,Premissas!$C$5:$G$5,0)</f>
        <v>2</v>
      </c>
      <c r="U7" s="66" t="n">
        <f aca="false">MATCH(U6,Premissas!$C$5:$G$5,0)</f>
        <v>2</v>
      </c>
      <c r="V7" s="66" t="n">
        <f aca="false">MATCH(V6,Premissas!$C$5:$G$5,0)</f>
        <v>2</v>
      </c>
      <c r="W7" s="66" t="n">
        <f aca="false">MATCH(W6,Premissas!$C$5:$G$5,0)</f>
        <v>2</v>
      </c>
      <c r="X7" s="66" t="n">
        <f aca="false">MATCH(X6,Premissas!$C$5:$G$5,0)</f>
        <v>2</v>
      </c>
      <c r="Y7" s="66" t="n">
        <f aca="false">MATCH(Y6,Premissas!$C$5:$G$5,0)</f>
        <v>2</v>
      </c>
      <c r="Z7" s="66" t="n">
        <f aca="false">MATCH(Z6,Premissas!$C$5:$G$5,0)</f>
        <v>3</v>
      </c>
      <c r="AA7" s="66" t="n">
        <f aca="false">MATCH(AA6,Premissas!$C$5:$G$5,0)</f>
        <v>3</v>
      </c>
      <c r="AB7" s="66" t="n">
        <f aca="false">MATCH(AB6,Premissas!$C$5:$G$5,0)</f>
        <v>3</v>
      </c>
      <c r="AC7" s="66" t="n">
        <f aca="false">MATCH(AC6,Premissas!$C$5:$G$5,0)</f>
        <v>3</v>
      </c>
      <c r="AD7" s="66" t="n">
        <f aca="false">MATCH(AD6,Premissas!$C$5:$G$5,0)</f>
        <v>3</v>
      </c>
      <c r="AE7" s="66" t="n">
        <f aca="false">MATCH(AE6,Premissas!$C$5:$G$5,0)</f>
        <v>3</v>
      </c>
      <c r="AF7" s="66" t="n">
        <f aca="false">MATCH(AF6,Premissas!$C$5:$G$5,0)</f>
        <v>3</v>
      </c>
      <c r="AG7" s="66" t="n">
        <f aca="false">MATCH(AG6,Premissas!$C$5:$G$5,0)</f>
        <v>3</v>
      </c>
      <c r="AH7" s="66" t="n">
        <f aca="false">MATCH(AH6,Premissas!$C$5:$G$5,0)</f>
        <v>3</v>
      </c>
      <c r="AI7" s="66" t="n">
        <f aca="false">MATCH(AI6,Premissas!$C$5:$G$5,0)</f>
        <v>3</v>
      </c>
      <c r="AJ7" s="66" t="n">
        <f aca="false">MATCH(AJ6,Premissas!$C$5:$G$5,0)</f>
        <v>3</v>
      </c>
      <c r="AK7" s="66" t="n">
        <f aca="false">MATCH(AK6,Premissas!$C$5:$G$5,0)</f>
        <v>3</v>
      </c>
      <c r="AL7" s="66" t="n">
        <f aca="false">MATCH(AL6,Premissas!$C$5:$G$5,0)</f>
        <v>4</v>
      </c>
      <c r="AM7" s="66" t="n">
        <f aca="false">MATCH(AM6,Premissas!$C$5:$G$5,0)</f>
        <v>4</v>
      </c>
      <c r="AN7" s="66" t="n">
        <f aca="false">MATCH(AN6,Premissas!$C$5:$G$5,0)</f>
        <v>4</v>
      </c>
      <c r="AO7" s="66" t="n">
        <f aca="false">MATCH(AO6,Premissas!$C$5:$G$5,0)</f>
        <v>4</v>
      </c>
      <c r="AP7" s="66" t="n">
        <f aca="false">MATCH(AP6,Premissas!$C$5:$G$5,0)</f>
        <v>4</v>
      </c>
      <c r="AQ7" s="66" t="n">
        <f aca="false">MATCH(AQ6,Premissas!$C$5:$G$5,0)</f>
        <v>4</v>
      </c>
      <c r="AR7" s="66" t="n">
        <f aca="false">MATCH(AR6,Premissas!$C$5:$G$5,0)</f>
        <v>4</v>
      </c>
      <c r="AS7" s="66" t="n">
        <f aca="false">MATCH(AS6,Premissas!$C$5:$G$5,0)</f>
        <v>4</v>
      </c>
      <c r="AT7" s="66" t="n">
        <f aca="false">MATCH(AT6,Premissas!$C$5:$G$5,0)</f>
        <v>4</v>
      </c>
      <c r="AU7" s="66" t="n">
        <f aca="false">MATCH(AU6,Premissas!$C$5:$G$5,0)</f>
        <v>4</v>
      </c>
      <c r="AV7" s="66" t="n">
        <f aca="false">MATCH(AV6,Premissas!$C$5:$G$5,0)</f>
        <v>4</v>
      </c>
      <c r="AW7" s="66" t="n">
        <f aca="false">MATCH(AW6,Premissas!$C$5:$G$5,0)</f>
        <v>4</v>
      </c>
      <c r="AX7" s="66" t="n">
        <f aca="false">MATCH(AX6,Premissas!$C$5:$G$5,0)</f>
        <v>5</v>
      </c>
      <c r="AY7" s="66" t="n">
        <f aca="false">MATCH(AY6,Premissas!$C$5:$G$5,0)</f>
        <v>5</v>
      </c>
      <c r="AZ7" s="66" t="n">
        <f aca="false">MATCH(AZ6,Premissas!$C$5:$G$5,0)</f>
        <v>5</v>
      </c>
      <c r="BA7" s="66" t="n">
        <f aca="false">MATCH(BA6,Premissas!$C$5:$G$5,0)</f>
        <v>5</v>
      </c>
      <c r="BB7" s="66" t="n">
        <f aca="false">MATCH(BB6,Premissas!$C$5:$G$5,0)</f>
        <v>5</v>
      </c>
      <c r="BC7" s="66" t="n">
        <f aca="false">MATCH(BC6,Premissas!$C$5:$G$5,0)</f>
        <v>5</v>
      </c>
      <c r="BD7" s="66" t="n">
        <f aca="false">MATCH(BD6,Premissas!$C$5:$G$5,0)</f>
        <v>5</v>
      </c>
      <c r="BE7" s="66" t="n">
        <f aca="false">MATCH(BE6,Premissas!$C$5:$G$5,0)</f>
        <v>5</v>
      </c>
      <c r="BF7" s="66" t="n">
        <f aca="false">MATCH(BF6,Premissas!$C$5:$G$5,0)</f>
        <v>5</v>
      </c>
      <c r="BG7" s="66" t="n">
        <f aca="false">MATCH(BG6,Premissas!$C$5:$G$5,0)</f>
        <v>5</v>
      </c>
      <c r="BH7" s="66" t="n">
        <f aca="false">MATCH(BH6,Premissas!$C$5:$G$5,0)</f>
        <v>5</v>
      </c>
      <c r="BI7" s="66" t="n">
        <f aca="false">MATCH(BI6,Premissas!$C$5:$G$5,0)</f>
        <v>5</v>
      </c>
    </row>
    <row r="8" customFormat="false" ht="18" hidden="false" customHeight="true" outlineLevel="0" collapsed="false">
      <c r="A8" s="10" t="s">
        <v>245</v>
      </c>
      <c r="B8" s="11"/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  <c r="AO8" s="11"/>
      <c r="AP8" s="11"/>
      <c r="AQ8" s="11"/>
      <c r="AR8" s="11"/>
      <c r="AS8" s="11"/>
      <c r="AT8" s="11"/>
      <c r="AU8" s="11"/>
      <c r="AV8" s="11"/>
      <c r="AW8" s="11"/>
      <c r="AX8" s="11"/>
      <c r="AY8" s="11"/>
      <c r="AZ8" s="11"/>
      <c r="BA8" s="11"/>
      <c r="BB8" s="11"/>
      <c r="BC8" s="11"/>
      <c r="BD8" s="11"/>
      <c r="BE8" s="11"/>
      <c r="BF8" s="11"/>
      <c r="BG8" s="11"/>
      <c r="BH8" s="11"/>
      <c r="BI8" s="11"/>
      <c r="BJ8" s="11"/>
      <c r="BK8" s="11"/>
    </row>
    <row r="9" customFormat="false" ht="15" hidden="false" customHeight="false" outlineLevel="0" collapsed="false">
      <c r="A9" s="12" t="s">
        <v>246</v>
      </c>
      <c r="B9" s="68" t="n">
        <f aca="false">-Investimentos!B28</f>
        <v>-0</v>
      </c>
      <c r="C9" s="68" t="n">
        <f aca="false">-Investimentos!C28</f>
        <v>-0</v>
      </c>
      <c r="D9" s="68" t="n">
        <f aca="false">-Investimentos!D28</f>
        <v>-0</v>
      </c>
      <c r="E9" s="68" t="n">
        <f aca="false">-Investimentos!E28</f>
        <v>-0</v>
      </c>
      <c r="F9" s="68" t="n">
        <f aca="false">-Investimentos!F28</f>
        <v>-0</v>
      </c>
      <c r="G9" s="68" t="n">
        <f aca="false">-Investimentos!G28</f>
        <v>-0</v>
      </c>
      <c r="H9" s="68" t="n">
        <f aca="false">-Investimentos!H28</f>
        <v>-0</v>
      </c>
      <c r="I9" s="68" t="n">
        <f aca="false">-Investimentos!I28</f>
        <v>-7000</v>
      </c>
      <c r="J9" s="68" t="n">
        <f aca="false">-Investimentos!J28</f>
        <v>-7000</v>
      </c>
      <c r="K9" s="68" t="n">
        <f aca="false">-Investimentos!K28</f>
        <v>-7000</v>
      </c>
      <c r="L9" s="68" t="n">
        <f aca="false">-Investimentos!L28</f>
        <v>-0</v>
      </c>
      <c r="M9" s="68" t="n">
        <f aca="false">-Investimentos!M28</f>
        <v>-0</v>
      </c>
      <c r="N9" s="68" t="n">
        <f aca="false">-Investimentos!N28</f>
        <v>-15000</v>
      </c>
      <c r="O9" s="68" t="n">
        <f aca="false">-Investimentos!O28</f>
        <v>-0</v>
      </c>
      <c r="P9" s="68" t="n">
        <f aca="false">-Investimentos!P28</f>
        <v>-0</v>
      </c>
      <c r="Q9" s="68" t="n">
        <f aca="false">-Investimentos!Q28</f>
        <v>-0</v>
      </c>
      <c r="R9" s="68" t="n">
        <f aca="false">-Investimentos!R28</f>
        <v>-0</v>
      </c>
      <c r="S9" s="68" t="n">
        <f aca="false">-Investimentos!S28</f>
        <v>-0</v>
      </c>
      <c r="T9" s="68" t="n">
        <f aca="false">-Investimentos!T28</f>
        <v>-0</v>
      </c>
      <c r="U9" s="68" t="n">
        <f aca="false">-Investimentos!U28</f>
        <v>-0</v>
      </c>
      <c r="V9" s="68" t="n">
        <f aca="false">-Investimentos!V28</f>
        <v>-0</v>
      </c>
      <c r="W9" s="68" t="n">
        <f aca="false">-Investimentos!W28</f>
        <v>-0</v>
      </c>
      <c r="X9" s="68" t="n">
        <f aca="false">-Investimentos!X28</f>
        <v>-0</v>
      </c>
      <c r="Y9" s="68" t="n">
        <f aca="false">-Investimentos!Y28</f>
        <v>-0</v>
      </c>
      <c r="Z9" s="68" t="n">
        <f aca="false">-Investimentos!Z28</f>
        <v>-45000</v>
      </c>
      <c r="AA9" s="68" t="n">
        <f aca="false">-Investimentos!AA28</f>
        <v>-0</v>
      </c>
      <c r="AB9" s="68" t="n">
        <f aca="false">-Investimentos!AB28</f>
        <v>-0</v>
      </c>
      <c r="AC9" s="68" t="n">
        <f aca="false">-Investimentos!AC28</f>
        <v>-0</v>
      </c>
      <c r="AD9" s="68" t="n">
        <f aca="false">-Investimentos!AD28</f>
        <v>-0</v>
      </c>
      <c r="AE9" s="68" t="n">
        <f aca="false">-Investimentos!AE28</f>
        <v>-0</v>
      </c>
      <c r="AF9" s="68" t="n">
        <f aca="false">-Investimentos!AF28</f>
        <v>-0</v>
      </c>
      <c r="AG9" s="68" t="n">
        <f aca="false">-Investimentos!AG28</f>
        <v>-0</v>
      </c>
      <c r="AH9" s="68" t="n">
        <f aca="false">-Investimentos!AH28</f>
        <v>-0</v>
      </c>
      <c r="AI9" s="68" t="n">
        <f aca="false">-Investimentos!AI28</f>
        <v>-0</v>
      </c>
      <c r="AJ9" s="68" t="n">
        <f aca="false">-Investimentos!AJ28</f>
        <v>-0</v>
      </c>
      <c r="AK9" s="68" t="n">
        <f aca="false">-Investimentos!AK28</f>
        <v>-0</v>
      </c>
      <c r="AL9" s="68" t="n">
        <f aca="false">-Investimentos!AL28</f>
        <v>-60000</v>
      </c>
      <c r="AM9" s="68" t="n">
        <f aca="false">-Investimentos!AM28</f>
        <v>-0</v>
      </c>
      <c r="AN9" s="68" t="n">
        <f aca="false">-Investimentos!AN28</f>
        <v>-0</v>
      </c>
      <c r="AO9" s="68" t="n">
        <f aca="false">-Investimentos!AO28</f>
        <v>-0</v>
      </c>
      <c r="AP9" s="68" t="n">
        <f aca="false">-Investimentos!AP28</f>
        <v>-0</v>
      </c>
      <c r="AQ9" s="68" t="n">
        <f aca="false">-Investimentos!AQ28</f>
        <v>-0</v>
      </c>
      <c r="AR9" s="68" t="n">
        <f aca="false">-Investimentos!AR28</f>
        <v>-0</v>
      </c>
      <c r="AS9" s="68" t="n">
        <f aca="false">-Investimentos!AS28</f>
        <v>-0</v>
      </c>
      <c r="AT9" s="68" t="n">
        <f aca="false">-Investimentos!AT28</f>
        <v>-0</v>
      </c>
      <c r="AU9" s="68" t="n">
        <f aca="false">-Investimentos!AU28</f>
        <v>-0</v>
      </c>
      <c r="AV9" s="68" t="n">
        <f aca="false">-Investimentos!AV28</f>
        <v>-0</v>
      </c>
      <c r="AW9" s="68" t="n">
        <f aca="false">-Investimentos!AW28</f>
        <v>-0</v>
      </c>
      <c r="AX9" s="68" t="n">
        <f aca="false">-Investimentos!AX28</f>
        <v>-70000</v>
      </c>
      <c r="AY9" s="68" t="n">
        <f aca="false">-Investimentos!AY28</f>
        <v>-0</v>
      </c>
      <c r="AZ9" s="68" t="n">
        <f aca="false">-Investimentos!AZ28</f>
        <v>-0</v>
      </c>
      <c r="BA9" s="68" t="n">
        <f aca="false">-Investimentos!BA28</f>
        <v>-0</v>
      </c>
      <c r="BB9" s="68" t="n">
        <f aca="false">-Investimentos!BB28</f>
        <v>-0</v>
      </c>
      <c r="BC9" s="68" t="n">
        <f aca="false">-Investimentos!BC28</f>
        <v>-0</v>
      </c>
      <c r="BD9" s="68" t="n">
        <f aca="false">-Investimentos!BD28</f>
        <v>-0</v>
      </c>
      <c r="BE9" s="68" t="n">
        <f aca="false">-Investimentos!BE28</f>
        <v>-0</v>
      </c>
      <c r="BF9" s="68" t="n">
        <f aca="false">-Investimentos!BF28</f>
        <v>-0</v>
      </c>
      <c r="BG9" s="68" t="n">
        <f aca="false">-Investimentos!BG28</f>
        <v>-0</v>
      </c>
      <c r="BH9" s="68" t="n">
        <f aca="false">-Investimentos!BH28</f>
        <v>-0</v>
      </c>
      <c r="BI9" s="68" t="n">
        <f aca="false">-Investimentos!BI28</f>
        <v>-0</v>
      </c>
      <c r="BJ9" s="69" t="n">
        <f aca="false">SUM(B9:BI9)</f>
        <v>-211000</v>
      </c>
      <c r="BK9" s="70" t="n">
        <f aca="false">IFERROR(BJ9/BJ$13,0)</f>
        <v>0.622184284379854</v>
      </c>
    </row>
    <row r="10" customFormat="false" ht="15" hidden="false" customHeight="false" outlineLevel="0" collapsed="false">
      <c r="A10" s="12" t="s">
        <v>247</v>
      </c>
      <c r="B10" s="68" t="n">
        <f aca="false">-Investimentos!B29</f>
        <v>-0</v>
      </c>
      <c r="C10" s="68" t="n">
        <f aca="false">-Investimentos!C29</f>
        <v>-0</v>
      </c>
      <c r="D10" s="68" t="n">
        <f aca="false">-Investimentos!D29</f>
        <v>-0</v>
      </c>
      <c r="E10" s="68" t="n">
        <f aca="false">-Investimentos!E29</f>
        <v>-0</v>
      </c>
      <c r="F10" s="68" t="n">
        <f aca="false">-Investimentos!F29</f>
        <v>-0</v>
      </c>
      <c r="G10" s="68" t="n">
        <f aca="false">-Investimentos!G29</f>
        <v>-0</v>
      </c>
      <c r="H10" s="68" t="n">
        <f aca="false">-Investimentos!H29</f>
        <v>-0</v>
      </c>
      <c r="I10" s="68" t="n">
        <f aca="false">-Investimentos!I29</f>
        <v>-9127.82</v>
      </c>
      <c r="J10" s="68" t="n">
        <f aca="false">-Investimentos!J29</f>
        <v>-0</v>
      </c>
      <c r="K10" s="68" t="n">
        <f aca="false">-Investimentos!K29</f>
        <v>-0</v>
      </c>
      <c r="L10" s="68" t="n">
        <f aca="false">-Investimentos!L29</f>
        <v>-0</v>
      </c>
      <c r="M10" s="68" t="n">
        <f aca="false">-Investimentos!M29</f>
        <v>-0</v>
      </c>
      <c r="N10" s="68" t="n">
        <f aca="false">-Investimentos!N29</f>
        <v>-0</v>
      </c>
      <c r="O10" s="68" t="n">
        <f aca="false">-Investimentos!O29</f>
        <v>-0</v>
      </c>
      <c r="P10" s="68" t="n">
        <f aca="false">-Investimentos!P29</f>
        <v>-0</v>
      </c>
      <c r="Q10" s="68" t="n">
        <f aca="false">-Investimentos!Q29</f>
        <v>-0</v>
      </c>
      <c r="R10" s="68" t="n">
        <f aca="false">-Investimentos!R29</f>
        <v>-0</v>
      </c>
      <c r="S10" s="68" t="n">
        <f aca="false">-Investimentos!S29</f>
        <v>-6000</v>
      </c>
      <c r="T10" s="68" t="n">
        <f aca="false">-Investimentos!T29</f>
        <v>-0</v>
      </c>
      <c r="U10" s="68" t="n">
        <f aca="false">-Investimentos!U29</f>
        <v>-0</v>
      </c>
      <c r="V10" s="68" t="n">
        <f aca="false">-Investimentos!V29</f>
        <v>-0</v>
      </c>
      <c r="W10" s="68" t="n">
        <f aca="false">-Investimentos!W29</f>
        <v>-0</v>
      </c>
      <c r="X10" s="68" t="n">
        <f aca="false">-Investimentos!X29</f>
        <v>-0</v>
      </c>
      <c r="Y10" s="68" t="n">
        <f aca="false">-Investimentos!Y29</f>
        <v>-0</v>
      </c>
      <c r="Z10" s="68" t="n">
        <f aca="false">-Investimentos!Z29</f>
        <v>-0</v>
      </c>
      <c r="AA10" s="68" t="n">
        <f aca="false">-Investimentos!AA29</f>
        <v>-0</v>
      </c>
      <c r="AB10" s="68" t="n">
        <f aca="false">-Investimentos!AB29</f>
        <v>-0</v>
      </c>
      <c r="AC10" s="68" t="n">
        <f aca="false">-Investimentos!AC29</f>
        <v>-0</v>
      </c>
      <c r="AD10" s="68" t="n">
        <f aca="false">-Investimentos!AD29</f>
        <v>-0</v>
      </c>
      <c r="AE10" s="68" t="n">
        <f aca="false">-Investimentos!AE29</f>
        <v>-15000</v>
      </c>
      <c r="AF10" s="68" t="n">
        <f aca="false">-Investimentos!AF29</f>
        <v>-0</v>
      </c>
      <c r="AG10" s="68" t="n">
        <f aca="false">-Investimentos!AG29</f>
        <v>-0</v>
      </c>
      <c r="AH10" s="68" t="n">
        <f aca="false">-Investimentos!AH29</f>
        <v>-0</v>
      </c>
      <c r="AI10" s="68" t="n">
        <f aca="false">-Investimentos!AI29</f>
        <v>-0</v>
      </c>
      <c r="AJ10" s="68" t="n">
        <f aca="false">-Investimentos!AJ29</f>
        <v>-0</v>
      </c>
      <c r="AK10" s="68" t="n">
        <f aca="false">-Investimentos!AK29</f>
        <v>-0</v>
      </c>
      <c r="AL10" s="68" t="n">
        <f aca="false">-Investimentos!AL29</f>
        <v>-0</v>
      </c>
      <c r="AM10" s="68" t="n">
        <f aca="false">-Investimentos!AM29</f>
        <v>-0</v>
      </c>
      <c r="AN10" s="68" t="n">
        <f aca="false">-Investimentos!AN29</f>
        <v>-0</v>
      </c>
      <c r="AO10" s="68" t="n">
        <f aca="false">-Investimentos!AO29</f>
        <v>-0</v>
      </c>
      <c r="AP10" s="68" t="n">
        <f aca="false">-Investimentos!AP29</f>
        <v>-0</v>
      </c>
      <c r="AQ10" s="68" t="n">
        <f aca="false">-Investimentos!AQ29</f>
        <v>-25000</v>
      </c>
      <c r="AR10" s="68" t="n">
        <f aca="false">-Investimentos!AR29</f>
        <v>-0</v>
      </c>
      <c r="AS10" s="68" t="n">
        <f aca="false">-Investimentos!AS29</f>
        <v>-0</v>
      </c>
      <c r="AT10" s="68" t="n">
        <f aca="false">-Investimentos!AT29</f>
        <v>-0</v>
      </c>
      <c r="AU10" s="68" t="n">
        <f aca="false">-Investimentos!AU29</f>
        <v>-0</v>
      </c>
      <c r="AV10" s="68" t="n">
        <f aca="false">-Investimentos!AV29</f>
        <v>-0</v>
      </c>
      <c r="AW10" s="68" t="n">
        <f aca="false">-Investimentos!AW29</f>
        <v>-0</v>
      </c>
      <c r="AX10" s="68" t="n">
        <f aca="false">-Investimentos!AX29</f>
        <v>-0</v>
      </c>
      <c r="AY10" s="68" t="n">
        <f aca="false">-Investimentos!AY29</f>
        <v>-0</v>
      </c>
      <c r="AZ10" s="68" t="n">
        <f aca="false">-Investimentos!AZ29</f>
        <v>-0</v>
      </c>
      <c r="BA10" s="68" t="n">
        <f aca="false">-Investimentos!BA29</f>
        <v>-0</v>
      </c>
      <c r="BB10" s="68" t="n">
        <f aca="false">-Investimentos!BB29</f>
        <v>-0</v>
      </c>
      <c r="BC10" s="68" t="n">
        <f aca="false">-Investimentos!BC29</f>
        <v>-30000</v>
      </c>
      <c r="BD10" s="68" t="n">
        <f aca="false">-Investimentos!BD29</f>
        <v>-0</v>
      </c>
      <c r="BE10" s="68" t="n">
        <f aca="false">-Investimentos!BE29</f>
        <v>-0</v>
      </c>
      <c r="BF10" s="68" t="n">
        <f aca="false">-Investimentos!BF29</f>
        <v>-0</v>
      </c>
      <c r="BG10" s="68" t="n">
        <f aca="false">-Investimentos!BG29</f>
        <v>-0</v>
      </c>
      <c r="BH10" s="68" t="n">
        <f aca="false">-Investimentos!BH29</f>
        <v>-0</v>
      </c>
      <c r="BI10" s="68" t="n">
        <f aca="false">-Investimentos!BI29</f>
        <v>-0</v>
      </c>
      <c r="BJ10" s="69" t="n">
        <f aca="false">SUM(B10:BI10)</f>
        <v>-85127.82</v>
      </c>
      <c r="BK10" s="70" t="n">
        <f aca="false">IFERROR(BJ10/BJ$13,0)</f>
        <v>0.251019866196763</v>
      </c>
    </row>
    <row r="11" customFormat="false" ht="15" hidden="false" customHeight="false" outlineLevel="0" collapsed="false">
      <c r="A11" s="12" t="s">
        <v>248</v>
      </c>
      <c r="B11" s="68" t="n">
        <f aca="false">-Investimentos!B30</f>
        <v>-0</v>
      </c>
      <c r="C11" s="68" t="n">
        <f aca="false">-Investimentos!C30</f>
        <v>-0</v>
      </c>
      <c r="D11" s="68" t="n">
        <f aca="false">-Investimentos!D30</f>
        <v>-0</v>
      </c>
      <c r="E11" s="68" t="n">
        <f aca="false">-Investimentos!E30</f>
        <v>-0</v>
      </c>
      <c r="F11" s="68" t="n">
        <f aca="false">-Investimentos!F30</f>
        <v>-6000</v>
      </c>
      <c r="G11" s="68" t="n">
        <f aca="false">-Investimentos!G30</f>
        <v>-0</v>
      </c>
      <c r="H11" s="68" t="n">
        <f aca="false">-Investimentos!H30</f>
        <v>-0</v>
      </c>
      <c r="I11" s="68" t="n">
        <f aca="false">-Investimentos!I30</f>
        <v>-0</v>
      </c>
      <c r="J11" s="68" t="n">
        <f aca="false">-Investimentos!J30</f>
        <v>-0</v>
      </c>
      <c r="K11" s="68" t="n">
        <f aca="false">-Investimentos!K30</f>
        <v>-0</v>
      </c>
      <c r="L11" s="68" t="n">
        <f aca="false">-Investimentos!L30</f>
        <v>-0</v>
      </c>
      <c r="M11" s="68" t="n">
        <f aca="false">-Investimentos!M30</f>
        <v>-0</v>
      </c>
      <c r="N11" s="68" t="n">
        <f aca="false">-Investimentos!N30</f>
        <v>-0</v>
      </c>
      <c r="O11" s="68" t="n">
        <f aca="false">-Investimentos!O30</f>
        <v>-0</v>
      </c>
      <c r="P11" s="68" t="n">
        <f aca="false">-Investimentos!P30</f>
        <v>-0</v>
      </c>
      <c r="Q11" s="68" t="n">
        <f aca="false">-Investimentos!Q30</f>
        <v>-0</v>
      </c>
      <c r="R11" s="68" t="n">
        <f aca="false">-Investimentos!R30</f>
        <v>-0</v>
      </c>
      <c r="S11" s="68" t="n">
        <f aca="false">-Investimentos!S30</f>
        <v>-0</v>
      </c>
      <c r="T11" s="68" t="n">
        <f aca="false">-Investimentos!T30</f>
        <v>-0</v>
      </c>
      <c r="U11" s="68" t="n">
        <f aca="false">-Investimentos!U30</f>
        <v>-0</v>
      </c>
      <c r="V11" s="68" t="n">
        <f aca="false">-Investimentos!V30</f>
        <v>-0</v>
      </c>
      <c r="W11" s="68" t="n">
        <f aca="false">-Investimentos!W30</f>
        <v>-0</v>
      </c>
      <c r="X11" s="68" t="n">
        <f aca="false">-Investimentos!X30</f>
        <v>-0</v>
      </c>
      <c r="Y11" s="68" t="n">
        <f aca="false">-Investimentos!Y30</f>
        <v>-0</v>
      </c>
      <c r="Z11" s="68" t="n">
        <f aca="false">-Investimentos!Z30</f>
        <v>-0</v>
      </c>
      <c r="AA11" s="68" t="n">
        <f aca="false">-Investimentos!AA30</f>
        <v>-0</v>
      </c>
      <c r="AB11" s="68" t="n">
        <f aca="false">-Investimentos!AB30</f>
        <v>-0</v>
      </c>
      <c r="AC11" s="68" t="n">
        <f aca="false">-Investimentos!AC30</f>
        <v>-0</v>
      </c>
      <c r="AD11" s="68" t="n">
        <f aca="false">-Investimentos!AD30</f>
        <v>-0</v>
      </c>
      <c r="AE11" s="68" t="n">
        <f aca="false">-Investimentos!AE30</f>
        <v>-0</v>
      </c>
      <c r="AF11" s="68" t="n">
        <f aca="false">-Investimentos!AF30</f>
        <v>-0</v>
      </c>
      <c r="AG11" s="68" t="n">
        <f aca="false">-Investimentos!AG30</f>
        <v>-0</v>
      </c>
      <c r="AH11" s="68" t="n">
        <f aca="false">-Investimentos!AH30</f>
        <v>-0</v>
      </c>
      <c r="AI11" s="68" t="n">
        <f aca="false">-Investimentos!AI30</f>
        <v>-0</v>
      </c>
      <c r="AJ11" s="68" t="n">
        <f aca="false">-Investimentos!AJ30</f>
        <v>-0</v>
      </c>
      <c r="AK11" s="68" t="n">
        <f aca="false">-Investimentos!AK30</f>
        <v>-0</v>
      </c>
      <c r="AL11" s="68" t="n">
        <f aca="false">-Investimentos!AL30</f>
        <v>-0</v>
      </c>
      <c r="AM11" s="68" t="n">
        <f aca="false">-Investimentos!AM30</f>
        <v>-0</v>
      </c>
      <c r="AN11" s="68" t="n">
        <f aca="false">-Investimentos!AN30</f>
        <v>-0</v>
      </c>
      <c r="AO11" s="68" t="n">
        <f aca="false">-Investimentos!AO30</f>
        <v>-0</v>
      </c>
      <c r="AP11" s="68" t="n">
        <f aca="false">-Investimentos!AP30</f>
        <v>-0</v>
      </c>
      <c r="AQ11" s="68" t="n">
        <f aca="false">-Investimentos!AQ30</f>
        <v>-0</v>
      </c>
      <c r="AR11" s="68" t="n">
        <f aca="false">-Investimentos!AR30</f>
        <v>-0</v>
      </c>
      <c r="AS11" s="68" t="n">
        <f aca="false">-Investimentos!AS30</f>
        <v>-0</v>
      </c>
      <c r="AT11" s="68" t="n">
        <f aca="false">-Investimentos!AT30</f>
        <v>-0</v>
      </c>
      <c r="AU11" s="68" t="n">
        <f aca="false">-Investimentos!AU30</f>
        <v>-0</v>
      </c>
      <c r="AV11" s="68" t="n">
        <f aca="false">-Investimentos!AV30</f>
        <v>-0</v>
      </c>
      <c r="AW11" s="68" t="n">
        <f aca="false">-Investimentos!AW30</f>
        <v>-0</v>
      </c>
      <c r="AX11" s="68" t="n">
        <f aca="false">-Investimentos!AX30</f>
        <v>-0</v>
      </c>
      <c r="AY11" s="68" t="n">
        <f aca="false">-Investimentos!AY30</f>
        <v>-0</v>
      </c>
      <c r="AZ11" s="68" t="n">
        <f aca="false">-Investimentos!AZ30</f>
        <v>-0</v>
      </c>
      <c r="BA11" s="68" t="n">
        <f aca="false">-Investimentos!BA30</f>
        <v>-0</v>
      </c>
      <c r="BB11" s="68" t="n">
        <f aca="false">-Investimentos!BB30</f>
        <v>-0</v>
      </c>
      <c r="BC11" s="68" t="n">
        <f aca="false">-Investimentos!BC30</f>
        <v>-0</v>
      </c>
      <c r="BD11" s="68" t="n">
        <f aca="false">-Investimentos!BD30</f>
        <v>-0</v>
      </c>
      <c r="BE11" s="68" t="n">
        <f aca="false">-Investimentos!BE30</f>
        <v>-0</v>
      </c>
      <c r="BF11" s="68" t="n">
        <f aca="false">-Investimentos!BF30</f>
        <v>-0</v>
      </c>
      <c r="BG11" s="68" t="n">
        <f aca="false">-Investimentos!BG30</f>
        <v>-0</v>
      </c>
      <c r="BH11" s="68" t="n">
        <f aca="false">-Investimentos!BH30</f>
        <v>-0</v>
      </c>
      <c r="BI11" s="68" t="n">
        <f aca="false">-Investimentos!BI30</f>
        <v>-0</v>
      </c>
      <c r="BJ11" s="69" t="n">
        <f aca="false">SUM(B11:BI11)</f>
        <v>-6000</v>
      </c>
      <c r="BK11" s="70" t="n">
        <f aca="false">IFERROR(BJ11/BJ$13,0)</f>
        <v>0.0176924441055883</v>
      </c>
    </row>
    <row r="12" customFormat="false" ht="15" hidden="false" customHeight="false" outlineLevel="0" collapsed="false">
      <c r="A12" s="12" t="s">
        <v>249</v>
      </c>
      <c r="B12" s="68" t="n">
        <f aca="false">-Investimentos!B31</f>
        <v>-0</v>
      </c>
      <c r="C12" s="68" t="n">
        <f aca="false">-Investimentos!C31</f>
        <v>-0</v>
      </c>
      <c r="D12" s="68" t="n">
        <f aca="false">-Investimentos!D31</f>
        <v>-0</v>
      </c>
      <c r="E12" s="68" t="n">
        <f aca="false">-Investimentos!E31</f>
        <v>-0</v>
      </c>
      <c r="F12" s="68" t="n">
        <f aca="false">-Investimentos!F31</f>
        <v>-0</v>
      </c>
      <c r="G12" s="68" t="n">
        <f aca="false">-Investimentos!G31</f>
        <v>-0</v>
      </c>
      <c r="H12" s="68" t="n">
        <f aca="false">-Investimentos!H31</f>
        <v>-0</v>
      </c>
      <c r="I12" s="68" t="n">
        <f aca="false">-Investimentos!I31</f>
        <v>-0</v>
      </c>
      <c r="J12" s="68" t="n">
        <f aca="false">-Investimentos!J31</f>
        <v>-0</v>
      </c>
      <c r="K12" s="68" t="n">
        <f aca="false">-Investimentos!K31</f>
        <v>-0</v>
      </c>
      <c r="L12" s="68" t="n">
        <f aca="false">-Investimentos!L31</f>
        <v>-0</v>
      </c>
      <c r="M12" s="68" t="n">
        <f aca="false">-Investimentos!M31</f>
        <v>-0</v>
      </c>
      <c r="N12" s="68" t="n">
        <f aca="false">-Investimentos!N31</f>
        <v>-0</v>
      </c>
      <c r="O12" s="68" t="n">
        <f aca="false">-Investimentos!O31</f>
        <v>-0</v>
      </c>
      <c r="P12" s="68" t="n">
        <f aca="false">-Investimentos!P31</f>
        <v>-12000</v>
      </c>
      <c r="Q12" s="68" t="n">
        <f aca="false">-Investimentos!Q31</f>
        <v>-0</v>
      </c>
      <c r="R12" s="68" t="n">
        <f aca="false">-Investimentos!R31</f>
        <v>-0</v>
      </c>
      <c r="S12" s="68" t="n">
        <f aca="false">-Investimentos!S31</f>
        <v>-0</v>
      </c>
      <c r="T12" s="68" t="n">
        <f aca="false">-Investimentos!T31</f>
        <v>-25000</v>
      </c>
      <c r="U12" s="68" t="n">
        <f aca="false">-Investimentos!U31</f>
        <v>-0</v>
      </c>
      <c r="V12" s="68" t="n">
        <f aca="false">-Investimentos!V31</f>
        <v>-0</v>
      </c>
      <c r="W12" s="68" t="n">
        <f aca="false">-Investimentos!W31</f>
        <v>-0</v>
      </c>
      <c r="X12" s="68" t="n">
        <f aca="false">-Investimentos!X31</f>
        <v>-0</v>
      </c>
      <c r="Y12" s="68" t="n">
        <f aca="false">-Investimentos!Y31</f>
        <v>-0</v>
      </c>
      <c r="Z12" s="68" t="n">
        <f aca="false">-Investimentos!Z31</f>
        <v>-0</v>
      </c>
      <c r="AA12" s="68" t="n">
        <f aca="false">-Investimentos!AA31</f>
        <v>-0</v>
      </c>
      <c r="AB12" s="68" t="n">
        <f aca="false">-Investimentos!AB31</f>
        <v>-0</v>
      </c>
      <c r="AC12" s="68" t="n">
        <f aca="false">-Investimentos!AC31</f>
        <v>-0</v>
      </c>
      <c r="AD12" s="68" t="n">
        <f aca="false">-Investimentos!AD31</f>
        <v>-0</v>
      </c>
      <c r="AE12" s="68" t="n">
        <f aca="false">-Investimentos!AE31</f>
        <v>-0</v>
      </c>
      <c r="AF12" s="68" t="n">
        <f aca="false">-Investimentos!AF31</f>
        <v>-0</v>
      </c>
      <c r="AG12" s="68" t="n">
        <f aca="false">-Investimentos!AG31</f>
        <v>-0</v>
      </c>
      <c r="AH12" s="68" t="n">
        <f aca="false">-Investimentos!AH31</f>
        <v>-0</v>
      </c>
      <c r="AI12" s="68" t="n">
        <f aca="false">-Investimentos!AI31</f>
        <v>-0</v>
      </c>
      <c r="AJ12" s="68" t="n">
        <f aca="false">-Investimentos!AJ31</f>
        <v>-0</v>
      </c>
      <c r="AK12" s="68" t="n">
        <f aca="false">-Investimentos!AK31</f>
        <v>-0</v>
      </c>
      <c r="AL12" s="68" t="n">
        <f aca="false">-Investimentos!AL31</f>
        <v>-0</v>
      </c>
      <c r="AM12" s="68" t="n">
        <f aca="false">-Investimentos!AM31</f>
        <v>-0</v>
      </c>
      <c r="AN12" s="68" t="n">
        <f aca="false">-Investimentos!AN31</f>
        <v>-0</v>
      </c>
      <c r="AO12" s="68" t="n">
        <f aca="false">-Investimentos!AO31</f>
        <v>-0</v>
      </c>
      <c r="AP12" s="68" t="n">
        <f aca="false">-Investimentos!AP31</f>
        <v>-0</v>
      </c>
      <c r="AQ12" s="68" t="n">
        <f aca="false">-Investimentos!AQ31</f>
        <v>-0</v>
      </c>
      <c r="AR12" s="68" t="n">
        <f aca="false">-Investimentos!AR31</f>
        <v>-0</v>
      </c>
      <c r="AS12" s="68" t="n">
        <f aca="false">-Investimentos!AS31</f>
        <v>-0</v>
      </c>
      <c r="AT12" s="68" t="n">
        <f aca="false">-Investimentos!AT31</f>
        <v>-0</v>
      </c>
      <c r="AU12" s="68" t="n">
        <f aca="false">-Investimentos!AU31</f>
        <v>-0</v>
      </c>
      <c r="AV12" s="68" t="n">
        <f aca="false">-Investimentos!AV31</f>
        <v>-0</v>
      </c>
      <c r="AW12" s="68" t="n">
        <f aca="false">-Investimentos!AW31</f>
        <v>-0</v>
      </c>
      <c r="AX12" s="68" t="n">
        <f aca="false">-Investimentos!AX31</f>
        <v>-0</v>
      </c>
      <c r="AY12" s="68" t="n">
        <f aca="false">-Investimentos!AY31</f>
        <v>-0</v>
      </c>
      <c r="AZ12" s="68" t="n">
        <f aca="false">-Investimentos!AZ31</f>
        <v>-0</v>
      </c>
      <c r="BA12" s="68" t="n">
        <f aca="false">-Investimentos!BA31</f>
        <v>-0</v>
      </c>
      <c r="BB12" s="68" t="n">
        <f aca="false">-Investimentos!BB31</f>
        <v>-0</v>
      </c>
      <c r="BC12" s="68" t="n">
        <f aca="false">-Investimentos!BC31</f>
        <v>-0</v>
      </c>
      <c r="BD12" s="68" t="n">
        <f aca="false">-Investimentos!BD31</f>
        <v>-0</v>
      </c>
      <c r="BE12" s="68" t="n">
        <f aca="false">-Investimentos!BE31</f>
        <v>-0</v>
      </c>
      <c r="BF12" s="68" t="n">
        <f aca="false">-Investimentos!BF31</f>
        <v>-0</v>
      </c>
      <c r="BG12" s="68" t="n">
        <f aca="false">-Investimentos!BG31</f>
        <v>-0</v>
      </c>
      <c r="BH12" s="68" t="n">
        <f aca="false">-Investimentos!BH31</f>
        <v>-0</v>
      </c>
      <c r="BI12" s="68" t="n">
        <f aca="false">-Investimentos!BI31</f>
        <v>-0</v>
      </c>
      <c r="BJ12" s="69" t="n">
        <f aca="false">SUM(B12:BI12)</f>
        <v>-37000</v>
      </c>
      <c r="BK12" s="70" t="n">
        <f aca="false">IFERROR(BJ12/BJ$13,0)</f>
        <v>0.109103405317794</v>
      </c>
    </row>
    <row r="13" customFormat="false" ht="15" hidden="false" customHeight="false" outlineLevel="0" collapsed="false">
      <c r="A13" s="34" t="s">
        <v>250</v>
      </c>
      <c r="B13" s="69" t="n">
        <f aca="false">SUM(B9:B12)</f>
        <v>0</v>
      </c>
      <c r="C13" s="69" t="n">
        <f aca="false">SUM(C9:C12)</f>
        <v>0</v>
      </c>
      <c r="D13" s="69" t="n">
        <f aca="false">SUM(D9:D12)</f>
        <v>0</v>
      </c>
      <c r="E13" s="69" t="n">
        <f aca="false">SUM(E9:E12)</f>
        <v>0</v>
      </c>
      <c r="F13" s="69" t="n">
        <f aca="false">SUM(F9:F12)</f>
        <v>-6000</v>
      </c>
      <c r="G13" s="69" t="n">
        <f aca="false">SUM(G9:G12)</f>
        <v>0</v>
      </c>
      <c r="H13" s="69" t="n">
        <f aca="false">SUM(H9:H12)</f>
        <v>0</v>
      </c>
      <c r="I13" s="69" t="n">
        <f aca="false">SUM(I9:I12)</f>
        <v>-16127.82</v>
      </c>
      <c r="J13" s="69" t="n">
        <f aca="false">SUM(J9:J12)</f>
        <v>-7000</v>
      </c>
      <c r="K13" s="69" t="n">
        <f aca="false">SUM(K9:K12)</f>
        <v>-7000</v>
      </c>
      <c r="L13" s="69" t="n">
        <f aca="false">SUM(L9:L12)</f>
        <v>0</v>
      </c>
      <c r="M13" s="69" t="n">
        <f aca="false">SUM(M9:M12)</f>
        <v>0</v>
      </c>
      <c r="N13" s="69" t="n">
        <f aca="false">SUM(N9:N12)</f>
        <v>-15000</v>
      </c>
      <c r="O13" s="69" t="n">
        <f aca="false">SUM(O9:O12)</f>
        <v>0</v>
      </c>
      <c r="P13" s="69" t="n">
        <f aca="false">SUM(P9:P12)</f>
        <v>-12000</v>
      </c>
      <c r="Q13" s="69" t="n">
        <f aca="false">SUM(Q9:Q12)</f>
        <v>0</v>
      </c>
      <c r="R13" s="69" t="n">
        <f aca="false">SUM(R9:R12)</f>
        <v>0</v>
      </c>
      <c r="S13" s="69" t="n">
        <f aca="false">SUM(S9:S12)</f>
        <v>-6000</v>
      </c>
      <c r="T13" s="69" t="n">
        <f aca="false">SUM(T9:T12)</f>
        <v>-25000</v>
      </c>
      <c r="U13" s="69" t="n">
        <f aca="false">SUM(U9:U12)</f>
        <v>0</v>
      </c>
      <c r="V13" s="69" t="n">
        <f aca="false">SUM(V9:V12)</f>
        <v>0</v>
      </c>
      <c r="W13" s="69" t="n">
        <f aca="false">SUM(W9:W12)</f>
        <v>0</v>
      </c>
      <c r="X13" s="69" t="n">
        <f aca="false">SUM(X9:X12)</f>
        <v>0</v>
      </c>
      <c r="Y13" s="69" t="n">
        <f aca="false">SUM(Y9:Y12)</f>
        <v>0</v>
      </c>
      <c r="Z13" s="69" t="n">
        <f aca="false">SUM(Z9:Z12)</f>
        <v>-45000</v>
      </c>
      <c r="AA13" s="69" t="n">
        <f aca="false">SUM(AA9:AA12)</f>
        <v>0</v>
      </c>
      <c r="AB13" s="69" t="n">
        <f aca="false">SUM(AB9:AB12)</f>
        <v>0</v>
      </c>
      <c r="AC13" s="69" t="n">
        <f aca="false">SUM(AC9:AC12)</f>
        <v>0</v>
      </c>
      <c r="AD13" s="69" t="n">
        <f aca="false">SUM(AD9:AD12)</f>
        <v>0</v>
      </c>
      <c r="AE13" s="69" t="n">
        <f aca="false">SUM(AE9:AE12)</f>
        <v>-15000</v>
      </c>
      <c r="AF13" s="69" t="n">
        <f aca="false">SUM(AF9:AF12)</f>
        <v>0</v>
      </c>
      <c r="AG13" s="69" t="n">
        <f aca="false">SUM(AG9:AG12)</f>
        <v>0</v>
      </c>
      <c r="AH13" s="69" t="n">
        <f aca="false">SUM(AH9:AH12)</f>
        <v>0</v>
      </c>
      <c r="AI13" s="69" t="n">
        <f aca="false">SUM(AI9:AI12)</f>
        <v>0</v>
      </c>
      <c r="AJ13" s="69" t="n">
        <f aca="false">SUM(AJ9:AJ12)</f>
        <v>0</v>
      </c>
      <c r="AK13" s="69" t="n">
        <f aca="false">SUM(AK9:AK12)</f>
        <v>0</v>
      </c>
      <c r="AL13" s="69" t="n">
        <f aca="false">SUM(AL9:AL12)</f>
        <v>-60000</v>
      </c>
      <c r="AM13" s="69" t="n">
        <f aca="false">SUM(AM9:AM12)</f>
        <v>0</v>
      </c>
      <c r="AN13" s="69" t="n">
        <f aca="false">SUM(AN9:AN12)</f>
        <v>0</v>
      </c>
      <c r="AO13" s="69" t="n">
        <f aca="false">SUM(AO9:AO12)</f>
        <v>0</v>
      </c>
      <c r="AP13" s="69" t="n">
        <f aca="false">SUM(AP9:AP12)</f>
        <v>0</v>
      </c>
      <c r="AQ13" s="69" t="n">
        <f aca="false">SUM(AQ9:AQ12)</f>
        <v>-25000</v>
      </c>
      <c r="AR13" s="69" t="n">
        <f aca="false">SUM(AR9:AR12)</f>
        <v>0</v>
      </c>
      <c r="AS13" s="69" t="n">
        <f aca="false">SUM(AS9:AS12)</f>
        <v>0</v>
      </c>
      <c r="AT13" s="69" t="n">
        <f aca="false">SUM(AT9:AT12)</f>
        <v>0</v>
      </c>
      <c r="AU13" s="69" t="n">
        <f aca="false">SUM(AU9:AU12)</f>
        <v>0</v>
      </c>
      <c r="AV13" s="69" t="n">
        <f aca="false">SUM(AV9:AV12)</f>
        <v>0</v>
      </c>
      <c r="AW13" s="69" t="n">
        <f aca="false">SUM(AW9:AW12)</f>
        <v>0</v>
      </c>
      <c r="AX13" s="69" t="n">
        <f aca="false">SUM(AX9:AX12)</f>
        <v>-70000</v>
      </c>
      <c r="AY13" s="69" t="n">
        <f aca="false">SUM(AY9:AY12)</f>
        <v>0</v>
      </c>
      <c r="AZ13" s="69" t="n">
        <f aca="false">SUM(AZ9:AZ12)</f>
        <v>0</v>
      </c>
      <c r="BA13" s="69" t="n">
        <f aca="false">SUM(BA9:BA12)</f>
        <v>0</v>
      </c>
      <c r="BB13" s="69" t="n">
        <f aca="false">SUM(BB9:BB12)</f>
        <v>0</v>
      </c>
      <c r="BC13" s="69" t="n">
        <f aca="false">SUM(BC9:BC12)</f>
        <v>-30000</v>
      </c>
      <c r="BD13" s="69" t="n">
        <f aca="false">SUM(BD9:BD12)</f>
        <v>0</v>
      </c>
      <c r="BE13" s="69" t="n">
        <f aca="false">SUM(BE9:BE12)</f>
        <v>0</v>
      </c>
      <c r="BF13" s="69" t="n">
        <f aca="false">SUM(BF9:BF12)</f>
        <v>0</v>
      </c>
      <c r="BG13" s="69" t="n">
        <f aca="false">SUM(BG9:BG12)</f>
        <v>0</v>
      </c>
      <c r="BH13" s="69" t="n">
        <f aca="false">SUM(BH9:BH12)</f>
        <v>0</v>
      </c>
      <c r="BI13" s="69" t="n">
        <f aca="false">SUM(BI9:BI12)</f>
        <v>0</v>
      </c>
      <c r="BJ13" s="69" t="n">
        <f aca="false">SUM(B13:BI13)</f>
        <v>-339127.82</v>
      </c>
    </row>
    <row r="15" customFormat="false" ht="18" hidden="false" customHeight="true" outlineLevel="0" collapsed="false">
      <c r="A15" s="10" t="s">
        <v>251</v>
      </c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  <c r="AH15" s="11"/>
      <c r="AI15" s="11"/>
      <c r="AJ15" s="11"/>
      <c r="AK15" s="11"/>
      <c r="AL15" s="11"/>
      <c r="AM15" s="11"/>
      <c r="AN15" s="11"/>
      <c r="AO15" s="11"/>
      <c r="AP15" s="11"/>
      <c r="AQ15" s="11"/>
      <c r="AR15" s="11"/>
      <c r="AS15" s="11"/>
      <c r="AT15" s="11"/>
      <c r="AU15" s="11"/>
      <c r="AV15" s="11"/>
      <c r="AW15" s="11"/>
      <c r="AX15" s="11"/>
      <c r="AY15" s="11"/>
      <c r="AZ15" s="11"/>
      <c r="BA15" s="11"/>
      <c r="BB15" s="11"/>
      <c r="BC15" s="11"/>
      <c r="BD15" s="11"/>
      <c r="BE15" s="11"/>
      <c r="BF15" s="11"/>
      <c r="BG15" s="11"/>
      <c r="BH15" s="11"/>
      <c r="BI15" s="11"/>
      <c r="BJ15" s="11"/>
      <c r="BK15" s="11"/>
    </row>
    <row r="16" customFormat="false" ht="15" hidden="false" customHeight="false" outlineLevel="0" collapsed="false">
      <c r="A16" s="12" t="s">
        <v>252</v>
      </c>
      <c r="B16" s="84" t="n">
        <f aca="false">CHOOSE(Premissas!$B$6,Cenários!B32,Cenários!B76,Cenários!B120)</f>
        <v>-0</v>
      </c>
      <c r="C16" s="84" t="n">
        <f aca="false">CHOOSE(Premissas!$B$6,Cenários!C32,Cenários!C76,Cenários!C120)</f>
        <v>-0</v>
      </c>
      <c r="D16" s="84" t="n">
        <f aca="false">CHOOSE(Premissas!$B$6,Cenários!D32,Cenários!D76,Cenários!D120)</f>
        <v>-0</v>
      </c>
      <c r="E16" s="84" t="n">
        <f aca="false">CHOOSE(Premissas!$B$6,Cenários!E32,Cenários!E76,Cenários!E120)</f>
        <v>-0</v>
      </c>
      <c r="F16" s="84" t="n">
        <f aca="false">CHOOSE(Premissas!$B$6,Cenários!F32,Cenários!F76,Cenários!F120)</f>
        <v>-600</v>
      </c>
      <c r="G16" s="84" t="n">
        <f aca="false">CHOOSE(Premissas!$B$6,Cenários!G32,Cenários!G76,Cenários!G120)</f>
        <v>-600</v>
      </c>
      <c r="H16" s="84" t="n">
        <f aca="false">CHOOSE(Premissas!$B$6,Cenários!H32,Cenários!H76,Cenários!H120)</f>
        <v>-600</v>
      </c>
      <c r="I16" s="84" t="n">
        <f aca="false">CHOOSE(Premissas!$B$6,Cenários!I32,Cenários!I76,Cenários!I120)</f>
        <v>-600</v>
      </c>
      <c r="J16" s="84" t="n">
        <f aca="false">CHOOSE(Premissas!$B$6,Cenários!J32,Cenários!J76,Cenários!J120)</f>
        <v>-600</v>
      </c>
      <c r="K16" s="84" t="n">
        <f aca="false">CHOOSE(Premissas!$B$6,Cenários!K32,Cenários!K76,Cenários!K120)</f>
        <v>-2301.4</v>
      </c>
      <c r="L16" s="84" t="n">
        <f aca="false">CHOOSE(Premissas!$B$6,Cenários!L32,Cenários!L76,Cenários!L120)</f>
        <v>-3867.28</v>
      </c>
      <c r="M16" s="84" t="n">
        <f aca="false">CHOOSE(Premissas!$B$6,Cenários!M32,Cenários!M76,Cenários!M120)</f>
        <v>-5307.3568</v>
      </c>
      <c r="N16" s="84" t="n">
        <f aca="false">CHOOSE(Premissas!$B$6,Cenários!N32,Cenários!N76,Cenários!N120)</f>
        <v>-8863.13904</v>
      </c>
      <c r="O16" s="84" t="n">
        <f aca="false">CHOOSE(Premissas!$B$6,Cenários!O32,Cenários!O76,Cenários!O120)</f>
        <v>-10436.234362</v>
      </c>
      <c r="P16" s="84" t="n">
        <f aca="false">CHOOSE(Premissas!$B$6,Cenários!P32,Cenários!P76,Cenários!P120)</f>
        <v>-11889.58528485</v>
      </c>
      <c r="Q16" s="84" t="n">
        <f aca="false">CHOOSE(Premissas!$B$6,Cenários!Q32,Cenários!Q76,Cenários!Q120)</f>
        <v>-13234.4003884863</v>
      </c>
      <c r="R16" s="84" t="n">
        <f aca="false">CHOOSE(Premissas!$B$6,Cenários!R32,Cenários!R76,Cenários!R120)</f>
        <v>-14479.0858593498</v>
      </c>
      <c r="S16" s="84" t="n">
        <f aca="false">CHOOSE(Premissas!$B$6,Cenários!S32,Cenários!S76,Cenários!S120)</f>
        <v>-15630.5861698986</v>
      </c>
      <c r="T16" s="84" t="n">
        <f aca="false">CHOOSE(Premissas!$B$6,Cenários!T32,Cenários!T76,Cenários!T120)</f>
        <v>-16694.3939571562</v>
      </c>
      <c r="U16" s="84" t="n">
        <f aca="false">CHOOSE(Premissas!$B$6,Cenários!U32,Cenários!U76,Cenários!U120)</f>
        <v>-17678.5491603694</v>
      </c>
      <c r="V16" s="84" t="n">
        <f aca="false">CHOOSE(Premissas!$B$6,Cenários!V32,Cenários!V76,Cenários!V120)</f>
        <v>-18589.6574733417</v>
      </c>
      <c r="W16" s="84" t="n">
        <f aca="false">CHOOSE(Premissas!$B$6,Cenários!W32,Cenários!W76,Cenários!W120)</f>
        <v>-19432.8981628411</v>
      </c>
      <c r="X16" s="84" t="n">
        <f aca="false">CHOOSE(Premissas!$B$6,Cenários!X32,Cenários!X76,Cenários!X120)</f>
        <v>-20212.031300628</v>
      </c>
      <c r="Y16" s="84" t="n">
        <f aca="false">CHOOSE(Premissas!$B$6,Cenários!Y32,Cenários!Y76,Cenários!Y120)</f>
        <v>-20933.3944530809</v>
      </c>
      <c r="Z16" s="84" t="n">
        <f aca="false">CHOOSE(Premissas!$B$6,Cenários!Z32,Cenários!Z76,Cenários!Z120)</f>
        <v>-27678.5175172287</v>
      </c>
      <c r="AA16" s="84" t="n">
        <f aca="false">CHOOSE(Premissas!$B$6,Cenários!AA32,Cenários!AA76,Cenários!AA120)</f>
        <v>-30167.3533710227</v>
      </c>
      <c r="AB16" s="84" t="n">
        <f aca="false">CHOOSE(Premissas!$B$6,Cenários!AB32,Cenários!AB76,Cenários!AB120)</f>
        <v>-32481.5858350511</v>
      </c>
      <c r="AC16" s="84" t="n">
        <f aca="false">CHOOSE(Premissas!$B$6,Cenários!AC32,Cenários!AC76,Cenários!AC120)</f>
        <v>-34635.0898665976</v>
      </c>
      <c r="AD16" s="84" t="n">
        <f aca="false">CHOOSE(Premissas!$B$6,Cenários!AD32,Cenários!AD76,Cenários!AD120)</f>
        <v>-36637.0335759357</v>
      </c>
      <c r="AE16" s="84" t="n">
        <f aca="false">CHOOSE(Premissas!$B$6,Cenários!AE32,Cenários!AE76,Cenários!AE120)</f>
        <v>-38498.6827456202</v>
      </c>
      <c r="AF16" s="84" t="n">
        <f aca="false">CHOOSE(Premissas!$B$6,Cenários!AF32,Cenários!AF76,Cenários!AF120)</f>
        <v>-40230.0164734268</v>
      </c>
      <c r="AG16" s="84" t="n">
        <f aca="false">CHOOSE(Premissas!$B$6,Cenários!AG32,Cenários!AG76,Cenários!AG120)</f>
        <v>-41839.7380002869</v>
      </c>
      <c r="AH16" s="84" t="n">
        <f aca="false">CHOOSE(Premissas!$B$6,Cenários!AH32,Cenários!AH76,Cenários!AH120)</f>
        <v>-43337.5487802668</v>
      </c>
      <c r="AI16" s="84" t="n">
        <f aca="false">CHOOSE(Premissas!$B$6,Cenários!AI32,Cenários!AI76,Cenários!AI120)</f>
        <v>-44730.7618456482</v>
      </c>
      <c r="AJ16" s="84" t="n">
        <f aca="false">CHOOSE(Premissas!$B$6,Cenários!AJ32,Cenários!AJ76,Cenários!AJ120)</f>
        <v>-46025.4425164528</v>
      </c>
      <c r="AK16" s="84" t="n">
        <f aca="false">CHOOSE(Premissas!$B$6,Cenários!AK32,Cenários!AK76,Cenários!AK120)</f>
        <v>-47230.9445003011</v>
      </c>
      <c r="AL16" s="84" t="n">
        <f aca="false">CHOOSE(Premissas!$B$6,Cenários!AL32,Cenários!AL76,Cenários!AL120)</f>
        <v>-57268.2306564846</v>
      </c>
      <c r="AM16" s="84" t="n">
        <f aca="false">CHOOSE(Premissas!$B$6,Cenários!AM32,Cenários!AM76,Cenários!AM120)</f>
        <v>-60247.9741388131</v>
      </c>
      <c r="AN16" s="84" t="n">
        <f aca="false">CHOOSE(Premissas!$B$6,Cenários!AN32,Cenários!AN76,Cenários!AN120)</f>
        <v>-63033.3595697903</v>
      </c>
      <c r="AO16" s="84" t="n">
        <f aca="false">CHOOSE(Premissas!$B$6,Cenários!AO32,Cenários!AO76,Cenários!AO120)</f>
        <v>-65638.5962227539</v>
      </c>
      <c r="AP16" s="84" t="n">
        <f aca="false">CHOOSE(Premissas!$B$6,Cenários!AP32,Cenários!AP76,Cenários!AP120)</f>
        <v>-68073.7980682749</v>
      </c>
      <c r="AQ16" s="84" t="n">
        <f aca="false">CHOOSE(Premissas!$B$6,Cenários!AQ32,Cenários!AQ76,Cenários!AQ120)</f>
        <v>-70349.918868837</v>
      </c>
      <c r="AR16" s="84" t="n">
        <f aca="false">CHOOSE(Premissas!$B$6,Cenários!AR32,Cenários!AR76,Cenários!AR120)</f>
        <v>-72479.7466173626</v>
      </c>
      <c r="AS16" s="84" t="n">
        <f aca="false">CHOOSE(Premissas!$B$6,Cenários!AS32,Cenários!AS76,Cenários!AS120)</f>
        <v>-74470.0323622341</v>
      </c>
      <c r="AT16" s="84" t="n">
        <f aca="false">CHOOSE(Premissas!$B$6,Cenários!AT32,Cenários!AT76,Cenários!AT120)</f>
        <v>-76331.3484586888</v>
      </c>
      <c r="AU16" s="84" t="n">
        <f aca="false">CHOOSE(Premissas!$B$6,Cenários!AU32,Cenários!AU76,Cenários!AU120)</f>
        <v>-78071.2012838741</v>
      </c>
      <c r="AV16" s="84" t="n">
        <f aca="false">CHOOSE(Premissas!$B$6,Cenários!AV32,Cenários!AV76,Cenários!AV120)</f>
        <v>-79698.9634504223</v>
      </c>
      <c r="AW16" s="84" t="n">
        <f aca="false">CHOOSE(Premissas!$B$6,Cenários!AW32,Cenários!AW76,Cenários!AW120)</f>
        <v>-81219.9705511448</v>
      </c>
      <c r="AX16" s="84" t="n">
        <f aca="false">CHOOSE(Premissas!$B$6,Cenários!AX32,Cenários!AX76,Cenários!AX120)</f>
        <v>-95176.6223180761</v>
      </c>
      <c r="AY16" s="84" t="n">
        <f aca="false">CHOOSE(Premissas!$B$6,Cenários!AY32,Cenários!AY76,Cenários!AY120)</f>
        <v>-98575.7439789916</v>
      </c>
      <c r="AZ16" s="84" t="n">
        <f aca="false">CHOOSE(Premissas!$B$6,Cenários!AZ32,Cenários!AZ76,Cenários!AZ120)</f>
        <v>-101772.263540252</v>
      </c>
      <c r="BA16" s="84" t="n">
        <f aca="false">CHOOSE(Premissas!$B$6,Cenários!BA32,Cenários!BA76,Cenários!BA120)</f>
        <v>-104775.646727837</v>
      </c>
      <c r="BB16" s="84" t="n">
        <f aca="false">CHOOSE(Premissas!$B$6,Cenários!BB32,Cenários!BB76,Cenários!BB120)</f>
        <v>-107599.641124167</v>
      </c>
      <c r="BC16" s="84" t="n">
        <f aca="false">CHOOSE(Premissas!$B$6,Cenários!BC32,Cenários!BC76,Cenários!BC120)</f>
        <v>-110253.434756717</v>
      </c>
      <c r="BD16" s="84" t="n">
        <f aca="false">CHOOSE(Premissas!$B$6,Cenários!BD32,Cenários!BD76,Cenários!BD120)</f>
        <v>-112748.744171314</v>
      </c>
      <c r="BE16" s="84" t="n">
        <f aca="false">CHOOSE(Premissas!$B$6,Cenários!BE32,Cenários!BE76,Cenários!BE120)</f>
        <v>-115094.512021035</v>
      </c>
      <c r="BF16" s="84" t="n">
        <f aca="false">CHOOSE(Premissas!$B$6,Cenários!BF32,Cenários!BF76,Cenários!BF120)</f>
        <v>-117298.684199773</v>
      </c>
      <c r="BG16" s="84" t="n">
        <f aca="false">CHOOSE(Premissas!$B$6,Cenários!BG32,Cenários!BG76,Cenários!BG120)</f>
        <v>-119370.871547786</v>
      </c>
      <c r="BH16" s="84" t="n">
        <f aca="false">CHOOSE(Premissas!$B$6,Cenários!BH32,Cenários!BH76,Cenários!BH120)</f>
        <v>-121318.816154919</v>
      </c>
      <c r="BI16" s="84" t="n">
        <f aca="false">CHOOSE(Premissas!$B$6,Cenários!BI32,Cenários!BI76,Cenários!BI120)</f>
        <v>-123150.167285624</v>
      </c>
      <c r="BJ16" s="69" t="n">
        <f aca="false">SUM(B16:BI16)</f>
        <v>-2840060.99551501</v>
      </c>
      <c r="BK16" s="70" t="n">
        <f aca="false">IFERROR(BJ16/BJ$27,0)</f>
        <v>0.0552659649921209</v>
      </c>
    </row>
    <row r="17" customFormat="false" ht="15" hidden="false" customHeight="false" outlineLevel="0" collapsed="false">
      <c r="A17" s="12" t="s">
        <v>253</v>
      </c>
      <c r="B17" s="84" t="n">
        <f aca="false">CHOOSE(Premissas!$B$6,Cenários!B33,Cenários!B77,Cenários!B121)</f>
        <v>-0</v>
      </c>
      <c r="C17" s="84" t="n">
        <f aca="false">CHOOSE(Premissas!$B$6,Cenários!C33,Cenários!C77,Cenários!C121)</f>
        <v>-0</v>
      </c>
      <c r="D17" s="84" t="n">
        <f aca="false">CHOOSE(Premissas!$B$6,Cenários!D33,Cenários!D77,Cenários!D121)</f>
        <v>-0</v>
      </c>
      <c r="E17" s="84" t="n">
        <f aca="false">CHOOSE(Premissas!$B$6,Cenários!E33,Cenários!E77,Cenários!E121)</f>
        <v>-0</v>
      </c>
      <c r="F17" s="84" t="n">
        <f aca="false">CHOOSE(Premissas!$B$6,Cenários!F33,Cenários!F77,Cenários!F121)</f>
        <v>-0</v>
      </c>
      <c r="G17" s="84" t="n">
        <f aca="false">CHOOSE(Premissas!$B$6,Cenários!G33,Cenários!G77,Cenários!G121)</f>
        <v>-0</v>
      </c>
      <c r="H17" s="84" t="n">
        <f aca="false">CHOOSE(Premissas!$B$6,Cenários!H33,Cenários!H77,Cenários!H121)</f>
        <v>-0</v>
      </c>
      <c r="I17" s="84" t="n">
        <f aca="false">CHOOSE(Premissas!$B$6,Cenários!I33,Cenários!I77,Cenários!I121)</f>
        <v>-0</v>
      </c>
      <c r="J17" s="84" t="n">
        <f aca="false">CHOOSE(Premissas!$B$6,Cenários!J33,Cenários!J77,Cenários!J121)</f>
        <v>-0</v>
      </c>
      <c r="K17" s="84" t="n">
        <f aca="false">CHOOSE(Premissas!$B$6,Cenários!K33,Cenários!K77,Cenários!K121)</f>
        <v>-316.75</v>
      </c>
      <c r="L17" s="84" t="n">
        <f aca="false">CHOOSE(Premissas!$B$6,Cenários!L33,Cenários!L77,Cenários!L121)</f>
        <v>-608.3</v>
      </c>
      <c r="M17" s="84" t="n">
        <f aca="false">CHOOSE(Premissas!$B$6,Cenários!M33,Cenários!M77,Cenários!M121)</f>
        <v>-876.4</v>
      </c>
      <c r="N17" s="84" t="n">
        <f aca="false">CHOOSE(Premissas!$B$6,Cenários!N33,Cenários!N77,Cenários!N121)</f>
        <v>-4314.95</v>
      </c>
      <c r="O17" s="84" t="n">
        <f aca="false">CHOOSE(Premissas!$B$6,Cenários!O33,Cenários!O77,Cenários!O121)</f>
        <v>-4640.1</v>
      </c>
      <c r="P17" s="84" t="n">
        <f aca="false">CHOOSE(Premissas!$B$6,Cenários!P33,Cenários!P77,Cenários!P121)</f>
        <v>-4940.4</v>
      </c>
      <c r="Q17" s="84" t="n">
        <f aca="false">CHOOSE(Premissas!$B$6,Cenários!Q33,Cenários!Q77,Cenários!Q121)</f>
        <v>-5218.3</v>
      </c>
      <c r="R17" s="84" t="n">
        <f aca="false">CHOOSE(Premissas!$B$6,Cenários!R33,Cenários!R77,Cenários!R121)</f>
        <v>-5475.55</v>
      </c>
      <c r="S17" s="84" t="n">
        <f aca="false">CHOOSE(Premissas!$B$6,Cenários!S33,Cenários!S77,Cenários!S121)</f>
        <v>-5713.55</v>
      </c>
      <c r="T17" s="84" t="n">
        <f aca="false">CHOOSE(Premissas!$B$6,Cenários!T33,Cenários!T77,Cenários!T121)</f>
        <v>-5933.35</v>
      </c>
      <c r="U17" s="84" t="n">
        <f aca="false">CHOOSE(Premissas!$B$6,Cenários!U33,Cenários!U77,Cenários!U121)</f>
        <v>-6136.7</v>
      </c>
      <c r="V17" s="84" t="n">
        <f aca="false">CHOOSE(Premissas!$B$6,Cenários!V33,Cenários!V77,Cenários!V121)</f>
        <v>-6325</v>
      </c>
      <c r="W17" s="84" t="n">
        <f aca="false">CHOOSE(Premissas!$B$6,Cenários!W33,Cenários!W77,Cenários!W121)</f>
        <v>-6499.3</v>
      </c>
      <c r="X17" s="84" t="n">
        <f aca="false">CHOOSE(Premissas!$B$6,Cenários!X33,Cenários!X77,Cenários!X121)</f>
        <v>-6660.3</v>
      </c>
      <c r="Y17" s="84" t="n">
        <f aca="false">CHOOSE(Premissas!$B$6,Cenários!Y33,Cenários!Y77,Cenários!Y121)</f>
        <v>-6809.4</v>
      </c>
      <c r="Z17" s="84" t="n">
        <f aca="false">CHOOSE(Premissas!$B$6,Cenários!Z33,Cenários!Z77,Cenários!Z121)</f>
        <v>-19122.6</v>
      </c>
      <c r="AA17" s="84" t="n">
        <f aca="false">CHOOSE(Premissas!$B$6,Cenários!AA33,Cenários!AA77,Cenários!AA121)</f>
        <v>-19644</v>
      </c>
      <c r="AB17" s="84" t="n">
        <f aca="false">CHOOSE(Premissas!$B$6,Cenários!AB33,Cenários!AB77,Cenários!AB121)</f>
        <v>-20128.8</v>
      </c>
      <c r="AC17" s="84" t="n">
        <f aca="false">CHOOSE(Premissas!$B$6,Cenários!AC33,Cenários!AC77,Cenários!AC121)</f>
        <v>-20580</v>
      </c>
      <c r="AD17" s="84" t="n">
        <f aca="false">CHOOSE(Premissas!$B$6,Cenários!AD33,Cenários!AD77,Cenários!AD121)</f>
        <v>-20999.4</v>
      </c>
      <c r="AE17" s="84" t="n">
        <f aca="false">CHOOSE(Premissas!$B$6,Cenários!AE33,Cenários!AE77,Cenários!AE121)</f>
        <v>-21389.4</v>
      </c>
      <c r="AF17" s="84" t="n">
        <f aca="false">CHOOSE(Premissas!$B$6,Cenários!AF33,Cenários!AF77,Cenários!AF121)</f>
        <v>-21752.1</v>
      </c>
      <c r="AG17" s="84" t="n">
        <f aca="false">CHOOSE(Premissas!$B$6,Cenários!AG33,Cenários!AG77,Cenários!AG121)</f>
        <v>-22089.3</v>
      </c>
      <c r="AH17" s="84" t="n">
        <f aca="false">CHOOSE(Premissas!$B$6,Cenários!AH33,Cenários!AH77,Cenários!AH121)</f>
        <v>-22403.1</v>
      </c>
      <c r="AI17" s="84" t="n">
        <f aca="false">CHOOSE(Premissas!$B$6,Cenários!AI33,Cenários!AI77,Cenários!AI121)</f>
        <v>-22695</v>
      </c>
      <c r="AJ17" s="84" t="n">
        <f aca="false">CHOOSE(Premissas!$B$6,Cenários!AJ33,Cenários!AJ77,Cenários!AJ121)</f>
        <v>-22966.2</v>
      </c>
      <c r="AK17" s="84" t="n">
        <f aca="false">CHOOSE(Premissas!$B$6,Cenários!AK33,Cenários!AK77,Cenários!AK121)</f>
        <v>-23218.8</v>
      </c>
      <c r="AL17" s="84" t="n">
        <f aca="false">CHOOSE(Premissas!$B$6,Cenários!AL33,Cenários!AL77,Cenários!AL121)</f>
        <v>-54043.72</v>
      </c>
      <c r="AM17" s="84" t="n">
        <f aca="false">CHOOSE(Premissas!$B$6,Cenários!AM33,Cenários!AM77,Cenários!AM121)</f>
        <v>-54730</v>
      </c>
      <c r="AN17" s="84" t="n">
        <f aca="false">CHOOSE(Premissas!$B$6,Cenários!AN33,Cenários!AN77,Cenários!AN121)</f>
        <v>-55371.48</v>
      </c>
      <c r="AO17" s="84" t="n">
        <f aca="false">CHOOSE(Premissas!$B$6,Cenários!AO33,Cenários!AO77,Cenários!AO121)</f>
        <v>-55971.52</v>
      </c>
      <c r="AP17" s="84" t="n">
        <f aca="false">CHOOSE(Premissas!$B$6,Cenários!AP33,Cenários!AP77,Cenários!AP121)</f>
        <v>-56532.36</v>
      </c>
      <c r="AQ17" s="84" t="n">
        <f aca="false">CHOOSE(Premissas!$B$6,Cenários!AQ33,Cenários!AQ77,Cenários!AQ121)</f>
        <v>-57056.52</v>
      </c>
      <c r="AR17" s="84" t="n">
        <f aca="false">CHOOSE(Premissas!$B$6,Cenários!AR33,Cenários!AR77,Cenários!AR121)</f>
        <v>-57547.08</v>
      </c>
      <c r="AS17" s="84" t="n">
        <f aca="false">CHOOSE(Premissas!$B$6,Cenários!AS33,Cenários!AS77,Cenários!AS121)</f>
        <v>-58005.44</v>
      </c>
      <c r="AT17" s="84" t="n">
        <f aca="false">CHOOSE(Premissas!$B$6,Cenários!AT33,Cenários!AT77,Cenários!AT121)</f>
        <v>-58434.12</v>
      </c>
      <c r="AU17" s="84" t="n">
        <f aca="false">CHOOSE(Premissas!$B$6,Cenários!AU33,Cenários!AU77,Cenários!AU121)</f>
        <v>-58834.8</v>
      </c>
      <c r="AV17" s="84" t="n">
        <f aca="false">CHOOSE(Premissas!$B$6,Cenários!AV33,Cenários!AV77,Cenários!AV121)</f>
        <v>-59209.72</v>
      </c>
      <c r="AW17" s="84" t="n">
        <f aca="false">CHOOSE(Premissas!$B$6,Cenários!AW33,Cenários!AW77,Cenários!AW121)</f>
        <v>-59560</v>
      </c>
      <c r="AX17" s="84" t="n">
        <f aca="false">CHOOSE(Premissas!$B$6,Cenários!AX33,Cenários!AX77,Cenários!AX121)</f>
        <v>-104822.5</v>
      </c>
      <c r="AY17" s="84" t="n">
        <f aca="false">CHOOSE(Premissas!$B$6,Cenários!AY33,Cenários!AY77,Cenários!AY121)</f>
        <v>-105595.5</v>
      </c>
      <c r="AZ17" s="84" t="n">
        <f aca="false">CHOOSE(Premissas!$B$6,Cenários!AZ33,Cenários!AZ77,Cenários!AZ121)</f>
        <v>-106322.5</v>
      </c>
      <c r="BA17" s="84" t="n">
        <f aca="false">CHOOSE(Premissas!$B$6,Cenários!BA33,Cenários!BA77,Cenários!BA121)</f>
        <v>-107005.5</v>
      </c>
      <c r="BB17" s="84" t="n">
        <f aca="false">CHOOSE(Premissas!$B$6,Cenários!BB33,Cenários!BB77,Cenários!BB121)</f>
        <v>-107647.75</v>
      </c>
      <c r="BC17" s="84" t="n">
        <f aca="false">CHOOSE(Premissas!$B$6,Cenários!BC33,Cenários!BC77,Cenários!BC121)</f>
        <v>-108251.25</v>
      </c>
      <c r="BD17" s="84" t="n">
        <f aca="false">CHOOSE(Premissas!$B$6,Cenários!BD33,Cenários!BD77,Cenários!BD121)</f>
        <v>-108818.75</v>
      </c>
      <c r="BE17" s="84" t="n">
        <f aca="false">CHOOSE(Premissas!$B$6,Cenários!BE33,Cenários!BE77,Cenários!BE121)</f>
        <v>-109352.25</v>
      </c>
      <c r="BF17" s="84" t="n">
        <f aca="false">CHOOSE(Premissas!$B$6,Cenários!BF33,Cenários!BF77,Cenários!BF121)</f>
        <v>-109853.5</v>
      </c>
      <c r="BG17" s="84" t="n">
        <f aca="false">CHOOSE(Premissas!$B$6,Cenários!BG33,Cenários!BG77,Cenários!BG121)</f>
        <v>-110324.75</v>
      </c>
      <c r="BH17" s="84" t="n">
        <f aca="false">CHOOSE(Premissas!$B$6,Cenários!BH33,Cenários!BH77,Cenários!BH121)</f>
        <v>-110767.75</v>
      </c>
      <c r="BI17" s="84" t="n">
        <f aca="false">CHOOSE(Premissas!$B$6,Cenários!BI33,Cenários!BI77,Cenários!BI121)</f>
        <v>-111184.25</v>
      </c>
      <c r="BJ17" s="69" t="n">
        <f aca="false">SUM(B17:BI17)</f>
        <v>-2312700.06</v>
      </c>
      <c r="BK17" s="70" t="n">
        <f aca="false">IFERROR(BJ17/BJ$27,0)</f>
        <v>0.0450038223668708</v>
      </c>
    </row>
    <row r="18" customFormat="false" ht="15" hidden="false" customHeight="false" outlineLevel="0" collapsed="false">
      <c r="A18" s="12" t="s">
        <v>254</v>
      </c>
      <c r="B18" s="84" t="n">
        <f aca="false">-IF(B$4&gt;=Premissas!$B$68,INDEX(Premissas!$C$69:$G$69,B$7),0)</f>
        <v>-0</v>
      </c>
      <c r="C18" s="84" t="n">
        <f aca="false">-IF(C$4&gt;=Premissas!$B$68,INDEX(Premissas!$C$69:$G$69,C$7),0)</f>
        <v>-0</v>
      </c>
      <c r="D18" s="84" t="n">
        <f aca="false">-IF(D$4&gt;=Premissas!$B$68,INDEX(Premissas!$C$69:$G$69,D$7),0)</f>
        <v>-0</v>
      </c>
      <c r="E18" s="84" t="n">
        <f aca="false">-IF(E$4&gt;=Premissas!$B$68,INDEX(Premissas!$C$69:$G$69,E$7),0)</f>
        <v>-0</v>
      </c>
      <c r="F18" s="84" t="n">
        <f aca="false">-IF(F$4&gt;=Premissas!$B$68,INDEX(Premissas!$C$69:$G$69,F$7),0)</f>
        <v>-0</v>
      </c>
      <c r="G18" s="84" t="n">
        <f aca="false">-IF(G$4&gt;=Premissas!$B$68,INDEX(Premissas!$C$69:$G$69,G$7),0)</f>
        <v>-0</v>
      </c>
      <c r="H18" s="84" t="n">
        <f aca="false">-IF(H$4&gt;=Premissas!$B$68,INDEX(Premissas!$C$69:$G$69,H$7),0)</f>
        <v>-0</v>
      </c>
      <c r="I18" s="84" t="n">
        <f aca="false">-IF(I$4&gt;=Premissas!$B$68,INDEX(Premissas!$C$69:$G$69,I$7),0)</f>
        <v>-0</v>
      </c>
      <c r="J18" s="84" t="n">
        <f aca="false">-IF(J$4&gt;=Premissas!$B$68,INDEX(Premissas!$C$69:$G$69,J$7),0)</f>
        <v>-0</v>
      </c>
      <c r="K18" s="84" t="n">
        <f aca="false">-IF(K$4&gt;=Premissas!$B$68,INDEX(Premissas!$C$69:$G$69,K$7),0)</f>
        <v>-0</v>
      </c>
      <c r="L18" s="84" t="n">
        <f aca="false">-IF(L$4&gt;=Premissas!$B$68,INDEX(Premissas!$C$69:$G$69,L$7),0)</f>
        <v>-4000</v>
      </c>
      <c r="M18" s="84" t="n">
        <f aca="false">-IF(M$4&gt;=Premissas!$B$68,INDEX(Premissas!$C$69:$G$69,M$7),0)</f>
        <v>-4000</v>
      </c>
      <c r="N18" s="84" t="n">
        <f aca="false">-IF(N$4&gt;=Premissas!$B$68,INDEX(Premissas!$C$69:$G$69,N$7),0)</f>
        <v>-25000</v>
      </c>
      <c r="O18" s="84" t="n">
        <f aca="false">-IF(O$4&gt;=Premissas!$B$68,INDEX(Premissas!$C$69:$G$69,O$7),0)</f>
        <v>-25000</v>
      </c>
      <c r="P18" s="84" t="n">
        <f aca="false">-IF(P$4&gt;=Premissas!$B$68,INDEX(Premissas!$C$69:$G$69,P$7),0)</f>
        <v>-25000</v>
      </c>
      <c r="Q18" s="84" t="n">
        <f aca="false">-IF(Q$4&gt;=Premissas!$B$68,INDEX(Premissas!$C$69:$G$69,Q$7),0)</f>
        <v>-25000</v>
      </c>
      <c r="R18" s="84" t="n">
        <f aca="false">-IF(R$4&gt;=Premissas!$B$68,INDEX(Premissas!$C$69:$G$69,R$7),0)</f>
        <v>-25000</v>
      </c>
      <c r="S18" s="84" t="n">
        <f aca="false">-IF(S$4&gt;=Premissas!$B$68,INDEX(Premissas!$C$69:$G$69,S$7),0)</f>
        <v>-25000</v>
      </c>
      <c r="T18" s="84" t="n">
        <f aca="false">-IF(T$4&gt;=Premissas!$B$68,INDEX(Premissas!$C$69:$G$69,T$7),0)</f>
        <v>-25000</v>
      </c>
      <c r="U18" s="84" t="n">
        <f aca="false">-IF(U$4&gt;=Premissas!$B$68,INDEX(Premissas!$C$69:$G$69,U$7),0)</f>
        <v>-25000</v>
      </c>
      <c r="V18" s="84" t="n">
        <f aca="false">-IF(V$4&gt;=Premissas!$B$68,INDEX(Premissas!$C$69:$G$69,V$7),0)</f>
        <v>-25000</v>
      </c>
      <c r="W18" s="84" t="n">
        <f aca="false">-IF(W$4&gt;=Premissas!$B$68,INDEX(Premissas!$C$69:$G$69,W$7),0)</f>
        <v>-25000</v>
      </c>
      <c r="X18" s="84" t="n">
        <f aca="false">-IF(X$4&gt;=Premissas!$B$68,INDEX(Premissas!$C$69:$G$69,X$7),0)</f>
        <v>-25000</v>
      </c>
      <c r="Y18" s="84" t="n">
        <f aca="false">-IF(Y$4&gt;=Premissas!$B$68,INDEX(Premissas!$C$69:$G$69,Y$7),0)</f>
        <v>-25000</v>
      </c>
      <c r="Z18" s="84" t="n">
        <f aca="false">-IF(Z$4&gt;=Premissas!$B$68,INDEX(Premissas!$C$69:$G$69,Z$7),0)</f>
        <v>-90000</v>
      </c>
      <c r="AA18" s="84" t="n">
        <f aca="false">-IF(AA$4&gt;=Premissas!$B$68,INDEX(Premissas!$C$69:$G$69,AA$7),0)</f>
        <v>-90000</v>
      </c>
      <c r="AB18" s="84" t="n">
        <f aca="false">-IF(AB$4&gt;=Premissas!$B$68,INDEX(Premissas!$C$69:$G$69,AB$7),0)</f>
        <v>-90000</v>
      </c>
      <c r="AC18" s="84" t="n">
        <f aca="false">-IF(AC$4&gt;=Premissas!$B$68,INDEX(Premissas!$C$69:$G$69,AC$7),0)</f>
        <v>-90000</v>
      </c>
      <c r="AD18" s="84" t="n">
        <f aca="false">-IF(AD$4&gt;=Premissas!$B$68,INDEX(Premissas!$C$69:$G$69,AD$7),0)</f>
        <v>-90000</v>
      </c>
      <c r="AE18" s="84" t="n">
        <f aca="false">-IF(AE$4&gt;=Premissas!$B$68,INDEX(Premissas!$C$69:$G$69,AE$7),0)</f>
        <v>-90000</v>
      </c>
      <c r="AF18" s="84" t="n">
        <f aca="false">-IF(AF$4&gt;=Premissas!$B$68,INDEX(Premissas!$C$69:$G$69,AF$7),0)</f>
        <v>-90000</v>
      </c>
      <c r="AG18" s="84" t="n">
        <f aca="false">-IF(AG$4&gt;=Premissas!$B$68,INDEX(Premissas!$C$69:$G$69,AG$7),0)</f>
        <v>-90000</v>
      </c>
      <c r="AH18" s="84" t="n">
        <f aca="false">-IF(AH$4&gt;=Premissas!$B$68,INDEX(Premissas!$C$69:$G$69,AH$7),0)</f>
        <v>-90000</v>
      </c>
      <c r="AI18" s="84" t="n">
        <f aca="false">-IF(AI$4&gt;=Premissas!$B$68,INDEX(Premissas!$C$69:$G$69,AI$7),0)</f>
        <v>-90000</v>
      </c>
      <c r="AJ18" s="84" t="n">
        <f aca="false">-IF(AJ$4&gt;=Premissas!$B$68,INDEX(Premissas!$C$69:$G$69,AJ$7),0)</f>
        <v>-90000</v>
      </c>
      <c r="AK18" s="84" t="n">
        <f aca="false">-IF(AK$4&gt;=Premissas!$B$68,INDEX(Premissas!$C$69:$G$69,AK$7),0)</f>
        <v>-90000</v>
      </c>
      <c r="AL18" s="84" t="n">
        <f aca="false">-IF(AL$4&gt;=Premissas!$B$68,INDEX(Premissas!$C$69:$G$69,AL$7),0)</f>
        <v>-220000</v>
      </c>
      <c r="AM18" s="84" t="n">
        <f aca="false">-IF(AM$4&gt;=Premissas!$B$68,INDEX(Premissas!$C$69:$G$69,AM$7),0)</f>
        <v>-220000</v>
      </c>
      <c r="AN18" s="84" t="n">
        <f aca="false">-IF(AN$4&gt;=Premissas!$B$68,INDEX(Premissas!$C$69:$G$69,AN$7),0)</f>
        <v>-220000</v>
      </c>
      <c r="AO18" s="84" t="n">
        <f aca="false">-IF(AO$4&gt;=Premissas!$B$68,INDEX(Premissas!$C$69:$G$69,AO$7),0)</f>
        <v>-220000</v>
      </c>
      <c r="AP18" s="84" t="n">
        <f aca="false">-IF(AP$4&gt;=Premissas!$B$68,INDEX(Premissas!$C$69:$G$69,AP$7),0)</f>
        <v>-220000</v>
      </c>
      <c r="AQ18" s="84" t="n">
        <f aca="false">-IF(AQ$4&gt;=Premissas!$B$68,INDEX(Premissas!$C$69:$G$69,AQ$7),0)</f>
        <v>-220000</v>
      </c>
      <c r="AR18" s="84" t="n">
        <f aca="false">-IF(AR$4&gt;=Premissas!$B$68,INDEX(Premissas!$C$69:$G$69,AR$7),0)</f>
        <v>-220000</v>
      </c>
      <c r="AS18" s="84" t="n">
        <f aca="false">-IF(AS$4&gt;=Premissas!$B$68,INDEX(Premissas!$C$69:$G$69,AS$7),0)</f>
        <v>-220000</v>
      </c>
      <c r="AT18" s="84" t="n">
        <f aca="false">-IF(AT$4&gt;=Premissas!$B$68,INDEX(Premissas!$C$69:$G$69,AT$7),0)</f>
        <v>-220000</v>
      </c>
      <c r="AU18" s="84" t="n">
        <f aca="false">-IF(AU$4&gt;=Premissas!$B$68,INDEX(Premissas!$C$69:$G$69,AU$7),0)</f>
        <v>-220000</v>
      </c>
      <c r="AV18" s="84" t="n">
        <f aca="false">-IF(AV$4&gt;=Premissas!$B$68,INDEX(Premissas!$C$69:$G$69,AV$7),0)</f>
        <v>-220000</v>
      </c>
      <c r="AW18" s="84" t="n">
        <f aca="false">-IF(AW$4&gt;=Premissas!$B$68,INDEX(Premissas!$C$69:$G$69,AW$7),0)</f>
        <v>-220000</v>
      </c>
      <c r="AX18" s="84" t="n">
        <f aca="false">-IF(AX$4&gt;=Premissas!$B$68,INDEX(Premissas!$C$69:$G$69,AX$7),0)</f>
        <v>-420000</v>
      </c>
      <c r="AY18" s="84" t="n">
        <f aca="false">-IF(AY$4&gt;=Premissas!$B$68,INDEX(Premissas!$C$69:$G$69,AY$7),0)</f>
        <v>-420000</v>
      </c>
      <c r="AZ18" s="84" t="n">
        <f aca="false">-IF(AZ$4&gt;=Premissas!$B$68,INDEX(Premissas!$C$69:$G$69,AZ$7),0)</f>
        <v>-420000</v>
      </c>
      <c r="BA18" s="84" t="n">
        <f aca="false">-IF(BA$4&gt;=Premissas!$B$68,INDEX(Premissas!$C$69:$G$69,BA$7),0)</f>
        <v>-420000</v>
      </c>
      <c r="BB18" s="84" t="n">
        <f aca="false">-IF(BB$4&gt;=Premissas!$B$68,INDEX(Premissas!$C$69:$G$69,BB$7),0)</f>
        <v>-420000</v>
      </c>
      <c r="BC18" s="84" t="n">
        <f aca="false">-IF(BC$4&gt;=Premissas!$B$68,INDEX(Premissas!$C$69:$G$69,BC$7),0)</f>
        <v>-420000</v>
      </c>
      <c r="BD18" s="84" t="n">
        <f aca="false">-IF(BD$4&gt;=Premissas!$B$68,INDEX(Premissas!$C$69:$G$69,BD$7),0)</f>
        <v>-420000</v>
      </c>
      <c r="BE18" s="84" t="n">
        <f aca="false">-IF(BE$4&gt;=Premissas!$B$68,INDEX(Premissas!$C$69:$G$69,BE$7),0)</f>
        <v>-420000</v>
      </c>
      <c r="BF18" s="84" t="n">
        <f aca="false">-IF(BF$4&gt;=Premissas!$B$68,INDEX(Premissas!$C$69:$G$69,BF$7),0)</f>
        <v>-420000</v>
      </c>
      <c r="BG18" s="84" t="n">
        <f aca="false">-IF(BG$4&gt;=Premissas!$B$68,INDEX(Premissas!$C$69:$G$69,BG$7),0)</f>
        <v>-420000</v>
      </c>
      <c r="BH18" s="84" t="n">
        <f aca="false">-IF(BH$4&gt;=Premissas!$B$68,INDEX(Premissas!$C$69:$G$69,BH$7),0)</f>
        <v>-420000</v>
      </c>
      <c r="BI18" s="84" t="n">
        <f aca="false">-IF(BI$4&gt;=Premissas!$B$68,INDEX(Premissas!$C$69:$G$69,BI$7),0)</f>
        <v>-420000</v>
      </c>
      <c r="BJ18" s="69" t="n">
        <f aca="false">SUM(B18:BI18)</f>
        <v>-9068000</v>
      </c>
      <c r="BK18" s="70" t="n">
        <f aca="false">IFERROR(BJ18/BJ$27,0)</f>
        <v>0.176458101195701</v>
      </c>
    </row>
    <row r="19" customFormat="false" ht="15" hidden="false" customHeight="false" outlineLevel="0" collapsed="false">
      <c r="A19" s="12" t="s">
        <v>255</v>
      </c>
      <c r="B19" s="84" t="n">
        <f aca="false">-IF(B$4&gt;=Premissas!$B$70,INDEX(Premissas!$C$71:$G$71,B$7),0)</f>
        <v>-0</v>
      </c>
      <c r="C19" s="84" t="n">
        <f aca="false">-IF(C$4&gt;=Premissas!$B$70,INDEX(Premissas!$C$71:$G$71,C$7),0)</f>
        <v>-0</v>
      </c>
      <c r="D19" s="84" t="n">
        <f aca="false">-IF(D$4&gt;=Premissas!$B$70,INDEX(Premissas!$C$71:$G$71,D$7),0)</f>
        <v>-0</v>
      </c>
      <c r="E19" s="84" t="n">
        <f aca="false">-IF(E$4&gt;=Premissas!$B$70,INDEX(Premissas!$C$71:$G$71,E$7),0)</f>
        <v>-0</v>
      </c>
      <c r="F19" s="84" t="n">
        <f aca="false">-IF(F$4&gt;=Premissas!$B$70,INDEX(Premissas!$C$71:$G$71,F$7),0)</f>
        <v>-0</v>
      </c>
      <c r="G19" s="84" t="n">
        <f aca="false">-IF(G$4&gt;=Premissas!$B$70,INDEX(Premissas!$C$71:$G$71,G$7),0)</f>
        <v>-0</v>
      </c>
      <c r="H19" s="84" t="n">
        <f aca="false">-IF(H$4&gt;=Premissas!$B$70,INDEX(Premissas!$C$71:$G$71,H$7),0)</f>
        <v>-0</v>
      </c>
      <c r="I19" s="84" t="n">
        <f aca="false">-IF(I$4&gt;=Premissas!$B$70,INDEX(Premissas!$C$71:$G$71,I$7),0)</f>
        <v>-0</v>
      </c>
      <c r="J19" s="84" t="n">
        <f aca="false">-IF(J$4&gt;=Premissas!$B$70,INDEX(Premissas!$C$71:$G$71,J$7),0)</f>
        <v>-0</v>
      </c>
      <c r="K19" s="84" t="n">
        <f aca="false">-IF(K$4&gt;=Premissas!$B$70,INDEX(Premissas!$C$71:$G$71,K$7),0)</f>
        <v>-0</v>
      </c>
      <c r="L19" s="84" t="n">
        <f aca="false">-IF(L$4&gt;=Premissas!$B$70,INDEX(Premissas!$C$71:$G$71,L$7),0)</f>
        <v>-0</v>
      </c>
      <c r="M19" s="84" t="n">
        <f aca="false">-IF(M$4&gt;=Premissas!$B$70,INDEX(Premissas!$C$71:$G$71,M$7),0)</f>
        <v>-0</v>
      </c>
      <c r="N19" s="84" t="n">
        <f aca="false">-IF(N$4&gt;=Premissas!$B$70,INDEX(Premissas!$C$71:$G$71,N$7),0)</f>
        <v>-15000</v>
      </c>
      <c r="O19" s="84" t="n">
        <f aca="false">-IF(O$4&gt;=Premissas!$B$70,INDEX(Premissas!$C$71:$G$71,O$7),0)</f>
        <v>-15000</v>
      </c>
      <c r="P19" s="84" t="n">
        <f aca="false">-IF(P$4&gt;=Premissas!$B$70,INDEX(Premissas!$C$71:$G$71,P$7),0)</f>
        <v>-15000</v>
      </c>
      <c r="Q19" s="84" t="n">
        <f aca="false">-IF(Q$4&gt;=Premissas!$B$70,INDEX(Premissas!$C$71:$G$71,Q$7),0)</f>
        <v>-15000</v>
      </c>
      <c r="R19" s="84" t="n">
        <f aca="false">-IF(R$4&gt;=Premissas!$B$70,INDEX(Premissas!$C$71:$G$71,R$7),0)</f>
        <v>-15000</v>
      </c>
      <c r="S19" s="84" t="n">
        <f aca="false">-IF(S$4&gt;=Premissas!$B$70,INDEX(Premissas!$C$71:$G$71,S$7),0)</f>
        <v>-15000</v>
      </c>
      <c r="T19" s="84" t="n">
        <f aca="false">-IF(T$4&gt;=Premissas!$B$70,INDEX(Premissas!$C$71:$G$71,T$7),0)</f>
        <v>-15000</v>
      </c>
      <c r="U19" s="84" t="n">
        <f aca="false">-IF(U$4&gt;=Premissas!$B$70,INDEX(Premissas!$C$71:$G$71,U$7),0)</f>
        <v>-15000</v>
      </c>
      <c r="V19" s="84" t="n">
        <f aca="false">-IF(V$4&gt;=Premissas!$B$70,INDEX(Premissas!$C$71:$G$71,V$7),0)</f>
        <v>-15000</v>
      </c>
      <c r="W19" s="84" t="n">
        <f aca="false">-IF(W$4&gt;=Premissas!$B$70,INDEX(Premissas!$C$71:$G$71,W$7),0)</f>
        <v>-15000</v>
      </c>
      <c r="X19" s="84" t="n">
        <f aca="false">-IF(X$4&gt;=Premissas!$B$70,INDEX(Premissas!$C$71:$G$71,X$7),0)</f>
        <v>-15000</v>
      </c>
      <c r="Y19" s="84" t="n">
        <f aca="false">-IF(Y$4&gt;=Premissas!$B$70,INDEX(Premissas!$C$71:$G$71,Y$7),0)</f>
        <v>-15000</v>
      </c>
      <c r="Z19" s="84" t="n">
        <f aca="false">-IF(Z$4&gt;=Premissas!$B$70,INDEX(Premissas!$C$71:$G$71,Z$7),0)</f>
        <v>-40000</v>
      </c>
      <c r="AA19" s="84" t="n">
        <f aca="false">-IF(AA$4&gt;=Premissas!$B$70,INDEX(Premissas!$C$71:$G$71,AA$7),0)</f>
        <v>-40000</v>
      </c>
      <c r="AB19" s="84" t="n">
        <f aca="false">-IF(AB$4&gt;=Premissas!$B$70,INDEX(Premissas!$C$71:$G$71,AB$7),0)</f>
        <v>-40000</v>
      </c>
      <c r="AC19" s="84" t="n">
        <f aca="false">-IF(AC$4&gt;=Premissas!$B$70,INDEX(Premissas!$C$71:$G$71,AC$7),0)</f>
        <v>-40000</v>
      </c>
      <c r="AD19" s="84" t="n">
        <f aca="false">-IF(AD$4&gt;=Premissas!$B$70,INDEX(Premissas!$C$71:$G$71,AD$7),0)</f>
        <v>-40000</v>
      </c>
      <c r="AE19" s="84" t="n">
        <f aca="false">-IF(AE$4&gt;=Premissas!$B$70,INDEX(Premissas!$C$71:$G$71,AE$7),0)</f>
        <v>-40000</v>
      </c>
      <c r="AF19" s="84" t="n">
        <f aca="false">-IF(AF$4&gt;=Premissas!$B$70,INDEX(Premissas!$C$71:$G$71,AF$7),0)</f>
        <v>-40000</v>
      </c>
      <c r="AG19" s="84" t="n">
        <f aca="false">-IF(AG$4&gt;=Premissas!$B$70,INDEX(Premissas!$C$71:$G$71,AG$7),0)</f>
        <v>-40000</v>
      </c>
      <c r="AH19" s="84" t="n">
        <f aca="false">-IF(AH$4&gt;=Premissas!$B$70,INDEX(Premissas!$C$71:$G$71,AH$7),0)</f>
        <v>-40000</v>
      </c>
      <c r="AI19" s="84" t="n">
        <f aca="false">-IF(AI$4&gt;=Premissas!$B$70,INDEX(Premissas!$C$71:$G$71,AI$7),0)</f>
        <v>-40000</v>
      </c>
      <c r="AJ19" s="84" t="n">
        <f aca="false">-IF(AJ$4&gt;=Premissas!$B$70,INDEX(Premissas!$C$71:$G$71,AJ$7),0)</f>
        <v>-40000</v>
      </c>
      <c r="AK19" s="84" t="n">
        <f aca="false">-IF(AK$4&gt;=Premissas!$B$70,INDEX(Premissas!$C$71:$G$71,AK$7),0)</f>
        <v>-40000</v>
      </c>
      <c r="AL19" s="84" t="n">
        <f aca="false">-IF(AL$4&gt;=Premissas!$B$70,INDEX(Premissas!$C$71:$G$71,AL$7),0)</f>
        <v>-80000</v>
      </c>
      <c r="AM19" s="84" t="n">
        <f aca="false">-IF(AM$4&gt;=Premissas!$B$70,INDEX(Premissas!$C$71:$G$71,AM$7),0)</f>
        <v>-80000</v>
      </c>
      <c r="AN19" s="84" t="n">
        <f aca="false">-IF(AN$4&gt;=Premissas!$B$70,INDEX(Premissas!$C$71:$G$71,AN$7),0)</f>
        <v>-80000</v>
      </c>
      <c r="AO19" s="84" t="n">
        <f aca="false">-IF(AO$4&gt;=Premissas!$B$70,INDEX(Premissas!$C$71:$G$71,AO$7),0)</f>
        <v>-80000</v>
      </c>
      <c r="AP19" s="84" t="n">
        <f aca="false">-IF(AP$4&gt;=Premissas!$B$70,INDEX(Premissas!$C$71:$G$71,AP$7),0)</f>
        <v>-80000</v>
      </c>
      <c r="AQ19" s="84" t="n">
        <f aca="false">-IF(AQ$4&gt;=Premissas!$B$70,INDEX(Premissas!$C$71:$G$71,AQ$7),0)</f>
        <v>-80000</v>
      </c>
      <c r="AR19" s="84" t="n">
        <f aca="false">-IF(AR$4&gt;=Premissas!$B$70,INDEX(Premissas!$C$71:$G$71,AR$7),0)</f>
        <v>-80000</v>
      </c>
      <c r="AS19" s="84" t="n">
        <f aca="false">-IF(AS$4&gt;=Premissas!$B$70,INDEX(Premissas!$C$71:$G$71,AS$7),0)</f>
        <v>-80000</v>
      </c>
      <c r="AT19" s="84" t="n">
        <f aca="false">-IF(AT$4&gt;=Premissas!$B$70,INDEX(Premissas!$C$71:$G$71,AT$7),0)</f>
        <v>-80000</v>
      </c>
      <c r="AU19" s="84" t="n">
        <f aca="false">-IF(AU$4&gt;=Premissas!$B$70,INDEX(Premissas!$C$71:$G$71,AU$7),0)</f>
        <v>-80000</v>
      </c>
      <c r="AV19" s="84" t="n">
        <f aca="false">-IF(AV$4&gt;=Premissas!$B$70,INDEX(Premissas!$C$71:$G$71,AV$7),0)</f>
        <v>-80000</v>
      </c>
      <c r="AW19" s="84" t="n">
        <f aca="false">-IF(AW$4&gt;=Premissas!$B$70,INDEX(Premissas!$C$71:$G$71,AW$7),0)</f>
        <v>-80000</v>
      </c>
      <c r="AX19" s="84" t="n">
        <f aca="false">-IF(AX$4&gt;=Premissas!$B$70,INDEX(Premissas!$C$71:$G$71,AX$7),0)</f>
        <v>-140000</v>
      </c>
      <c r="AY19" s="84" t="n">
        <f aca="false">-IF(AY$4&gt;=Premissas!$B$70,INDEX(Premissas!$C$71:$G$71,AY$7),0)</f>
        <v>-140000</v>
      </c>
      <c r="AZ19" s="84" t="n">
        <f aca="false">-IF(AZ$4&gt;=Premissas!$B$70,INDEX(Premissas!$C$71:$G$71,AZ$7),0)</f>
        <v>-140000</v>
      </c>
      <c r="BA19" s="84" t="n">
        <f aca="false">-IF(BA$4&gt;=Premissas!$B$70,INDEX(Premissas!$C$71:$G$71,BA$7),0)</f>
        <v>-140000</v>
      </c>
      <c r="BB19" s="84" t="n">
        <f aca="false">-IF(BB$4&gt;=Premissas!$B$70,INDEX(Premissas!$C$71:$G$71,BB$7),0)</f>
        <v>-140000</v>
      </c>
      <c r="BC19" s="84" t="n">
        <f aca="false">-IF(BC$4&gt;=Premissas!$B$70,INDEX(Premissas!$C$71:$G$71,BC$7),0)</f>
        <v>-140000</v>
      </c>
      <c r="BD19" s="84" t="n">
        <f aca="false">-IF(BD$4&gt;=Premissas!$B$70,INDEX(Premissas!$C$71:$G$71,BD$7),0)</f>
        <v>-140000</v>
      </c>
      <c r="BE19" s="84" t="n">
        <f aca="false">-IF(BE$4&gt;=Premissas!$B$70,INDEX(Premissas!$C$71:$G$71,BE$7),0)</f>
        <v>-140000</v>
      </c>
      <c r="BF19" s="84" t="n">
        <f aca="false">-IF(BF$4&gt;=Premissas!$B$70,INDEX(Premissas!$C$71:$G$71,BF$7),0)</f>
        <v>-140000</v>
      </c>
      <c r="BG19" s="84" t="n">
        <f aca="false">-IF(BG$4&gt;=Premissas!$B$70,INDEX(Premissas!$C$71:$G$71,BG$7),0)</f>
        <v>-140000</v>
      </c>
      <c r="BH19" s="84" t="n">
        <f aca="false">-IF(BH$4&gt;=Premissas!$B$70,INDEX(Premissas!$C$71:$G$71,BH$7),0)</f>
        <v>-140000</v>
      </c>
      <c r="BI19" s="84" t="n">
        <f aca="false">-IF(BI$4&gt;=Premissas!$B$70,INDEX(Premissas!$C$71:$G$71,BI$7),0)</f>
        <v>-140000</v>
      </c>
      <c r="BJ19" s="69" t="n">
        <f aca="false">SUM(B19:BI19)</f>
        <v>-3300000</v>
      </c>
      <c r="BK19" s="70" t="n">
        <f aca="false">IFERROR(BJ19/BJ$27,0)</f>
        <v>0.0642161153447082</v>
      </c>
    </row>
    <row r="20" customFormat="false" ht="15" hidden="false" customHeight="false" outlineLevel="0" collapsed="false">
      <c r="A20" s="12" t="s">
        <v>256</v>
      </c>
      <c r="B20" s="84" t="n">
        <f aca="false">-CHOOSE(Premissas!$B$6,Cenários!B10,Cenários!B54,Cenários!B98)*(1-INDEX(Premissas!$C$50:$G$50,B$7))*CHOOSE(Premissas!$B$6,INDEX(Premissas!$C$47:$G$47,B$7),INDEX(Premissas!$C$48:$G$48,B$7),INDEX(Premissas!$C$49:$G$49,B$7))</f>
        <v>-0</v>
      </c>
      <c r="C20" s="84" t="n">
        <f aca="false">-CHOOSE(Premissas!$B$6,Cenários!C10,Cenários!C54,Cenários!C98)*(1-INDEX(Premissas!$C$50:$G$50,C$7))*CHOOSE(Premissas!$B$6,INDEX(Premissas!$C$47:$G$47,C$7),INDEX(Premissas!$C$48:$G$48,C$7),INDEX(Premissas!$C$49:$G$49,C$7))</f>
        <v>-0</v>
      </c>
      <c r="D20" s="84" t="n">
        <f aca="false">-CHOOSE(Premissas!$B$6,Cenários!D10,Cenários!D54,Cenários!D98)*(1-INDEX(Premissas!$C$50:$G$50,D$7))*CHOOSE(Premissas!$B$6,INDEX(Premissas!$C$47:$G$47,D$7),INDEX(Premissas!$C$48:$G$48,D$7),INDEX(Premissas!$C$49:$G$49,D$7))</f>
        <v>-0</v>
      </c>
      <c r="E20" s="84" t="n">
        <f aca="false">-CHOOSE(Premissas!$B$6,Cenários!E10,Cenários!E54,Cenários!E98)*(1-INDEX(Premissas!$C$50:$G$50,E$7))*CHOOSE(Premissas!$B$6,INDEX(Premissas!$C$47:$G$47,E$7),INDEX(Premissas!$C$48:$G$48,E$7),INDEX(Premissas!$C$49:$G$49,E$7))</f>
        <v>-0</v>
      </c>
      <c r="F20" s="84" t="n">
        <f aca="false">-CHOOSE(Premissas!$B$6,Cenários!F10,Cenários!F54,Cenários!F98)*(1-INDEX(Premissas!$C$50:$G$50,F$7))*CHOOSE(Premissas!$B$6,INDEX(Premissas!$C$47:$G$47,F$7),INDEX(Premissas!$C$48:$G$48,F$7),INDEX(Premissas!$C$49:$G$49,F$7))</f>
        <v>-0</v>
      </c>
      <c r="G20" s="84" t="n">
        <f aca="false">-CHOOSE(Premissas!$B$6,Cenários!G10,Cenários!G54,Cenários!G98)*(1-INDEX(Premissas!$C$50:$G$50,G$7))*CHOOSE(Premissas!$B$6,INDEX(Premissas!$C$47:$G$47,G$7),INDEX(Premissas!$C$48:$G$48,G$7),INDEX(Premissas!$C$49:$G$49,G$7))</f>
        <v>-0</v>
      </c>
      <c r="H20" s="84" t="n">
        <f aca="false">-CHOOSE(Premissas!$B$6,Cenários!H10,Cenários!H54,Cenários!H98)*(1-INDEX(Premissas!$C$50:$G$50,H$7))*CHOOSE(Premissas!$B$6,INDEX(Premissas!$C$47:$G$47,H$7),INDEX(Premissas!$C$48:$G$48,H$7),INDEX(Premissas!$C$49:$G$49,H$7))</f>
        <v>-0</v>
      </c>
      <c r="I20" s="84" t="n">
        <f aca="false">-CHOOSE(Premissas!$B$6,Cenários!I10,Cenários!I54,Cenários!I98)*(1-INDEX(Premissas!$C$50:$G$50,I$7))*CHOOSE(Premissas!$B$6,INDEX(Premissas!$C$47:$G$47,I$7),INDEX(Premissas!$C$48:$G$48,I$7),INDEX(Premissas!$C$49:$G$49,I$7))</f>
        <v>-0</v>
      </c>
      <c r="J20" s="84" t="n">
        <f aca="false">-CHOOSE(Premissas!$B$6,Cenários!J10,Cenários!J54,Cenários!J98)*(1-INDEX(Premissas!$C$50:$G$50,J$7))*CHOOSE(Premissas!$B$6,INDEX(Premissas!$C$47:$G$47,J$7),INDEX(Premissas!$C$48:$G$48,J$7),INDEX(Premissas!$C$49:$G$49,J$7))</f>
        <v>-0</v>
      </c>
      <c r="K20" s="84" t="n">
        <f aca="false">-CHOOSE(Premissas!$B$6,Cenários!K10,Cenários!K54,Cenários!K98)*(1-INDEX(Premissas!$C$50:$G$50,K$7))*CHOOSE(Premissas!$B$6,INDEX(Premissas!$C$47:$G$47,K$7),INDEX(Premissas!$C$48:$G$48,K$7),INDEX(Premissas!$C$49:$G$49,K$7))</f>
        <v>-31675</v>
      </c>
      <c r="L20" s="84" t="n">
        <f aca="false">-CHOOSE(Premissas!$B$6,Cenários!L10,Cenários!L54,Cenários!L98)*(1-INDEX(Premissas!$C$50:$G$50,L$7))*CHOOSE(Premissas!$B$6,INDEX(Premissas!$C$47:$G$47,L$7),INDEX(Premissas!$C$48:$G$48,L$7),INDEX(Premissas!$C$49:$G$49,L$7))</f>
        <v>-31675</v>
      </c>
      <c r="M20" s="84" t="n">
        <f aca="false">-CHOOSE(Premissas!$B$6,Cenários!M10,Cenários!M54,Cenários!M98)*(1-INDEX(Premissas!$C$50:$G$50,M$7))*CHOOSE(Premissas!$B$6,INDEX(Premissas!$C$47:$G$47,M$7),INDEX(Premissas!$C$48:$G$48,M$7),INDEX(Premissas!$C$49:$G$49,M$7))</f>
        <v>-31675</v>
      </c>
      <c r="N20" s="84" t="n">
        <f aca="false">-CHOOSE(Premissas!$B$6,Cenários!N10,Cenários!N54,Cenários!N98)*(1-INDEX(Premissas!$C$50:$G$50,N$7))*CHOOSE(Premissas!$B$6,INDEX(Premissas!$C$47:$G$47,N$7),INDEX(Premissas!$C$48:$G$48,N$7),INDEX(Premissas!$C$49:$G$49,N$7))</f>
        <v>-44880</v>
      </c>
      <c r="O20" s="84" t="n">
        <f aca="false">-CHOOSE(Premissas!$B$6,Cenários!O10,Cenários!O54,Cenários!O98)*(1-INDEX(Premissas!$C$50:$G$50,O$7))*CHOOSE(Premissas!$B$6,INDEX(Premissas!$C$47:$G$47,O$7),INDEX(Premissas!$C$48:$G$48,O$7),INDEX(Premissas!$C$49:$G$49,O$7))</f>
        <v>-44880</v>
      </c>
      <c r="P20" s="84" t="n">
        <f aca="false">-CHOOSE(Premissas!$B$6,Cenários!P10,Cenários!P54,Cenários!P98)*(1-INDEX(Premissas!$C$50:$G$50,P$7))*CHOOSE(Premissas!$B$6,INDEX(Premissas!$C$47:$G$47,P$7),INDEX(Premissas!$C$48:$G$48,P$7),INDEX(Premissas!$C$49:$G$49,P$7))</f>
        <v>-44880</v>
      </c>
      <c r="Q20" s="84" t="n">
        <f aca="false">-CHOOSE(Premissas!$B$6,Cenários!Q10,Cenários!Q54,Cenários!Q98)*(1-INDEX(Premissas!$C$50:$G$50,Q$7))*CHOOSE(Premissas!$B$6,INDEX(Premissas!$C$47:$G$47,Q$7),INDEX(Premissas!$C$48:$G$48,Q$7),INDEX(Premissas!$C$49:$G$49,Q$7))</f>
        <v>-44880</v>
      </c>
      <c r="R20" s="84" t="n">
        <f aca="false">-CHOOSE(Premissas!$B$6,Cenários!R10,Cenários!R54,Cenários!R98)*(1-INDEX(Premissas!$C$50:$G$50,R$7))*CHOOSE(Premissas!$B$6,INDEX(Premissas!$C$47:$G$47,R$7),INDEX(Premissas!$C$48:$G$48,R$7),INDEX(Premissas!$C$49:$G$49,R$7))</f>
        <v>-44880</v>
      </c>
      <c r="S20" s="84" t="n">
        <f aca="false">-CHOOSE(Premissas!$B$6,Cenários!S10,Cenários!S54,Cenários!S98)*(1-INDEX(Premissas!$C$50:$G$50,S$7))*CHOOSE(Premissas!$B$6,INDEX(Premissas!$C$47:$G$47,S$7),INDEX(Premissas!$C$48:$G$48,S$7),INDEX(Premissas!$C$49:$G$49,S$7))</f>
        <v>-44880</v>
      </c>
      <c r="T20" s="84" t="n">
        <f aca="false">-CHOOSE(Premissas!$B$6,Cenários!T10,Cenários!T54,Cenários!T98)*(1-INDEX(Premissas!$C$50:$G$50,T$7))*CHOOSE(Premissas!$B$6,INDEX(Premissas!$C$47:$G$47,T$7),INDEX(Premissas!$C$48:$G$48,T$7),INDEX(Premissas!$C$49:$G$49,T$7))</f>
        <v>-44880</v>
      </c>
      <c r="U20" s="84" t="n">
        <f aca="false">-CHOOSE(Premissas!$B$6,Cenários!U10,Cenários!U54,Cenários!U98)*(1-INDEX(Premissas!$C$50:$G$50,U$7))*CHOOSE(Premissas!$B$6,INDEX(Premissas!$C$47:$G$47,U$7),INDEX(Premissas!$C$48:$G$48,U$7),INDEX(Premissas!$C$49:$G$49,U$7))</f>
        <v>-44880</v>
      </c>
      <c r="V20" s="84" t="n">
        <f aca="false">-CHOOSE(Premissas!$B$6,Cenários!V10,Cenários!V54,Cenários!V98)*(1-INDEX(Premissas!$C$50:$G$50,V$7))*CHOOSE(Premissas!$B$6,INDEX(Premissas!$C$47:$G$47,V$7),INDEX(Premissas!$C$48:$G$48,V$7),INDEX(Premissas!$C$49:$G$49,V$7))</f>
        <v>-44880</v>
      </c>
      <c r="W20" s="84" t="n">
        <f aca="false">-CHOOSE(Premissas!$B$6,Cenários!W10,Cenários!W54,Cenários!W98)*(1-INDEX(Premissas!$C$50:$G$50,W$7))*CHOOSE(Premissas!$B$6,INDEX(Premissas!$C$47:$G$47,W$7),INDEX(Premissas!$C$48:$G$48,W$7),INDEX(Premissas!$C$49:$G$49,W$7))</f>
        <v>-44880</v>
      </c>
      <c r="X20" s="84" t="n">
        <f aca="false">-CHOOSE(Premissas!$B$6,Cenários!X10,Cenários!X54,Cenários!X98)*(1-INDEX(Premissas!$C$50:$G$50,X$7))*CHOOSE(Premissas!$B$6,INDEX(Premissas!$C$47:$G$47,X$7),INDEX(Premissas!$C$48:$G$48,X$7),INDEX(Premissas!$C$49:$G$49,X$7))</f>
        <v>-44880</v>
      </c>
      <c r="Y20" s="84" t="n">
        <f aca="false">-CHOOSE(Premissas!$B$6,Cenários!Y10,Cenários!Y54,Cenários!Y98)*(1-INDEX(Premissas!$C$50:$G$50,Y$7))*CHOOSE(Premissas!$B$6,INDEX(Premissas!$C$47:$G$47,Y$7),INDEX(Premissas!$C$48:$G$48,Y$7),INDEX(Premissas!$C$49:$G$49,Y$7))</f>
        <v>-44880</v>
      </c>
      <c r="Z20" s="84" t="n">
        <f aca="false">-CHOOSE(Premissas!$B$6,Cenários!Z10,Cenários!Z54,Cenários!Z98)*(1-INDEX(Premissas!$C$50:$G$50,Z$7))*CHOOSE(Premissas!$B$6,INDEX(Premissas!$C$47:$G$47,Z$7),INDEX(Premissas!$C$48:$G$48,Z$7),INDEX(Premissas!$C$49:$G$49,Z$7))</f>
        <v>-102375</v>
      </c>
      <c r="AA20" s="84" t="n">
        <f aca="false">-CHOOSE(Premissas!$B$6,Cenários!AA10,Cenários!AA54,Cenários!AA98)*(1-INDEX(Premissas!$C$50:$G$50,AA$7))*CHOOSE(Premissas!$B$6,INDEX(Premissas!$C$47:$G$47,AA$7),INDEX(Premissas!$C$48:$G$48,AA$7),INDEX(Premissas!$C$49:$G$49,AA$7))</f>
        <v>-102375</v>
      </c>
      <c r="AB20" s="84" t="n">
        <f aca="false">-CHOOSE(Premissas!$B$6,Cenários!AB10,Cenários!AB54,Cenários!AB98)*(1-INDEX(Premissas!$C$50:$G$50,AB$7))*CHOOSE(Premissas!$B$6,INDEX(Premissas!$C$47:$G$47,AB$7),INDEX(Premissas!$C$48:$G$48,AB$7),INDEX(Premissas!$C$49:$G$49,AB$7))</f>
        <v>-102375</v>
      </c>
      <c r="AC20" s="84" t="n">
        <f aca="false">-CHOOSE(Premissas!$B$6,Cenários!AC10,Cenários!AC54,Cenários!AC98)*(1-INDEX(Premissas!$C$50:$G$50,AC$7))*CHOOSE(Premissas!$B$6,INDEX(Premissas!$C$47:$G$47,AC$7),INDEX(Premissas!$C$48:$G$48,AC$7),INDEX(Premissas!$C$49:$G$49,AC$7))</f>
        <v>-102375</v>
      </c>
      <c r="AD20" s="84" t="n">
        <f aca="false">-CHOOSE(Premissas!$B$6,Cenários!AD10,Cenários!AD54,Cenários!AD98)*(1-INDEX(Premissas!$C$50:$G$50,AD$7))*CHOOSE(Premissas!$B$6,INDEX(Premissas!$C$47:$G$47,AD$7),INDEX(Premissas!$C$48:$G$48,AD$7),INDEX(Premissas!$C$49:$G$49,AD$7))</f>
        <v>-102375</v>
      </c>
      <c r="AE20" s="84" t="n">
        <f aca="false">-CHOOSE(Premissas!$B$6,Cenários!AE10,Cenários!AE54,Cenários!AE98)*(1-INDEX(Premissas!$C$50:$G$50,AE$7))*CHOOSE(Premissas!$B$6,INDEX(Premissas!$C$47:$G$47,AE$7),INDEX(Premissas!$C$48:$G$48,AE$7),INDEX(Premissas!$C$49:$G$49,AE$7))</f>
        <v>-102375</v>
      </c>
      <c r="AF20" s="84" t="n">
        <f aca="false">-CHOOSE(Premissas!$B$6,Cenários!AF10,Cenários!AF54,Cenários!AF98)*(1-INDEX(Premissas!$C$50:$G$50,AF$7))*CHOOSE(Premissas!$B$6,INDEX(Premissas!$C$47:$G$47,AF$7),INDEX(Premissas!$C$48:$G$48,AF$7),INDEX(Premissas!$C$49:$G$49,AF$7))</f>
        <v>-102375</v>
      </c>
      <c r="AG20" s="84" t="n">
        <f aca="false">-CHOOSE(Premissas!$B$6,Cenários!AG10,Cenários!AG54,Cenários!AG98)*(1-INDEX(Premissas!$C$50:$G$50,AG$7))*CHOOSE(Premissas!$B$6,INDEX(Premissas!$C$47:$G$47,AG$7),INDEX(Premissas!$C$48:$G$48,AG$7),INDEX(Premissas!$C$49:$G$49,AG$7))</f>
        <v>-102375</v>
      </c>
      <c r="AH20" s="84" t="n">
        <f aca="false">-CHOOSE(Premissas!$B$6,Cenários!AH10,Cenários!AH54,Cenários!AH98)*(1-INDEX(Premissas!$C$50:$G$50,AH$7))*CHOOSE(Premissas!$B$6,INDEX(Premissas!$C$47:$G$47,AH$7),INDEX(Premissas!$C$48:$G$48,AH$7),INDEX(Premissas!$C$49:$G$49,AH$7))</f>
        <v>-102375</v>
      </c>
      <c r="AI20" s="84" t="n">
        <f aca="false">-CHOOSE(Premissas!$B$6,Cenários!AI10,Cenários!AI54,Cenários!AI98)*(1-INDEX(Premissas!$C$50:$G$50,AI$7))*CHOOSE(Premissas!$B$6,INDEX(Premissas!$C$47:$G$47,AI$7),INDEX(Premissas!$C$48:$G$48,AI$7),INDEX(Premissas!$C$49:$G$49,AI$7))</f>
        <v>-102375</v>
      </c>
      <c r="AJ20" s="84" t="n">
        <f aca="false">-CHOOSE(Premissas!$B$6,Cenários!AJ10,Cenários!AJ54,Cenários!AJ98)*(1-INDEX(Premissas!$C$50:$G$50,AJ$7))*CHOOSE(Premissas!$B$6,INDEX(Premissas!$C$47:$G$47,AJ$7),INDEX(Premissas!$C$48:$G$48,AJ$7),INDEX(Premissas!$C$49:$G$49,AJ$7))</f>
        <v>-102375</v>
      </c>
      <c r="AK20" s="84" t="n">
        <f aca="false">-CHOOSE(Premissas!$B$6,Cenários!AK10,Cenários!AK54,Cenários!AK98)*(1-INDEX(Premissas!$C$50:$G$50,AK$7))*CHOOSE(Premissas!$B$6,INDEX(Premissas!$C$47:$G$47,AK$7),INDEX(Premissas!$C$48:$G$48,AK$7),INDEX(Premissas!$C$49:$G$49,AK$7))</f>
        <v>-102375</v>
      </c>
      <c r="AL20" s="84" t="n">
        <f aca="false">-CHOOSE(Premissas!$B$6,Cenários!AL10,Cenários!AL54,Cenários!AL98)*(1-INDEX(Premissas!$C$50:$G$50,AL$7))*CHOOSE(Premissas!$B$6,INDEX(Premissas!$C$47:$G$47,AL$7),INDEX(Premissas!$C$48:$G$48,AL$7),INDEX(Premissas!$C$49:$G$49,AL$7))</f>
        <v>-173600</v>
      </c>
      <c r="AM20" s="84" t="n">
        <f aca="false">-CHOOSE(Premissas!$B$6,Cenários!AM10,Cenários!AM54,Cenários!AM98)*(1-INDEX(Premissas!$C$50:$G$50,AM$7))*CHOOSE(Premissas!$B$6,INDEX(Premissas!$C$47:$G$47,AM$7),INDEX(Premissas!$C$48:$G$48,AM$7),INDEX(Premissas!$C$49:$G$49,AM$7))</f>
        <v>-173600</v>
      </c>
      <c r="AN20" s="84" t="n">
        <f aca="false">-CHOOSE(Premissas!$B$6,Cenários!AN10,Cenários!AN54,Cenários!AN98)*(1-INDEX(Premissas!$C$50:$G$50,AN$7))*CHOOSE(Premissas!$B$6,INDEX(Premissas!$C$47:$G$47,AN$7),INDEX(Premissas!$C$48:$G$48,AN$7),INDEX(Premissas!$C$49:$G$49,AN$7))</f>
        <v>-173600</v>
      </c>
      <c r="AO20" s="84" t="n">
        <f aca="false">-CHOOSE(Premissas!$B$6,Cenários!AO10,Cenários!AO54,Cenários!AO98)*(1-INDEX(Premissas!$C$50:$G$50,AO$7))*CHOOSE(Premissas!$B$6,INDEX(Premissas!$C$47:$G$47,AO$7),INDEX(Premissas!$C$48:$G$48,AO$7),INDEX(Premissas!$C$49:$G$49,AO$7))</f>
        <v>-173600</v>
      </c>
      <c r="AP20" s="84" t="n">
        <f aca="false">-CHOOSE(Premissas!$B$6,Cenários!AP10,Cenários!AP54,Cenários!AP98)*(1-INDEX(Premissas!$C$50:$G$50,AP$7))*CHOOSE(Premissas!$B$6,INDEX(Premissas!$C$47:$G$47,AP$7),INDEX(Premissas!$C$48:$G$48,AP$7),INDEX(Premissas!$C$49:$G$49,AP$7))</f>
        <v>-173600</v>
      </c>
      <c r="AQ20" s="84" t="n">
        <f aca="false">-CHOOSE(Premissas!$B$6,Cenários!AQ10,Cenários!AQ54,Cenários!AQ98)*(1-INDEX(Premissas!$C$50:$G$50,AQ$7))*CHOOSE(Premissas!$B$6,INDEX(Premissas!$C$47:$G$47,AQ$7),INDEX(Premissas!$C$48:$G$48,AQ$7),INDEX(Premissas!$C$49:$G$49,AQ$7))</f>
        <v>-173600</v>
      </c>
      <c r="AR20" s="84" t="n">
        <f aca="false">-CHOOSE(Premissas!$B$6,Cenários!AR10,Cenários!AR54,Cenários!AR98)*(1-INDEX(Premissas!$C$50:$G$50,AR$7))*CHOOSE(Premissas!$B$6,INDEX(Premissas!$C$47:$G$47,AR$7),INDEX(Premissas!$C$48:$G$48,AR$7),INDEX(Premissas!$C$49:$G$49,AR$7))</f>
        <v>-173600</v>
      </c>
      <c r="AS20" s="84" t="n">
        <f aca="false">-CHOOSE(Premissas!$B$6,Cenários!AS10,Cenários!AS54,Cenários!AS98)*(1-INDEX(Premissas!$C$50:$G$50,AS$7))*CHOOSE(Premissas!$B$6,INDEX(Premissas!$C$47:$G$47,AS$7),INDEX(Premissas!$C$48:$G$48,AS$7),INDEX(Premissas!$C$49:$G$49,AS$7))</f>
        <v>-173600</v>
      </c>
      <c r="AT20" s="84" t="n">
        <f aca="false">-CHOOSE(Premissas!$B$6,Cenários!AT10,Cenários!AT54,Cenários!AT98)*(1-INDEX(Premissas!$C$50:$G$50,AT$7))*CHOOSE(Premissas!$B$6,INDEX(Premissas!$C$47:$G$47,AT$7),INDEX(Premissas!$C$48:$G$48,AT$7),INDEX(Premissas!$C$49:$G$49,AT$7))</f>
        <v>-173600</v>
      </c>
      <c r="AU20" s="84" t="n">
        <f aca="false">-CHOOSE(Premissas!$B$6,Cenários!AU10,Cenários!AU54,Cenários!AU98)*(1-INDEX(Premissas!$C$50:$G$50,AU$7))*CHOOSE(Premissas!$B$6,INDEX(Premissas!$C$47:$G$47,AU$7),INDEX(Premissas!$C$48:$G$48,AU$7),INDEX(Premissas!$C$49:$G$49,AU$7))</f>
        <v>-173600</v>
      </c>
      <c r="AV20" s="84" t="n">
        <f aca="false">-CHOOSE(Premissas!$B$6,Cenários!AV10,Cenários!AV54,Cenários!AV98)*(1-INDEX(Premissas!$C$50:$G$50,AV$7))*CHOOSE(Premissas!$B$6,INDEX(Premissas!$C$47:$G$47,AV$7),INDEX(Premissas!$C$48:$G$48,AV$7),INDEX(Premissas!$C$49:$G$49,AV$7))</f>
        <v>-173600</v>
      </c>
      <c r="AW20" s="84" t="n">
        <f aca="false">-CHOOSE(Premissas!$B$6,Cenários!AW10,Cenários!AW54,Cenários!AW98)*(1-INDEX(Premissas!$C$50:$G$50,AW$7))*CHOOSE(Premissas!$B$6,INDEX(Premissas!$C$47:$G$47,AW$7),INDEX(Premissas!$C$48:$G$48,AW$7),INDEX(Premissas!$C$49:$G$49,AW$7))</f>
        <v>-173600</v>
      </c>
      <c r="AX20" s="84" t="n">
        <f aca="false">-CHOOSE(Premissas!$B$6,Cenários!AX10,Cenários!AX54,Cenários!AX98)*(1-INDEX(Premissas!$C$50:$G$50,AX$7))*CHOOSE(Premissas!$B$6,INDEX(Premissas!$C$47:$G$47,AX$7),INDEX(Premissas!$C$48:$G$48,AX$7),INDEX(Premissas!$C$49:$G$49,AX$7))</f>
        <v>-256500</v>
      </c>
      <c r="AY20" s="84" t="n">
        <f aca="false">-CHOOSE(Premissas!$B$6,Cenários!AY10,Cenários!AY54,Cenários!AY98)*(1-INDEX(Premissas!$C$50:$G$50,AY$7))*CHOOSE(Premissas!$B$6,INDEX(Premissas!$C$47:$G$47,AY$7),INDEX(Premissas!$C$48:$G$48,AY$7),INDEX(Premissas!$C$49:$G$49,AY$7))</f>
        <v>-256500</v>
      </c>
      <c r="AZ20" s="84" t="n">
        <f aca="false">-CHOOSE(Premissas!$B$6,Cenários!AZ10,Cenários!AZ54,Cenários!AZ98)*(1-INDEX(Premissas!$C$50:$G$50,AZ$7))*CHOOSE(Premissas!$B$6,INDEX(Premissas!$C$47:$G$47,AZ$7),INDEX(Premissas!$C$48:$G$48,AZ$7),INDEX(Premissas!$C$49:$G$49,AZ$7))</f>
        <v>-256500</v>
      </c>
      <c r="BA20" s="84" t="n">
        <f aca="false">-CHOOSE(Premissas!$B$6,Cenários!BA10,Cenários!BA54,Cenários!BA98)*(1-INDEX(Premissas!$C$50:$G$50,BA$7))*CHOOSE(Premissas!$B$6,INDEX(Premissas!$C$47:$G$47,BA$7),INDEX(Premissas!$C$48:$G$48,BA$7),INDEX(Premissas!$C$49:$G$49,BA$7))</f>
        <v>-256500</v>
      </c>
      <c r="BB20" s="84" t="n">
        <f aca="false">-CHOOSE(Premissas!$B$6,Cenários!BB10,Cenários!BB54,Cenários!BB98)*(1-INDEX(Premissas!$C$50:$G$50,BB$7))*CHOOSE(Premissas!$B$6,INDEX(Premissas!$C$47:$G$47,BB$7),INDEX(Premissas!$C$48:$G$48,BB$7),INDEX(Premissas!$C$49:$G$49,BB$7))</f>
        <v>-256500</v>
      </c>
      <c r="BC20" s="84" t="n">
        <f aca="false">-CHOOSE(Premissas!$B$6,Cenários!BC10,Cenários!BC54,Cenários!BC98)*(1-INDEX(Premissas!$C$50:$G$50,BC$7))*CHOOSE(Premissas!$B$6,INDEX(Premissas!$C$47:$G$47,BC$7),INDEX(Premissas!$C$48:$G$48,BC$7),INDEX(Premissas!$C$49:$G$49,BC$7))</f>
        <v>-256500</v>
      </c>
      <c r="BD20" s="84" t="n">
        <f aca="false">-CHOOSE(Premissas!$B$6,Cenários!BD10,Cenários!BD54,Cenários!BD98)*(1-INDEX(Premissas!$C$50:$G$50,BD$7))*CHOOSE(Premissas!$B$6,INDEX(Premissas!$C$47:$G$47,BD$7),INDEX(Premissas!$C$48:$G$48,BD$7),INDEX(Premissas!$C$49:$G$49,BD$7))</f>
        <v>-256500</v>
      </c>
      <c r="BE20" s="84" t="n">
        <f aca="false">-CHOOSE(Premissas!$B$6,Cenários!BE10,Cenários!BE54,Cenários!BE98)*(1-INDEX(Premissas!$C$50:$G$50,BE$7))*CHOOSE(Premissas!$B$6,INDEX(Premissas!$C$47:$G$47,BE$7),INDEX(Premissas!$C$48:$G$48,BE$7),INDEX(Premissas!$C$49:$G$49,BE$7))</f>
        <v>-256500</v>
      </c>
      <c r="BF20" s="84" t="n">
        <f aca="false">-CHOOSE(Premissas!$B$6,Cenários!BF10,Cenários!BF54,Cenários!BF98)*(1-INDEX(Premissas!$C$50:$G$50,BF$7))*CHOOSE(Premissas!$B$6,INDEX(Premissas!$C$47:$G$47,BF$7),INDEX(Premissas!$C$48:$G$48,BF$7),INDEX(Premissas!$C$49:$G$49,BF$7))</f>
        <v>-256500</v>
      </c>
      <c r="BG20" s="84" t="n">
        <f aca="false">-CHOOSE(Premissas!$B$6,Cenários!BG10,Cenários!BG54,Cenários!BG98)*(1-INDEX(Premissas!$C$50:$G$50,BG$7))*CHOOSE(Premissas!$B$6,INDEX(Premissas!$C$47:$G$47,BG$7),INDEX(Premissas!$C$48:$G$48,BG$7),INDEX(Premissas!$C$49:$G$49,BG$7))</f>
        <v>-256500</v>
      </c>
      <c r="BH20" s="84" t="n">
        <f aca="false">-CHOOSE(Premissas!$B$6,Cenários!BH10,Cenários!BH54,Cenários!BH98)*(1-INDEX(Premissas!$C$50:$G$50,BH$7))*CHOOSE(Premissas!$B$6,INDEX(Premissas!$C$47:$G$47,BH$7),INDEX(Premissas!$C$48:$G$48,BH$7),INDEX(Premissas!$C$49:$G$49,BH$7))</f>
        <v>-256500</v>
      </c>
      <c r="BI20" s="84" t="n">
        <f aca="false">-CHOOSE(Premissas!$B$6,Cenários!BI10,Cenários!BI54,Cenários!BI98)*(1-INDEX(Premissas!$C$50:$G$50,BI$7))*CHOOSE(Premissas!$B$6,INDEX(Premissas!$C$47:$G$47,BI$7),INDEX(Premissas!$C$48:$G$48,BI$7),INDEX(Premissas!$C$49:$G$49,BI$7))</f>
        <v>-256500</v>
      </c>
      <c r="BJ20" s="69" t="n">
        <f aca="false">SUM(B20:BI20)</f>
        <v>-7023285</v>
      </c>
      <c r="BK20" s="70" t="n">
        <f aca="false">IFERROR(BJ20/BJ$27,0)</f>
        <v>0.136669115048109</v>
      </c>
    </row>
    <row r="21" customFormat="false" ht="15" hidden="false" customHeight="false" outlineLevel="0" collapsed="false">
      <c r="A21" s="12" t="s">
        <v>257</v>
      </c>
      <c r="B21" s="84" t="n">
        <f aca="false">-IF(B$4&gt;=Premissas!$B$75,INDEX(Premissas!$C$74:$G$74,B$7),0)</f>
        <v>-0</v>
      </c>
      <c r="C21" s="84" t="n">
        <f aca="false">-IF(C$4&gt;=Premissas!$B$75,INDEX(Premissas!$C$74:$G$74,C$7),0)</f>
        <v>-0</v>
      </c>
      <c r="D21" s="84" t="n">
        <f aca="false">-IF(D$4&gt;=Premissas!$B$75,INDEX(Premissas!$C$74:$G$74,D$7),0)</f>
        <v>-0</v>
      </c>
      <c r="E21" s="84" t="n">
        <f aca="false">-IF(E$4&gt;=Premissas!$B$75,INDEX(Premissas!$C$74:$G$74,E$7),0)</f>
        <v>-0</v>
      </c>
      <c r="F21" s="84" t="n">
        <f aca="false">-IF(F$4&gt;=Premissas!$B$75,INDEX(Premissas!$C$74:$G$74,F$7),0)</f>
        <v>-0</v>
      </c>
      <c r="G21" s="84" t="n">
        <f aca="false">-IF(G$4&gt;=Premissas!$B$75,INDEX(Premissas!$C$74:$G$74,G$7),0)</f>
        <v>-0</v>
      </c>
      <c r="H21" s="84" t="n">
        <f aca="false">-IF(H$4&gt;=Premissas!$B$75,INDEX(Premissas!$C$74:$G$74,H$7),0)</f>
        <v>-0</v>
      </c>
      <c r="I21" s="84" t="n">
        <f aca="false">-IF(I$4&gt;=Premissas!$B$75,INDEX(Premissas!$C$74:$G$74,I$7),0)</f>
        <v>-0</v>
      </c>
      <c r="J21" s="84" t="n">
        <f aca="false">-IF(J$4&gt;=Premissas!$B$75,INDEX(Premissas!$C$74:$G$74,J$7),0)</f>
        <v>-0</v>
      </c>
      <c r="K21" s="84" t="n">
        <f aca="false">-IF(K$4&gt;=Premissas!$B$75,INDEX(Premissas!$C$74:$G$74,K$7),0)</f>
        <v>-3000</v>
      </c>
      <c r="L21" s="84" t="n">
        <f aca="false">-IF(L$4&gt;=Premissas!$B$75,INDEX(Premissas!$C$74:$G$74,L$7),0)</f>
        <v>-3000</v>
      </c>
      <c r="M21" s="84" t="n">
        <f aca="false">-IF(M$4&gt;=Premissas!$B$75,INDEX(Premissas!$C$74:$G$74,M$7),0)</f>
        <v>-3000</v>
      </c>
      <c r="N21" s="84" t="n">
        <f aca="false">-IF(N$4&gt;=Premissas!$B$75,INDEX(Premissas!$C$74:$G$74,N$7),0)</f>
        <v>-15000</v>
      </c>
      <c r="O21" s="84" t="n">
        <f aca="false">-IF(O$4&gt;=Premissas!$B$75,INDEX(Premissas!$C$74:$G$74,O$7),0)</f>
        <v>-15000</v>
      </c>
      <c r="P21" s="84" t="n">
        <f aca="false">-IF(P$4&gt;=Premissas!$B$75,INDEX(Premissas!$C$74:$G$74,P$7),0)</f>
        <v>-15000</v>
      </c>
      <c r="Q21" s="84" t="n">
        <f aca="false">-IF(Q$4&gt;=Premissas!$B$75,INDEX(Premissas!$C$74:$G$74,Q$7),0)</f>
        <v>-15000</v>
      </c>
      <c r="R21" s="84" t="n">
        <f aca="false">-IF(R$4&gt;=Premissas!$B$75,INDEX(Premissas!$C$74:$G$74,R$7),0)</f>
        <v>-15000</v>
      </c>
      <c r="S21" s="84" t="n">
        <f aca="false">-IF(S$4&gt;=Premissas!$B$75,INDEX(Premissas!$C$74:$G$74,S$7),0)</f>
        <v>-15000</v>
      </c>
      <c r="T21" s="84" t="n">
        <f aca="false">-IF(T$4&gt;=Premissas!$B$75,INDEX(Premissas!$C$74:$G$74,T$7),0)</f>
        <v>-15000</v>
      </c>
      <c r="U21" s="84" t="n">
        <f aca="false">-IF(U$4&gt;=Premissas!$B$75,INDEX(Premissas!$C$74:$G$74,U$7),0)</f>
        <v>-15000</v>
      </c>
      <c r="V21" s="84" t="n">
        <f aca="false">-IF(V$4&gt;=Premissas!$B$75,INDEX(Premissas!$C$74:$G$74,V$7),0)</f>
        <v>-15000</v>
      </c>
      <c r="W21" s="84" t="n">
        <f aca="false">-IF(W$4&gt;=Premissas!$B$75,INDEX(Premissas!$C$74:$G$74,W$7),0)</f>
        <v>-15000</v>
      </c>
      <c r="X21" s="84" t="n">
        <f aca="false">-IF(X$4&gt;=Premissas!$B$75,INDEX(Premissas!$C$74:$G$74,X$7),0)</f>
        <v>-15000</v>
      </c>
      <c r="Y21" s="84" t="n">
        <f aca="false">-IF(Y$4&gt;=Premissas!$B$75,INDEX(Premissas!$C$74:$G$74,Y$7),0)</f>
        <v>-15000</v>
      </c>
      <c r="Z21" s="84" t="n">
        <f aca="false">-IF(Z$4&gt;=Premissas!$B$75,INDEX(Premissas!$C$74:$G$74,Z$7),0)</f>
        <v>-60000</v>
      </c>
      <c r="AA21" s="84" t="n">
        <f aca="false">-IF(AA$4&gt;=Premissas!$B$75,INDEX(Premissas!$C$74:$G$74,AA$7),0)</f>
        <v>-60000</v>
      </c>
      <c r="AB21" s="84" t="n">
        <f aca="false">-IF(AB$4&gt;=Premissas!$B$75,INDEX(Premissas!$C$74:$G$74,AB$7),0)</f>
        <v>-60000</v>
      </c>
      <c r="AC21" s="84" t="n">
        <f aca="false">-IF(AC$4&gt;=Premissas!$B$75,INDEX(Premissas!$C$74:$G$74,AC$7),0)</f>
        <v>-60000</v>
      </c>
      <c r="AD21" s="84" t="n">
        <f aca="false">-IF(AD$4&gt;=Premissas!$B$75,INDEX(Premissas!$C$74:$G$74,AD$7),0)</f>
        <v>-60000</v>
      </c>
      <c r="AE21" s="84" t="n">
        <f aca="false">-IF(AE$4&gt;=Premissas!$B$75,INDEX(Premissas!$C$74:$G$74,AE$7),0)</f>
        <v>-60000</v>
      </c>
      <c r="AF21" s="84" t="n">
        <f aca="false">-IF(AF$4&gt;=Premissas!$B$75,INDEX(Premissas!$C$74:$G$74,AF$7),0)</f>
        <v>-60000</v>
      </c>
      <c r="AG21" s="84" t="n">
        <f aca="false">-IF(AG$4&gt;=Premissas!$B$75,INDEX(Premissas!$C$74:$G$74,AG$7),0)</f>
        <v>-60000</v>
      </c>
      <c r="AH21" s="84" t="n">
        <f aca="false">-IF(AH$4&gt;=Premissas!$B$75,INDEX(Premissas!$C$74:$G$74,AH$7),0)</f>
        <v>-60000</v>
      </c>
      <c r="AI21" s="84" t="n">
        <f aca="false">-IF(AI$4&gt;=Premissas!$B$75,INDEX(Premissas!$C$74:$G$74,AI$7),0)</f>
        <v>-60000</v>
      </c>
      <c r="AJ21" s="84" t="n">
        <f aca="false">-IF(AJ$4&gt;=Premissas!$B$75,INDEX(Premissas!$C$74:$G$74,AJ$7),0)</f>
        <v>-60000</v>
      </c>
      <c r="AK21" s="84" t="n">
        <f aca="false">-IF(AK$4&gt;=Premissas!$B$75,INDEX(Premissas!$C$74:$G$74,AK$7),0)</f>
        <v>-60000</v>
      </c>
      <c r="AL21" s="84" t="n">
        <f aca="false">-IF(AL$4&gt;=Premissas!$B$75,INDEX(Premissas!$C$74:$G$74,AL$7),0)</f>
        <v>-140000</v>
      </c>
      <c r="AM21" s="84" t="n">
        <f aca="false">-IF(AM$4&gt;=Premissas!$B$75,INDEX(Premissas!$C$74:$G$74,AM$7),0)</f>
        <v>-140000</v>
      </c>
      <c r="AN21" s="84" t="n">
        <f aca="false">-IF(AN$4&gt;=Premissas!$B$75,INDEX(Premissas!$C$74:$G$74,AN$7),0)</f>
        <v>-140000</v>
      </c>
      <c r="AO21" s="84" t="n">
        <f aca="false">-IF(AO$4&gt;=Premissas!$B$75,INDEX(Premissas!$C$74:$G$74,AO$7),0)</f>
        <v>-140000</v>
      </c>
      <c r="AP21" s="84" t="n">
        <f aca="false">-IF(AP$4&gt;=Premissas!$B$75,INDEX(Premissas!$C$74:$G$74,AP$7),0)</f>
        <v>-140000</v>
      </c>
      <c r="AQ21" s="84" t="n">
        <f aca="false">-IF(AQ$4&gt;=Premissas!$B$75,INDEX(Premissas!$C$74:$G$74,AQ$7),0)</f>
        <v>-140000</v>
      </c>
      <c r="AR21" s="84" t="n">
        <f aca="false">-IF(AR$4&gt;=Premissas!$B$75,INDEX(Premissas!$C$74:$G$74,AR$7),0)</f>
        <v>-140000</v>
      </c>
      <c r="AS21" s="84" t="n">
        <f aca="false">-IF(AS$4&gt;=Premissas!$B$75,INDEX(Premissas!$C$74:$G$74,AS$7),0)</f>
        <v>-140000</v>
      </c>
      <c r="AT21" s="84" t="n">
        <f aca="false">-IF(AT$4&gt;=Premissas!$B$75,INDEX(Premissas!$C$74:$G$74,AT$7),0)</f>
        <v>-140000</v>
      </c>
      <c r="AU21" s="84" t="n">
        <f aca="false">-IF(AU$4&gt;=Premissas!$B$75,INDEX(Premissas!$C$74:$G$74,AU$7),0)</f>
        <v>-140000</v>
      </c>
      <c r="AV21" s="84" t="n">
        <f aca="false">-IF(AV$4&gt;=Premissas!$B$75,INDEX(Premissas!$C$74:$G$74,AV$7),0)</f>
        <v>-140000</v>
      </c>
      <c r="AW21" s="84" t="n">
        <f aca="false">-IF(AW$4&gt;=Premissas!$B$75,INDEX(Premissas!$C$74:$G$74,AW$7),0)</f>
        <v>-140000</v>
      </c>
      <c r="AX21" s="84" t="n">
        <f aca="false">-IF(AX$4&gt;=Premissas!$B$75,INDEX(Premissas!$C$74:$G$74,AX$7),0)</f>
        <v>-250000</v>
      </c>
      <c r="AY21" s="84" t="n">
        <f aca="false">-IF(AY$4&gt;=Premissas!$B$75,INDEX(Premissas!$C$74:$G$74,AY$7),0)</f>
        <v>-250000</v>
      </c>
      <c r="AZ21" s="84" t="n">
        <f aca="false">-IF(AZ$4&gt;=Premissas!$B$75,INDEX(Premissas!$C$74:$G$74,AZ$7),0)</f>
        <v>-250000</v>
      </c>
      <c r="BA21" s="84" t="n">
        <f aca="false">-IF(BA$4&gt;=Premissas!$B$75,INDEX(Premissas!$C$74:$G$74,BA$7),0)</f>
        <v>-250000</v>
      </c>
      <c r="BB21" s="84" t="n">
        <f aca="false">-IF(BB$4&gt;=Premissas!$B$75,INDEX(Premissas!$C$74:$G$74,BB$7),0)</f>
        <v>-250000</v>
      </c>
      <c r="BC21" s="84" t="n">
        <f aca="false">-IF(BC$4&gt;=Premissas!$B$75,INDEX(Premissas!$C$74:$G$74,BC$7),0)</f>
        <v>-250000</v>
      </c>
      <c r="BD21" s="84" t="n">
        <f aca="false">-IF(BD$4&gt;=Premissas!$B$75,INDEX(Premissas!$C$74:$G$74,BD$7),0)</f>
        <v>-250000</v>
      </c>
      <c r="BE21" s="84" t="n">
        <f aca="false">-IF(BE$4&gt;=Premissas!$B$75,INDEX(Premissas!$C$74:$G$74,BE$7),0)</f>
        <v>-250000</v>
      </c>
      <c r="BF21" s="84" t="n">
        <f aca="false">-IF(BF$4&gt;=Premissas!$B$75,INDEX(Premissas!$C$74:$G$74,BF$7),0)</f>
        <v>-250000</v>
      </c>
      <c r="BG21" s="84" t="n">
        <f aca="false">-IF(BG$4&gt;=Premissas!$B$75,INDEX(Premissas!$C$74:$G$74,BG$7),0)</f>
        <v>-250000</v>
      </c>
      <c r="BH21" s="84" t="n">
        <f aca="false">-IF(BH$4&gt;=Premissas!$B$75,INDEX(Premissas!$C$74:$G$74,BH$7),0)</f>
        <v>-250000</v>
      </c>
      <c r="BI21" s="84" t="n">
        <f aca="false">-IF(BI$4&gt;=Premissas!$B$75,INDEX(Premissas!$C$74:$G$74,BI$7),0)</f>
        <v>-250000</v>
      </c>
      <c r="BJ21" s="69" t="n">
        <f aca="false">SUM(B21:BI21)</f>
        <v>-5589000</v>
      </c>
      <c r="BK21" s="70" t="n">
        <f aca="false">IFERROR(BJ21/BJ$27,0)</f>
        <v>0.108758748079265</v>
      </c>
    </row>
    <row r="22" customFormat="false" ht="15" hidden="false" customHeight="false" outlineLevel="0" collapsed="false">
      <c r="A22" s="12" t="s">
        <v>258</v>
      </c>
      <c r="B22" s="84" t="n">
        <f aca="false">-IF(B$4=DATE(YEAR(Premissas!$B$77),MONTH(Premissas!$B$77),1),Premissas!$B$76,0)</f>
        <v>-0</v>
      </c>
      <c r="C22" s="84" t="n">
        <f aca="false">-IF(C$4=DATE(YEAR(Premissas!$B$77),MONTH(Premissas!$B$77),1),Premissas!$B$76,0)</f>
        <v>-0</v>
      </c>
      <c r="D22" s="84" t="n">
        <f aca="false">-IF(D$4=DATE(YEAR(Premissas!$B$77),MONTH(Premissas!$B$77),1),Premissas!$B$76,0)</f>
        <v>-0</v>
      </c>
      <c r="E22" s="84" t="n">
        <f aca="false">-IF(E$4=DATE(YEAR(Premissas!$B$77),MONTH(Premissas!$B$77),1),Premissas!$B$76,0)</f>
        <v>-0</v>
      </c>
      <c r="F22" s="84" t="n">
        <f aca="false">-IF(F$4=DATE(YEAR(Premissas!$B$77),MONTH(Premissas!$B$77),1),Premissas!$B$76,0)</f>
        <v>-0</v>
      </c>
      <c r="G22" s="84" t="n">
        <f aca="false">-IF(G$4=DATE(YEAR(Premissas!$B$77),MONTH(Premissas!$B$77),1),Premissas!$B$76,0)</f>
        <v>-0</v>
      </c>
      <c r="H22" s="84" t="n">
        <f aca="false">-IF(H$4=DATE(YEAR(Premissas!$B$77),MONTH(Premissas!$B$77),1),Premissas!$B$76,0)</f>
        <v>-0</v>
      </c>
      <c r="I22" s="84" t="n">
        <f aca="false">-IF(I$4=DATE(YEAR(Premissas!$B$77),MONTH(Premissas!$B$77),1),Premissas!$B$76,0)</f>
        <v>-0</v>
      </c>
      <c r="J22" s="84" t="n">
        <f aca="false">-IF(J$4=DATE(YEAR(Premissas!$B$77),MONTH(Premissas!$B$77),1),Premissas!$B$76,0)</f>
        <v>-0</v>
      </c>
      <c r="K22" s="84" t="n">
        <f aca="false">-IF(K$4=DATE(YEAR(Premissas!$B$77),MONTH(Premissas!$B$77),1),Premissas!$B$76,0)</f>
        <v>-25000</v>
      </c>
      <c r="L22" s="84" t="n">
        <f aca="false">-IF(L$4=DATE(YEAR(Premissas!$B$77),MONTH(Premissas!$B$77),1),Premissas!$B$76,0)</f>
        <v>-0</v>
      </c>
      <c r="M22" s="84" t="n">
        <f aca="false">-IF(M$4=DATE(YEAR(Premissas!$B$77),MONTH(Premissas!$B$77),1),Premissas!$B$76,0)</f>
        <v>-0</v>
      </c>
      <c r="N22" s="84" t="n">
        <f aca="false">-IF(N$4=DATE(YEAR(Premissas!$B$77),MONTH(Premissas!$B$77),1),Premissas!$B$76,0)</f>
        <v>-0</v>
      </c>
      <c r="O22" s="84" t="n">
        <f aca="false">-IF(O$4=DATE(YEAR(Premissas!$B$77),MONTH(Premissas!$B$77),1),Premissas!$B$76,0)</f>
        <v>-0</v>
      </c>
      <c r="P22" s="84" t="n">
        <f aca="false">-IF(P$4=DATE(YEAR(Premissas!$B$77),MONTH(Premissas!$B$77),1),Premissas!$B$76,0)</f>
        <v>-0</v>
      </c>
      <c r="Q22" s="84" t="n">
        <f aca="false">-IF(Q$4=DATE(YEAR(Premissas!$B$77),MONTH(Premissas!$B$77),1),Premissas!$B$76,0)</f>
        <v>-0</v>
      </c>
      <c r="R22" s="84" t="n">
        <f aca="false">-IF(R$4=DATE(YEAR(Premissas!$B$77),MONTH(Premissas!$B$77),1),Premissas!$B$76,0)</f>
        <v>-0</v>
      </c>
      <c r="S22" s="84" t="n">
        <f aca="false">-IF(S$4=DATE(YEAR(Premissas!$B$77),MONTH(Premissas!$B$77),1),Premissas!$B$76,0)</f>
        <v>-0</v>
      </c>
      <c r="T22" s="84" t="n">
        <f aca="false">-IF(T$4=DATE(YEAR(Premissas!$B$77),MONTH(Premissas!$B$77),1),Premissas!$B$76,0)</f>
        <v>-0</v>
      </c>
      <c r="U22" s="84" t="n">
        <f aca="false">-IF(U$4=DATE(YEAR(Premissas!$B$77),MONTH(Premissas!$B$77),1),Premissas!$B$76,0)</f>
        <v>-0</v>
      </c>
      <c r="V22" s="84" t="n">
        <f aca="false">-IF(V$4=DATE(YEAR(Premissas!$B$77),MONTH(Premissas!$B$77),1),Premissas!$B$76,0)</f>
        <v>-0</v>
      </c>
      <c r="W22" s="84" t="n">
        <f aca="false">-IF(W$4=DATE(YEAR(Premissas!$B$77),MONTH(Premissas!$B$77),1),Premissas!$B$76,0)</f>
        <v>-0</v>
      </c>
      <c r="X22" s="84" t="n">
        <f aca="false">-IF(X$4=DATE(YEAR(Premissas!$B$77),MONTH(Premissas!$B$77),1),Premissas!$B$76,0)</f>
        <v>-0</v>
      </c>
      <c r="Y22" s="84" t="n">
        <f aca="false">-IF(Y$4=DATE(YEAR(Premissas!$B$77),MONTH(Premissas!$B$77),1),Premissas!$B$76,0)</f>
        <v>-0</v>
      </c>
      <c r="Z22" s="84" t="n">
        <f aca="false">-IF(Z$4=DATE(YEAR(Premissas!$B$77),MONTH(Premissas!$B$77),1),Premissas!$B$76,0)</f>
        <v>-0</v>
      </c>
      <c r="AA22" s="84" t="n">
        <f aca="false">-IF(AA$4=DATE(YEAR(Premissas!$B$77),MONTH(Premissas!$B$77),1),Premissas!$B$76,0)</f>
        <v>-0</v>
      </c>
      <c r="AB22" s="84" t="n">
        <f aca="false">-IF(AB$4=DATE(YEAR(Premissas!$B$77),MONTH(Premissas!$B$77),1),Premissas!$B$76,0)</f>
        <v>-0</v>
      </c>
      <c r="AC22" s="84" t="n">
        <f aca="false">-IF(AC$4=DATE(YEAR(Premissas!$B$77),MONTH(Premissas!$B$77),1),Premissas!$B$76,0)</f>
        <v>-0</v>
      </c>
      <c r="AD22" s="84" t="n">
        <f aca="false">-IF(AD$4=DATE(YEAR(Premissas!$B$77),MONTH(Premissas!$B$77),1),Premissas!$B$76,0)</f>
        <v>-0</v>
      </c>
      <c r="AE22" s="84" t="n">
        <f aca="false">-IF(AE$4=DATE(YEAR(Premissas!$B$77),MONTH(Premissas!$B$77),1),Premissas!$B$76,0)</f>
        <v>-0</v>
      </c>
      <c r="AF22" s="84" t="n">
        <f aca="false">-IF(AF$4=DATE(YEAR(Premissas!$B$77),MONTH(Premissas!$B$77),1),Premissas!$B$76,0)</f>
        <v>-0</v>
      </c>
      <c r="AG22" s="84" t="n">
        <f aca="false">-IF(AG$4=DATE(YEAR(Premissas!$B$77),MONTH(Premissas!$B$77),1),Premissas!$B$76,0)</f>
        <v>-0</v>
      </c>
      <c r="AH22" s="84" t="n">
        <f aca="false">-IF(AH$4=DATE(YEAR(Premissas!$B$77),MONTH(Premissas!$B$77),1),Premissas!$B$76,0)</f>
        <v>-0</v>
      </c>
      <c r="AI22" s="84" t="n">
        <f aca="false">-IF(AI$4=DATE(YEAR(Premissas!$B$77),MONTH(Premissas!$B$77),1),Premissas!$B$76,0)</f>
        <v>-0</v>
      </c>
      <c r="AJ22" s="84" t="n">
        <f aca="false">-IF(AJ$4=DATE(YEAR(Premissas!$B$77),MONTH(Premissas!$B$77),1),Premissas!$B$76,0)</f>
        <v>-0</v>
      </c>
      <c r="AK22" s="84" t="n">
        <f aca="false">-IF(AK$4=DATE(YEAR(Premissas!$B$77),MONTH(Premissas!$B$77),1),Premissas!$B$76,0)</f>
        <v>-0</v>
      </c>
      <c r="AL22" s="84" t="n">
        <f aca="false">-IF(AL$4=DATE(YEAR(Premissas!$B$77),MONTH(Premissas!$B$77),1),Premissas!$B$76,0)</f>
        <v>-0</v>
      </c>
      <c r="AM22" s="84" t="n">
        <f aca="false">-IF(AM$4=DATE(YEAR(Premissas!$B$77),MONTH(Premissas!$B$77),1),Premissas!$B$76,0)</f>
        <v>-0</v>
      </c>
      <c r="AN22" s="84" t="n">
        <f aca="false">-IF(AN$4=DATE(YEAR(Premissas!$B$77),MONTH(Premissas!$B$77),1),Premissas!$B$76,0)</f>
        <v>-0</v>
      </c>
      <c r="AO22" s="84" t="n">
        <f aca="false">-IF(AO$4=DATE(YEAR(Premissas!$B$77),MONTH(Premissas!$B$77),1),Premissas!$B$76,0)</f>
        <v>-0</v>
      </c>
      <c r="AP22" s="84" t="n">
        <f aca="false">-IF(AP$4=DATE(YEAR(Premissas!$B$77),MONTH(Premissas!$B$77),1),Premissas!$B$76,0)</f>
        <v>-0</v>
      </c>
      <c r="AQ22" s="84" t="n">
        <f aca="false">-IF(AQ$4=DATE(YEAR(Premissas!$B$77),MONTH(Premissas!$B$77),1),Premissas!$B$76,0)</f>
        <v>-0</v>
      </c>
      <c r="AR22" s="84" t="n">
        <f aca="false">-IF(AR$4=DATE(YEAR(Premissas!$B$77),MONTH(Premissas!$B$77),1),Premissas!$B$76,0)</f>
        <v>-0</v>
      </c>
      <c r="AS22" s="84" t="n">
        <f aca="false">-IF(AS$4=DATE(YEAR(Premissas!$B$77),MONTH(Premissas!$B$77),1),Premissas!$B$76,0)</f>
        <v>-0</v>
      </c>
      <c r="AT22" s="84" t="n">
        <f aca="false">-IF(AT$4=DATE(YEAR(Premissas!$B$77),MONTH(Premissas!$B$77),1),Premissas!$B$76,0)</f>
        <v>-0</v>
      </c>
      <c r="AU22" s="84" t="n">
        <f aca="false">-IF(AU$4=DATE(YEAR(Premissas!$B$77),MONTH(Premissas!$B$77),1),Premissas!$B$76,0)</f>
        <v>-0</v>
      </c>
      <c r="AV22" s="84" t="n">
        <f aca="false">-IF(AV$4=DATE(YEAR(Premissas!$B$77),MONTH(Premissas!$B$77),1),Premissas!$B$76,0)</f>
        <v>-0</v>
      </c>
      <c r="AW22" s="84" t="n">
        <f aca="false">-IF(AW$4=DATE(YEAR(Premissas!$B$77),MONTH(Premissas!$B$77),1),Premissas!$B$76,0)</f>
        <v>-0</v>
      </c>
      <c r="AX22" s="84" t="n">
        <f aca="false">-IF(AX$4=DATE(YEAR(Premissas!$B$77),MONTH(Premissas!$B$77),1),Premissas!$B$76,0)</f>
        <v>-0</v>
      </c>
      <c r="AY22" s="84" t="n">
        <f aca="false">-IF(AY$4=DATE(YEAR(Premissas!$B$77),MONTH(Premissas!$B$77),1),Premissas!$B$76,0)</f>
        <v>-0</v>
      </c>
      <c r="AZ22" s="84" t="n">
        <f aca="false">-IF(AZ$4=DATE(YEAR(Premissas!$B$77),MONTH(Premissas!$B$77),1),Premissas!$B$76,0)</f>
        <v>-0</v>
      </c>
      <c r="BA22" s="84" t="n">
        <f aca="false">-IF(BA$4=DATE(YEAR(Premissas!$B$77),MONTH(Premissas!$B$77),1),Premissas!$B$76,0)</f>
        <v>-0</v>
      </c>
      <c r="BB22" s="84" t="n">
        <f aca="false">-IF(BB$4=DATE(YEAR(Premissas!$B$77),MONTH(Premissas!$B$77),1),Premissas!$B$76,0)</f>
        <v>-0</v>
      </c>
      <c r="BC22" s="84" t="n">
        <f aca="false">-IF(BC$4=DATE(YEAR(Premissas!$B$77),MONTH(Premissas!$B$77),1),Premissas!$B$76,0)</f>
        <v>-0</v>
      </c>
      <c r="BD22" s="84" t="n">
        <f aca="false">-IF(BD$4=DATE(YEAR(Premissas!$B$77),MONTH(Premissas!$B$77),1),Premissas!$B$76,0)</f>
        <v>-0</v>
      </c>
      <c r="BE22" s="84" t="n">
        <f aca="false">-IF(BE$4=DATE(YEAR(Premissas!$B$77),MONTH(Premissas!$B$77),1),Premissas!$B$76,0)</f>
        <v>-0</v>
      </c>
      <c r="BF22" s="84" t="n">
        <f aca="false">-IF(BF$4=DATE(YEAR(Premissas!$B$77),MONTH(Premissas!$B$77),1),Premissas!$B$76,0)</f>
        <v>-0</v>
      </c>
      <c r="BG22" s="84" t="n">
        <f aca="false">-IF(BG$4=DATE(YEAR(Premissas!$B$77),MONTH(Premissas!$B$77),1),Premissas!$B$76,0)</f>
        <v>-0</v>
      </c>
      <c r="BH22" s="84" t="n">
        <f aca="false">-IF(BH$4=DATE(YEAR(Premissas!$B$77),MONTH(Premissas!$B$77),1),Premissas!$B$76,0)</f>
        <v>-0</v>
      </c>
      <c r="BI22" s="84" t="n">
        <f aca="false">-IF(BI$4=DATE(YEAR(Premissas!$B$77),MONTH(Premissas!$B$77),1),Premissas!$B$76,0)</f>
        <v>-0</v>
      </c>
      <c r="BJ22" s="69" t="n">
        <f aca="false">SUM(B22:BI22)</f>
        <v>-25000</v>
      </c>
      <c r="BK22" s="70" t="n">
        <f aca="false">IFERROR(BJ22/BJ$27,0)</f>
        <v>0.000486485722308396</v>
      </c>
    </row>
    <row r="23" customFormat="false" ht="15" hidden="false" customHeight="false" outlineLevel="0" collapsed="false">
      <c r="A23" s="12" t="s">
        <v>259</v>
      </c>
      <c r="B23" s="84" t="n">
        <f aca="false">CHOOSE(Premissas!$B$6,Cenários!B29,Cenários!B73,Cenários!B117)</f>
        <v>-0</v>
      </c>
      <c r="C23" s="84" t="n">
        <f aca="false">CHOOSE(Premissas!$B$6,Cenários!C29,Cenários!C73,Cenários!C117)</f>
        <v>-0</v>
      </c>
      <c r="D23" s="84" t="n">
        <f aca="false">CHOOSE(Premissas!$B$6,Cenários!D29,Cenários!D73,Cenários!D117)</f>
        <v>-0</v>
      </c>
      <c r="E23" s="84" t="n">
        <f aca="false">CHOOSE(Premissas!$B$6,Cenários!E29,Cenários!E73,Cenários!E117)</f>
        <v>-0</v>
      </c>
      <c r="F23" s="84" t="n">
        <f aca="false">CHOOSE(Premissas!$B$6,Cenários!F29,Cenários!F73,Cenários!F117)</f>
        <v>-0</v>
      </c>
      <c r="G23" s="84" t="n">
        <f aca="false">CHOOSE(Premissas!$B$6,Cenários!G29,Cenários!G73,Cenários!G117)</f>
        <v>-0</v>
      </c>
      <c r="H23" s="84" t="n">
        <f aca="false">CHOOSE(Premissas!$B$6,Cenários!H29,Cenários!H73,Cenários!H117)</f>
        <v>-0</v>
      </c>
      <c r="I23" s="84" t="n">
        <f aca="false">CHOOSE(Premissas!$B$6,Cenários!I29,Cenários!I73,Cenários!I117)</f>
        <v>-0</v>
      </c>
      <c r="J23" s="84" t="n">
        <f aca="false">CHOOSE(Premissas!$B$6,Cenários!J29,Cenários!J73,Cenários!J117)</f>
        <v>-0</v>
      </c>
      <c r="K23" s="84" t="n">
        <f aca="false">CHOOSE(Premissas!$B$6,Cenários!K29,Cenários!K73,Cenários!K117)</f>
        <v>-3102.01125</v>
      </c>
      <c r="L23" s="84" t="n">
        <f aca="false">CHOOSE(Premissas!$B$6,Cenários!L29,Cenários!L73,Cenários!L117)</f>
        <v>-5955.0405</v>
      </c>
      <c r="M23" s="84" t="n">
        <f aca="false">CHOOSE(Premissas!$B$6,Cenários!M29,Cenários!M73,Cenários!M117)</f>
        <v>-8587.074</v>
      </c>
      <c r="N23" s="84" t="n">
        <f aca="false">CHOOSE(Premissas!$B$6,Cenários!N29,Cenários!N73,Cenários!N117)</f>
        <v>-13142.45922</v>
      </c>
      <c r="O23" s="84" t="n">
        <f aca="false">CHOOSE(Premissas!$B$6,Cenários!O29,Cenários!O73,Cenários!O117)</f>
        <v>-16393.71756</v>
      </c>
      <c r="P23" s="84" t="n">
        <f aca="false">CHOOSE(Premissas!$B$6,Cenários!P29,Cenários!P73,Cenários!P117)</f>
        <v>-19392.55824</v>
      </c>
      <c r="Q23" s="84" t="n">
        <f aca="false">CHOOSE(Premissas!$B$6,Cenários!Q29,Cenários!Q73,Cenários!Q117)</f>
        <v>-22179.02148</v>
      </c>
      <c r="R23" s="84" t="n">
        <f aca="false">CHOOSE(Premissas!$B$6,Cenários!R29,Cenários!R73,Cenários!R117)</f>
        <v>-24743.01258</v>
      </c>
      <c r="S23" s="84" t="n">
        <f aca="false">CHOOSE(Premissas!$B$6,Cenários!S29,Cenários!S73,Cenários!S117)</f>
        <v>-27124.60938</v>
      </c>
      <c r="T23" s="84" t="n">
        <f aca="false">CHOOSE(Premissas!$B$6,Cenários!T29,Cenários!T73,Cenários!T117)</f>
        <v>-29323.77426</v>
      </c>
      <c r="U23" s="84" t="n">
        <f aca="false">CHOOSE(Premissas!$B$6,Cenários!U29,Cenários!U73,Cenários!U117)</f>
        <v>-31350.47652</v>
      </c>
      <c r="V23" s="84" t="n">
        <f aca="false">CHOOSE(Premissas!$B$6,Cenários!V29,Cenários!V73,Cenários!V117)</f>
        <v>-33237.27</v>
      </c>
      <c r="W23" s="84" t="n">
        <f aca="false">CHOOSE(Premissas!$B$6,Cenários!W29,Cenários!W73,Cenários!W117)</f>
        <v>-34974.08508</v>
      </c>
      <c r="X23" s="84" t="n">
        <f aca="false">CHOOSE(Premissas!$B$6,Cenários!X29,Cenários!X73,Cenários!X117)</f>
        <v>-36585.97668</v>
      </c>
      <c r="Y23" s="84" t="n">
        <f aca="false">CHOOSE(Premissas!$B$6,Cenários!Y29,Cenários!Y73,Cenários!Y117)</f>
        <v>-38085.43464</v>
      </c>
      <c r="Z23" s="84" t="n">
        <f aca="false">CHOOSE(Premissas!$B$6,Cenários!Z29,Cenários!Z73,Cenários!Z117)</f>
        <v>-49800.3286213125</v>
      </c>
      <c r="AA23" s="84" t="n">
        <f aca="false">CHOOSE(Premissas!$B$6,Cenários!AA29,Cenários!AA73,Cenários!AA117)</f>
        <v>-56105.89664625</v>
      </c>
      <c r="AB23" s="84" t="n">
        <f aca="false">CHOOSE(Premissas!$B$6,Cenários!AB29,Cenários!AB73,Cenários!AB117)</f>
        <v>-61960.8651255</v>
      </c>
      <c r="AC23" s="84" t="n">
        <f aca="false">CHOOSE(Premissas!$B$6,Cenários!AC29,Cenários!AC73,Cenários!AC117)</f>
        <v>-67409.33821875</v>
      </c>
      <c r="AD23" s="84" t="n">
        <f aca="false">CHOOSE(Premissas!$B$6,Cenários!AD29,Cenários!AD73,Cenários!AD117)</f>
        <v>-72470.8986643125</v>
      </c>
      <c r="AE23" s="84" t="n">
        <f aca="false">CHOOSE(Premissas!$B$6,Cenários!AE29,Cenários!AE73,Cenários!AE117)</f>
        <v>-77182.3040236875</v>
      </c>
      <c r="AF23" s="84" t="n">
        <f aca="false">CHOOSE(Premissas!$B$6,Cenários!AF29,Cenários!AF73,Cenários!AF117)</f>
        <v>-81565.5818061562</v>
      </c>
      <c r="AG23" s="84" t="n">
        <f aca="false">CHOOSE(Premissas!$B$6,Cenários!AG29,Cenários!AG73,Cenários!AG117)</f>
        <v>-85645.2288625312</v>
      </c>
      <c r="AH23" s="84" t="n">
        <f aca="false">CHOOSE(Premissas!$B$6,Cenários!AH29,Cenários!AH73,Cenários!AH117)</f>
        <v>-89438.3585895937</v>
      </c>
      <c r="AI23" s="84" t="n">
        <f aca="false">CHOOSE(Premissas!$B$6,Cenários!AI29,Cenários!AI73,Cenários!AI117)</f>
        <v>-92959.6518984375</v>
      </c>
      <c r="AJ23" s="84" t="n">
        <f aca="false">CHOOSE(Premissas!$B$6,Cenários!AJ29,Cenários!AJ73,Cenários!AJ117)</f>
        <v>-96233.6302104375</v>
      </c>
      <c r="AK23" s="84" t="n">
        <f aca="false">CHOOSE(Premissas!$B$6,Cenários!AK29,Cenários!AK73,Cenários!AK117)</f>
        <v>-99289.692203625</v>
      </c>
      <c r="AL23" s="84" t="n">
        <f aca="false">CHOOSE(Premissas!$B$6,Cenários!AL29,Cenários!AL73,Cenários!AL117)</f>
        <v>-123801.793020759</v>
      </c>
      <c r="AM23" s="84" t="n">
        <f aca="false">CHOOSE(Premissas!$B$6,Cenários!AM29,Cenários!AM73,Cenários!AM117)</f>
        <v>-133194.970127587</v>
      </c>
      <c r="AN23" s="84" t="n">
        <f aca="false">CHOOSE(Premissas!$B$6,Cenários!AN29,Cenários!AN73,Cenários!AN117)</f>
        <v>-141976.35438081</v>
      </c>
      <c r="AO23" s="84" t="n">
        <f aca="false">CHOOSE(Premissas!$B$6,Cenários!AO29,Cenários!AO73,Cenários!AO117)</f>
        <v>-150187.701505406</v>
      </c>
      <c r="AP23" s="84" t="n">
        <f aca="false">CHOOSE(Premissas!$B$6,Cenários!AP29,Cenários!AP73,Cenários!AP117)</f>
        <v>-157863.421768244</v>
      </c>
      <c r="AQ23" s="84" t="n">
        <f aca="false">CHOOSE(Premissas!$B$6,Cenários!AQ29,Cenários!AQ73,Cenários!AQ117)</f>
        <v>-165042.842949255</v>
      </c>
      <c r="AR23" s="84" t="n">
        <f aca="false">CHOOSE(Premissas!$B$6,Cenários!AR29,Cenários!AR73,Cenários!AR117)</f>
        <v>-171757.873422694</v>
      </c>
      <c r="AS23" s="84" t="n">
        <f aca="false">CHOOSE(Premissas!$B$6,Cenários!AS29,Cenários!AS73,Cenários!AS117)</f>
        <v>-178033.100753891</v>
      </c>
      <c r="AT23" s="84" t="n">
        <f aca="false">CHOOSE(Premissas!$B$6,Cenários!AT29,Cenários!AT73,Cenários!AT117)</f>
        <v>-183895.528128627</v>
      </c>
      <c r="AU23" s="84" t="n">
        <f aca="false">CHOOSE(Premissas!$B$6,Cenários!AU29,Cenários!AU73,Cenários!AU117)</f>
        <v>-189386.985219448</v>
      </c>
      <c r="AV23" s="84" t="n">
        <f aca="false">CHOOSE(Premissas!$B$6,Cenários!AV29,Cenários!AV73,Cenários!AV117)</f>
        <v>-194519.698023752</v>
      </c>
      <c r="AW23" s="84" t="n">
        <f aca="false">CHOOSE(Premissas!$B$6,Cenários!AW29,Cenários!AW73,Cenários!AW117)</f>
        <v>-199313.3365938</v>
      </c>
      <c r="AX23" s="84" t="n">
        <f aca="false">CHOOSE(Premissas!$B$6,Cenários!AX29,Cenários!AX73,Cenários!AX117)</f>
        <v>-242764.654673556</v>
      </c>
      <c r="AY23" s="84" t="n">
        <f aca="false">CHOOSE(Premissas!$B$6,Cenários!AY29,Cenários!AY73,Cenários!AY117)</f>
        <v>-255425.188194584</v>
      </c>
      <c r="AZ23" s="84" t="n">
        <f aca="false">CHOOSE(Premissas!$B$6,Cenários!AZ29,Cenários!AZ73,Cenários!AZ117)</f>
        <v>-267331.730365032</v>
      </c>
      <c r="BA23" s="84" t="n">
        <f aca="false">CHOOSE(Premissas!$B$6,Cenários!BA29,Cenários!BA73,Cenários!BA117)</f>
        <v>-278519.241060195</v>
      </c>
      <c r="BB23" s="84" t="n">
        <f aca="false">CHOOSE(Premissas!$B$6,Cenários!BB29,Cenários!BB73,Cenários!BB117)</f>
        <v>-289035.138993451</v>
      </c>
      <c r="BC23" s="84" t="n">
        <f aca="false">CHOOSE(Premissas!$B$6,Cenários!BC29,Cenários!BC73,Cenários!BC117)</f>
        <v>-298921.896907279</v>
      </c>
      <c r="BD23" s="84" t="n">
        <f aca="false">CHOOSE(Premissas!$B$6,Cenários!BD29,Cenários!BD73,Cenários!BD117)</f>
        <v>-308214.437112638</v>
      </c>
      <c r="BE23" s="84" t="n">
        <f aca="false">CHOOSE(Premissas!$B$6,Cenários!BE29,Cenários!BE73,Cenários!BE117)</f>
        <v>-316952.728062947</v>
      </c>
      <c r="BF23" s="84" t="n">
        <f aca="false">CHOOSE(Premissas!$B$6,Cenários!BF29,Cenários!BF73,Cenários!BF117)</f>
        <v>-325164.229287765</v>
      </c>
      <c r="BG23" s="84" t="n">
        <f aca="false">CHOOSE(Premissas!$B$6,Cenários!BG29,Cenários!BG73,Cenários!BG117)</f>
        <v>-332881.383851879</v>
      </c>
      <c r="BH23" s="84" t="n">
        <f aca="false">CHOOSE(Premissas!$B$6,Cenários!BH29,Cenários!BH73,Cenários!BH117)</f>
        <v>-340131.651284847</v>
      </c>
      <c r="BI23" s="84" t="n">
        <f aca="false">CHOOSE(Premissas!$B$6,Cenários!BI29,Cenários!BI73,Cenários!BI117)</f>
        <v>-346960.021139656</v>
      </c>
      <c r="BJ23" s="69" t="n">
        <f aca="false">SUM(B23:BI23)</f>
        <v>-6865514.2030887</v>
      </c>
      <c r="BK23" s="70" t="n">
        <f aca="false">IFERROR(BJ23/BJ$27,0)</f>
        <v>0.133598985444326</v>
      </c>
    </row>
    <row r="24" customFormat="false" ht="15" hidden="false" customHeight="false" outlineLevel="0" collapsed="false">
      <c r="A24" s="12" t="s">
        <v>260</v>
      </c>
      <c r="B24" s="84" t="n">
        <f aca="false">CHOOSE(Premissas!$B$6,Cenários!B30,Cenários!B74,Cenários!B118)</f>
        <v>-0</v>
      </c>
      <c r="C24" s="84" t="n">
        <f aca="false">CHOOSE(Premissas!$B$6,Cenários!C30,Cenários!C74,Cenários!C118)</f>
        <v>-0</v>
      </c>
      <c r="D24" s="84" t="n">
        <f aca="false">CHOOSE(Premissas!$B$6,Cenários!D30,Cenários!D74,Cenários!D118)</f>
        <v>-0</v>
      </c>
      <c r="E24" s="84" t="n">
        <f aca="false">CHOOSE(Premissas!$B$6,Cenários!E30,Cenários!E74,Cenários!E118)</f>
        <v>-0</v>
      </c>
      <c r="F24" s="84" t="n">
        <f aca="false">CHOOSE(Premissas!$B$6,Cenários!F30,Cenários!F74,Cenários!F118)</f>
        <v>-0</v>
      </c>
      <c r="G24" s="84" t="n">
        <f aca="false">CHOOSE(Premissas!$B$6,Cenários!G30,Cenários!G74,Cenários!G118)</f>
        <v>-0</v>
      </c>
      <c r="H24" s="84" t="n">
        <f aca="false">CHOOSE(Premissas!$B$6,Cenários!H30,Cenários!H74,Cenários!H118)</f>
        <v>-0</v>
      </c>
      <c r="I24" s="84" t="n">
        <f aca="false">CHOOSE(Premissas!$B$6,Cenários!I30,Cenários!I74,Cenários!I118)</f>
        <v>-0</v>
      </c>
      <c r="J24" s="84" t="n">
        <f aca="false">CHOOSE(Premissas!$B$6,Cenários!J30,Cenários!J74,Cenários!J118)</f>
        <v>-0</v>
      </c>
      <c r="K24" s="84" t="n">
        <f aca="false">CHOOSE(Premissas!$B$6,Cenários!K30,Cenários!K74,Cenários!K118)</f>
        <v>-164.224125</v>
      </c>
      <c r="L24" s="84" t="n">
        <f aca="false">CHOOSE(Premissas!$B$6,Cenários!L30,Cenários!L74,Cenários!L118)</f>
        <v>-315.26685</v>
      </c>
      <c r="M24" s="84" t="n">
        <f aca="false">CHOOSE(Premissas!$B$6,Cenários!M30,Cenários!M74,Cenários!M118)</f>
        <v>-454.6098</v>
      </c>
      <c r="N24" s="84" t="n">
        <f aca="false">CHOOSE(Premissas!$B$6,Cenários!N30,Cenários!N74,Cenários!N118)</f>
        <v>-1147.08205935</v>
      </c>
      <c r="O24" s="84" t="n">
        <f aca="false">CHOOSE(Premissas!$B$6,Cenários!O30,Cenários!O74,Cenários!O118)</f>
        <v>-1430.79661351125</v>
      </c>
      <c r="P24" s="84" t="n">
        <f aca="false">CHOOSE(Premissas!$B$6,Cenários!P30,Cenários!P74,Cenários!P118)</f>
        <v>-1692.58957977291</v>
      </c>
      <c r="Q24" s="84" t="n">
        <f aca="false">CHOOSE(Premissas!$B$6,Cenários!Q30,Cenários!Q74,Cenários!Q118)</f>
        <v>-1935.68824438994</v>
      </c>
      <c r="R24" s="84" t="n">
        <f aca="false">CHOOSE(Premissas!$B$6,Cenários!R30,Cenários!R74,Cenários!R118)</f>
        <v>-2159.54295438569</v>
      </c>
      <c r="S24" s="84" t="n">
        <f aca="false">CHOOSE(Premissas!$B$6,Cenários!S30,Cenários!S74,Cenários!S118)</f>
        <v>-2367.35143856927</v>
      </c>
      <c r="T24" s="84" t="n">
        <f aca="false">CHOOSE(Premissas!$B$6,Cenários!T30,Cenários!T74,Cenários!T118)</f>
        <v>-2559.28837443907</v>
      </c>
      <c r="U24" s="84" t="n">
        <f aca="false">CHOOSE(Premissas!$B$6,Cenários!U30,Cenários!U74,Cenários!U118)</f>
        <v>-2736.26564606864</v>
      </c>
      <c r="V24" s="84" t="n">
        <f aca="false">CHOOSE(Premissas!$B$6,Cenários!V30,Cenários!V74,Cenários!V118)</f>
        <v>-2900.87666403849</v>
      </c>
      <c r="W24" s="84" t="n">
        <f aca="false">CHOOSE(Premissas!$B$6,Cenários!W30,Cenários!W74,Cenários!W118)</f>
        <v>-3052.50668898561</v>
      </c>
      <c r="X24" s="84" t="n">
        <f aca="false">CHOOSE(Premissas!$B$6,Cenários!X30,Cenários!X74,Cenários!X118)</f>
        <v>-3193.16478588668</v>
      </c>
      <c r="Y24" s="84" t="n">
        <f aca="false">CHOOSE(Premissas!$B$6,Cenários!Y30,Cenários!Y74,Cenários!Y118)</f>
        <v>-3323.90789277018</v>
      </c>
      <c r="Z24" s="84" t="n">
        <f aca="false">CHOOSE(Premissas!$B$6,Cenários!Z30,Cenários!Z74,Cenários!Z118)</f>
        <v>-5881.84581902503</v>
      </c>
      <c r="AA24" s="84" t="n">
        <f aca="false">CHOOSE(Premissas!$B$6,Cenários!AA30,Cenários!AA74,Cenários!AA118)</f>
        <v>-6626.46321453622</v>
      </c>
      <c r="AB24" s="84" t="n">
        <f aca="false">CHOOSE(Premissas!$B$6,Cenários!AB30,Cenários!AB74,Cenários!AB118)</f>
        <v>-7318.03641396743</v>
      </c>
      <c r="AC24" s="84" t="n">
        <f aca="false">CHOOSE(Premissas!$B$6,Cenários!AC30,Cenários!AC74,Cenários!AC118)</f>
        <v>-7961.53473019321</v>
      </c>
      <c r="AD24" s="84" t="n">
        <f aca="false">CHOOSE(Premissas!$B$6,Cenários!AD30,Cenários!AD74,Cenários!AD118)</f>
        <v>-8559.43621116719</v>
      </c>
      <c r="AE24" s="84" t="n">
        <f aca="false">CHOOSE(Premissas!$B$6,Cenários!AE30,Cenários!AE74,Cenários!AE118)</f>
        <v>-9115.90000297317</v>
      </c>
      <c r="AF24" s="84" t="n">
        <f aca="false">CHOOSE(Premissas!$B$6,Cenários!AF30,Cenários!AF74,Cenários!AF118)</f>
        <v>-9633.57840917774</v>
      </c>
      <c r="AG24" s="84" t="n">
        <f aca="false">CHOOSE(Premissas!$B$6,Cenários!AG30,Cenários!AG74,Cenários!AG118)</f>
        <v>-10115.3391988159</v>
      </c>
      <c r="AH24" s="84" t="n">
        <f aca="false">CHOOSE(Premissas!$B$6,Cenários!AH30,Cenários!AH74,Cenários!AH118)</f>
        <v>-10563.2825296427</v>
      </c>
      <c r="AI24" s="84" t="n">
        <f aca="false">CHOOSE(Premissas!$B$6,Cenários!AI30,Cenários!AI74,Cenários!AI118)</f>
        <v>-10979.2380935793</v>
      </c>
      <c r="AJ24" s="84" t="n">
        <f aca="false">CHOOSE(Premissas!$B$6,Cenários!AJ30,Cenários!AJ74,Cenários!AJ118)</f>
        <v>-11365.9943215178</v>
      </c>
      <c r="AK24" s="84" t="n">
        <f aca="false">CHOOSE(Premissas!$B$6,Cenários!AK30,Cenários!AK74,Cenários!AK118)</f>
        <v>-11726.8038298034</v>
      </c>
      <c r="AL24" s="84" t="n">
        <f aca="false">CHOOSE(Premissas!$B$6,Cenários!AL30,Cenários!AL74,Cenários!AL118)</f>
        <v>-17574.1030948121</v>
      </c>
      <c r="AM24" s="84" t="n">
        <f aca="false">CHOOSE(Premissas!$B$6,Cenários!AM30,Cenários!AM74,Cenários!AM118)</f>
        <v>-18907.4873198534</v>
      </c>
      <c r="AN24" s="84" t="n">
        <f aca="false">CHOOSE(Premissas!$B$6,Cenários!AN30,Cenários!AN74,Cenários!AN118)</f>
        <v>-20154.0573304064</v>
      </c>
      <c r="AO24" s="84" t="n">
        <f aca="false">CHOOSE(Premissas!$B$6,Cenários!AO30,Cenários!AO74,Cenários!AO118)</f>
        <v>-21319.6881225207</v>
      </c>
      <c r="AP24" s="84" t="n">
        <f aca="false">CHOOSE(Premissas!$B$6,Cenários!AP30,Cenários!AP74,Cenários!AP118)</f>
        <v>-22409.3324949706</v>
      </c>
      <c r="AQ24" s="84" t="n">
        <f aca="false">CHOOSE(Premissas!$B$6,Cenários!AQ30,Cenários!AQ74,Cenários!AQ118)</f>
        <v>-23428.4559689913</v>
      </c>
      <c r="AR24" s="84" t="n">
        <f aca="false">CHOOSE(Premissas!$B$6,Cenários!AR30,Cenários!AR74,Cenários!AR118)</f>
        <v>-24381.6014452733</v>
      </c>
      <c r="AS24" s="84" t="n">
        <f aca="false">CHOOSE(Premissas!$B$6,Cenários!AS30,Cenários!AS74,Cenários!AS118)</f>
        <v>-25272.4044134256</v>
      </c>
      <c r="AT24" s="84" t="n">
        <f aca="false">CHOOSE(Premissas!$B$6,Cenários!AT30,Cenários!AT74,Cenários!AT118)</f>
        <v>-26104.7323343225</v>
      </c>
      <c r="AU24" s="84" t="n">
        <f aca="false">CHOOSE(Premissas!$B$6,Cenários!AU30,Cenários!AU74,Cenários!AU118)</f>
        <v>-26884.1358148294</v>
      </c>
      <c r="AV24" s="84" t="n">
        <f aca="false">CHOOSE(Premissas!$B$6,Cenários!AV30,Cenários!AV74,Cenários!AV118)</f>
        <v>-27612.668118615</v>
      </c>
      <c r="AW24" s="84" t="n">
        <f aca="false">CHOOSE(Premissas!$B$6,Cenários!AW30,Cenários!AW74,Cenários!AW118)</f>
        <v>-28293.2102340908</v>
      </c>
      <c r="AX24" s="84" t="n">
        <f aca="false">CHOOSE(Premissas!$B$6,Cenários!AX30,Cenários!AX74,Cenários!AX118)</f>
        <v>-37882.7089250186</v>
      </c>
      <c r="AY24" s="84" t="n">
        <f aca="false">CHOOSE(Premissas!$B$6,Cenários!AY30,Cenários!AY74,Cenários!AY118)</f>
        <v>-39858.4101782742</v>
      </c>
      <c r="AZ24" s="84" t="n">
        <f aca="false">CHOOSE(Premissas!$B$6,Cenários!AZ30,Cenários!AZ74,Cenários!AZ118)</f>
        <v>-41716.2945841364</v>
      </c>
      <c r="BA24" s="84" t="n">
        <f aca="false">CHOOSE(Premissas!$B$6,Cenários!BA30,Cenários!BA74,Cenários!BA118)</f>
        <v>-43462.1094898538</v>
      </c>
      <c r="BB24" s="84" t="n">
        <f aca="false">CHOOSE(Premissas!$B$6,Cenários!BB30,Cenários!BB74,Cenários!BB118)</f>
        <v>-45103.128942917</v>
      </c>
      <c r="BC24" s="84" t="n">
        <f aca="false">CHOOSE(Premissas!$B$6,Cenários!BC30,Cenários!BC74,Cenários!BC118)</f>
        <v>-46645.9204389264</v>
      </c>
      <c r="BD24" s="84" t="n">
        <f aca="false">CHOOSE(Premissas!$B$6,Cenários!BD30,Cenários!BD74,Cenários!BD118)</f>
        <v>-48096.0143008503</v>
      </c>
      <c r="BE24" s="84" t="n">
        <f aca="false">CHOOSE(Premissas!$B$6,Cenários!BE30,Cenários!BE74,Cenários!BE118)</f>
        <v>-49459.527222708</v>
      </c>
      <c r="BF24" s="84" t="n">
        <f aca="false">CHOOSE(Premissas!$B$6,Cenários!BF30,Cenários!BF74,Cenários!BF118)</f>
        <v>-50740.9089347362</v>
      </c>
      <c r="BG24" s="84" t="n">
        <f aca="false">CHOOSE(Premissas!$B$6,Cenários!BG30,Cenários!BG74,Cenários!BG118)</f>
        <v>-51945.194754258</v>
      </c>
      <c r="BH24" s="84" t="n">
        <f aca="false">CHOOSE(Premissas!$B$6,Cenários!BH30,Cenários!BH74,Cenários!BH118)</f>
        <v>-53076.7274143843</v>
      </c>
      <c r="BI24" s="84" t="n">
        <f aca="false">CHOOSE(Premissas!$B$6,Cenários!BI30,Cenários!BI74,Cenários!BI118)</f>
        <v>-54142.0547750513</v>
      </c>
      <c r="BJ24" s="69" t="n">
        <f aca="false">SUM(B24:BI24)</f>
        <v>-983751.491144792</v>
      </c>
      <c r="BK24" s="70" t="n">
        <f aca="false">IFERROR(BJ24/BJ$27,0)</f>
        <v>0.0191432421896614</v>
      </c>
    </row>
    <row r="25" customFormat="false" ht="15" hidden="false" customHeight="false" outlineLevel="0" collapsed="false">
      <c r="A25" s="12" t="s">
        <v>261</v>
      </c>
      <c r="B25" s="84" t="n">
        <f aca="false">CHOOSE(Premissas!$B$6,Cenários!B28,Cenários!B72,Cenários!B116)</f>
        <v>-0</v>
      </c>
      <c r="C25" s="84" t="n">
        <f aca="false">CHOOSE(Premissas!$B$6,Cenários!C28,Cenários!C72,Cenários!C116)</f>
        <v>-0</v>
      </c>
      <c r="D25" s="84" t="n">
        <f aca="false">CHOOSE(Premissas!$B$6,Cenários!D28,Cenários!D72,Cenários!D116)</f>
        <v>-0</v>
      </c>
      <c r="E25" s="84" t="n">
        <f aca="false">CHOOSE(Premissas!$B$6,Cenários!E28,Cenários!E72,Cenários!E116)</f>
        <v>-0</v>
      </c>
      <c r="F25" s="84" t="n">
        <f aca="false">CHOOSE(Premissas!$B$6,Cenários!F28,Cenários!F72,Cenários!F116)</f>
        <v>-0</v>
      </c>
      <c r="G25" s="84" t="n">
        <f aca="false">CHOOSE(Premissas!$B$6,Cenários!G28,Cenários!G72,Cenários!G116)</f>
        <v>-0</v>
      </c>
      <c r="H25" s="84" t="n">
        <f aca="false">CHOOSE(Premissas!$B$6,Cenários!H28,Cenários!H72,Cenários!H116)</f>
        <v>-0</v>
      </c>
      <c r="I25" s="84" t="n">
        <f aca="false">CHOOSE(Premissas!$B$6,Cenários!I28,Cenários!I72,Cenários!I116)</f>
        <v>-0</v>
      </c>
      <c r="J25" s="84" t="n">
        <f aca="false">CHOOSE(Premissas!$B$6,Cenários!J28,Cenários!J72,Cenários!J116)</f>
        <v>-0</v>
      </c>
      <c r="K25" s="84" t="n">
        <f aca="false">CHOOSE(Premissas!$B$6,Cenários!K28,Cenários!K72,Cenários!K116)</f>
        <v>-1459.77</v>
      </c>
      <c r="L25" s="84" t="n">
        <f aca="false">CHOOSE(Premissas!$B$6,Cenários!L28,Cenários!L72,Cenários!L116)</f>
        <v>-2802.372</v>
      </c>
      <c r="M25" s="84" t="n">
        <f aca="false">CHOOSE(Premissas!$B$6,Cenários!M28,Cenários!M72,Cenários!M116)</f>
        <v>-4040.976</v>
      </c>
      <c r="N25" s="84" t="n">
        <f aca="false">CHOOSE(Premissas!$B$6,Cenários!N28,Cenários!N72,Cenários!N116)</f>
        <v>-6786.4264338</v>
      </c>
      <c r="O25" s="84" t="n">
        <f aca="false">CHOOSE(Premissas!$B$6,Cenários!O28,Cenários!O72,Cenários!O116)</f>
        <v>-10550.7877668639</v>
      </c>
      <c r="P25" s="84" t="n">
        <f aca="false">CHOOSE(Premissas!$B$6,Cenários!P28,Cenários!P72,Cenários!P116)</f>
        <v>-15031.7973019962</v>
      </c>
      <c r="Q25" s="84" t="n">
        <f aca="false">CHOOSE(Premissas!$B$6,Cenários!Q28,Cenários!Q72,Cenários!Q116)</f>
        <v>-19749.9781955806</v>
      </c>
      <c r="R25" s="84" t="n">
        <f aca="false">CHOOSE(Premissas!$B$6,Cenários!R28,Cenários!R72,Cenários!R116)</f>
        <v>-23956.5995341074</v>
      </c>
      <c r="S25" s="84" t="n">
        <f aca="false">CHOOSE(Premissas!$B$6,Cenários!S28,Cenários!S72,Cenários!S116)</f>
        <v>-28713.4030986709</v>
      </c>
      <c r="T25" s="84" t="n">
        <f aca="false">CHOOSE(Premissas!$B$6,Cenários!T28,Cenários!T72,Cenários!T116)</f>
        <v>-32862.6879225577</v>
      </c>
      <c r="U25" s="84" t="n">
        <f aca="false">CHOOSE(Premissas!$B$6,Cenários!U28,Cenários!U72,Cenários!U116)</f>
        <v>-36533.6051212599</v>
      </c>
      <c r="V25" s="84" t="n">
        <f aca="false">CHOOSE(Premissas!$B$6,Cenários!V28,Cenários!V72,Cenários!V116)</f>
        <v>-39836.4150456644</v>
      </c>
      <c r="W25" s="84" t="n">
        <f aca="false">CHOOSE(Premissas!$B$6,Cenários!W28,Cenários!W72,Cenários!W116)</f>
        <v>-44347.0162580703</v>
      </c>
      <c r="X25" s="84" t="n">
        <f aca="false">CHOOSE(Premissas!$B$6,Cenários!X28,Cenários!X72,Cenários!X116)</f>
        <v>-48783.3457936913</v>
      </c>
      <c r="Y25" s="84" t="n">
        <f aca="false">CHOOSE(Premissas!$B$6,Cenários!Y28,Cenários!Y72,Cenários!Y116)</f>
        <v>-52680.4690533654</v>
      </c>
      <c r="Z25" s="84" t="n">
        <f aca="false">CHOOSE(Premissas!$B$6,Cenários!Z28,Cenários!Z72,Cenários!Z116)</f>
        <v>-76481.94483168</v>
      </c>
      <c r="AA25" s="84" t="n">
        <f aca="false">CHOOSE(Premissas!$B$6,Cenários!AA28,Cenários!AA72,Cenários!AA116)</f>
        <v>-88744.0370182663</v>
      </c>
      <c r="AB25" s="84" t="n">
        <f aca="false">CHOOSE(Premissas!$B$6,Cenários!AB28,Cenários!AB72,Cenários!AB116)</f>
        <v>-100463.766321148</v>
      </c>
      <c r="AC25" s="84" t="n">
        <f aca="false">CHOOSE(Premissas!$B$6,Cenários!AC28,Cenários!AC72,Cenários!AC116)</f>
        <v>-103906.042778343</v>
      </c>
      <c r="AD25" s="84" t="n">
        <f aca="false">CHOOSE(Premissas!$B$6,Cenários!AD28,Cenários!AD72,Cenários!AD116)</f>
        <v>-122682.912279678</v>
      </c>
      <c r="AE25" s="84" t="n">
        <f aca="false">CHOOSE(Premissas!$B$6,Cenários!AE28,Cenários!AE72,Cenários!AE116)</f>
        <v>-117106.389880133</v>
      </c>
      <c r="AF25" s="84" t="n">
        <f aca="false">CHOOSE(Premissas!$B$6,Cenários!AF28,Cenários!AF72,Cenários!AF116)</f>
        <v>-123756.91570894</v>
      </c>
      <c r="AG25" s="84" t="n">
        <f aca="false">CHOOSE(Premissas!$B$6,Cenários!AG28,Cenários!AG72,Cenários!AG116)</f>
        <v>-129946.547847601</v>
      </c>
      <c r="AH25" s="84" t="n">
        <f aca="false">CHOOSE(Premissas!$B$6,Cenários!AH28,Cenários!AH72,Cenários!AH116)</f>
        <v>-135701.538319886</v>
      </c>
      <c r="AI25" s="84" t="n">
        <f aca="false">CHOOSE(Premissas!$B$6,Cenários!AI28,Cenários!AI72,Cenários!AI116)</f>
        <v>-141044.509493021</v>
      </c>
      <c r="AJ25" s="84" t="n">
        <f aca="false">CHOOSE(Premissas!$B$6,Cenários!AJ28,Cenários!AJ72,Cenários!AJ116)</f>
        <v>-146012.27592696</v>
      </c>
      <c r="AK25" s="84" t="n">
        <f aca="false">CHOOSE(Premissas!$B$6,Cenários!AK28,Cenários!AK72,Cenários!AK116)</f>
        <v>-150648.646365833</v>
      </c>
      <c r="AL25" s="84" t="n">
        <f aca="false">CHOOSE(Premissas!$B$6,Cenários!AL28,Cenários!AL72,Cenários!AL116)</f>
        <v>-198553.352788218</v>
      </c>
      <c r="AM25" s="84" t="n">
        <f aca="false">CHOOSE(Premissas!$B$6,Cenários!AM28,Cenários!AM72,Cenários!AM116)</f>
        <v>-213618.09479739</v>
      </c>
      <c r="AN25" s="84" t="n">
        <f aca="false">CHOOSE(Premissas!$B$6,Cenários!AN28,Cenários!AN72,Cenários!AN116)</f>
        <v>-227701.759181583</v>
      </c>
      <c r="AO25" s="84" t="n">
        <f aca="false">CHOOSE(Premissas!$B$6,Cenários!AO28,Cenários!AO72,Cenários!AO116)</f>
        <v>-240871.123714611</v>
      </c>
      <c r="AP25" s="84" t="n">
        <f aca="false">CHOOSE(Premissas!$B$6,Cenários!AP28,Cenários!AP72,Cenários!AP116)</f>
        <v>-253181.622863444</v>
      </c>
      <c r="AQ25" s="84" t="n">
        <f aca="false">CHOOSE(Premissas!$B$6,Cenários!AQ28,Cenários!AQ72,Cenários!AQ116)</f>
        <v>-264695.905240451</v>
      </c>
      <c r="AR25" s="84" t="n">
        <f aca="false">CHOOSE(Premissas!$B$6,Cenários!AR28,Cenários!AR72,Cenários!AR116)</f>
        <v>-275465.194110909</v>
      </c>
      <c r="AS25" s="84" t="n">
        <f aca="false">CHOOSE(Premissas!$B$6,Cenários!AS28,Cenários!AS72,Cenários!AS116)</f>
        <v>-285529.449925456</v>
      </c>
      <c r="AT25" s="84" t="n">
        <f aca="false">CHOOSE(Premissas!$B$6,Cenários!AT28,Cenários!AT72,Cenários!AT116)</f>
        <v>-294932.10473814</v>
      </c>
      <c r="AU25" s="84" t="n">
        <f aca="false">CHOOSE(Premissas!$B$6,Cenários!AU28,Cenários!AU72,Cenários!AU116)</f>
        <v>-303738.839654721</v>
      </c>
      <c r="AV25" s="84" t="n">
        <f aca="false">CHOOSE(Premissas!$B$6,Cenários!AV28,Cenários!AV72,Cenários!AV116)</f>
        <v>-311970.415776743</v>
      </c>
      <c r="AW25" s="84" t="n">
        <f aca="false">CHOOSE(Premissas!$B$6,Cenários!AW28,Cenários!AW72,Cenários!AW116)</f>
        <v>-319658.702021273</v>
      </c>
      <c r="AX25" s="84" t="n">
        <f aca="false">CHOOSE(Premissas!$B$6,Cenários!AX28,Cenários!AX72,Cenários!AX116)</f>
        <v>-401761.928886957</v>
      </c>
      <c r="AY25" s="84" t="n">
        <f aca="false">CHOOSE(Premissas!$B$6,Cenários!AY28,Cenários!AY72,Cenários!AY116)</f>
        <v>-422714.630039219</v>
      </c>
      <c r="AZ25" s="84" t="n">
        <f aca="false">CHOOSE(Premissas!$B$6,Cenários!AZ28,Cenários!AZ72,Cenários!AZ116)</f>
        <v>-442418.94169272</v>
      </c>
      <c r="BA25" s="84" t="n">
        <f aca="false">CHOOSE(Premissas!$B$6,Cenários!BA28,Cenários!BA72,Cenários!BA116)</f>
        <v>-460933.779982936</v>
      </c>
      <c r="BB25" s="84" t="n">
        <f aca="false">CHOOSE(Premissas!$B$6,Cenários!BB28,Cenários!BB72,Cenários!BB116)</f>
        <v>-478337.164792611</v>
      </c>
      <c r="BC25" s="84" t="n">
        <f aca="false">CHOOSE(Premissas!$B$6,Cenários!BC28,Cenários!BC72,Cenários!BC116)</f>
        <v>-494699.167492539</v>
      </c>
      <c r="BD25" s="84" t="n">
        <f aca="false">CHOOSE(Premissas!$B$6,Cenários!BD28,Cenários!BD72,Cenários!BD116)</f>
        <v>-510077.875766155</v>
      </c>
      <c r="BE25" s="84" t="n">
        <f aca="false">CHOOSE(Premissas!$B$6,Cenários!BE28,Cenários!BE72,Cenários!BE116)</f>
        <v>-524538.998739378</v>
      </c>
      <c r="BF25" s="84" t="n">
        <f aca="false">CHOOSE(Premissas!$B$6,Cenários!BF28,Cenários!BF72,Cenários!BF116)</f>
        <v>-538128.578263333</v>
      </c>
      <c r="BG25" s="84" t="n">
        <f aca="false">CHOOSE(Premissas!$B$6,Cenários!BG28,Cenários!BG72,Cenários!BG116)</f>
        <v>-550900.206628308</v>
      </c>
      <c r="BH25" s="84" t="n">
        <f aca="false">CHOOSE(Premissas!$B$6,Cenários!BH28,Cenários!BH72,Cenários!BH116)</f>
        <v>-562899.537404747</v>
      </c>
      <c r="BI25" s="84" t="n">
        <f aca="false">CHOOSE(Premissas!$B$6,Cenários!BI28,Cenários!BI72,Cenários!BI116)</f>
        <v>-574199.310675503</v>
      </c>
      <c r="BJ25" s="69" t="n">
        <f aca="false">SUM(B25:BI25)</f>
        <v>-10956157.8614745</v>
      </c>
      <c r="BK25" s="70" t="n">
        <f aca="false">IFERROR(BJ25/BJ$27,0)</f>
        <v>0.213200574838568</v>
      </c>
    </row>
    <row r="26" customFormat="false" ht="15" hidden="false" customHeight="false" outlineLevel="0" collapsed="false">
      <c r="A26" s="12" t="s">
        <v>262</v>
      </c>
      <c r="B26" s="84" t="n">
        <f aca="false">-IF(B$4&gt;=Premissas!$B$72,INDEX(Premissas!$C$73:$G$73,B$7),0)</f>
        <v>-0</v>
      </c>
      <c r="C26" s="84" t="n">
        <f aca="false">-IF(C$4&gt;=Premissas!$B$72,INDEX(Premissas!$C$73:$G$73,C$7),0)</f>
        <v>-0</v>
      </c>
      <c r="D26" s="84" t="n">
        <f aca="false">-IF(D$4&gt;=Premissas!$B$72,INDEX(Premissas!$C$73:$G$73,D$7),0)</f>
        <v>-0</v>
      </c>
      <c r="E26" s="84" t="n">
        <f aca="false">-IF(E$4&gt;=Premissas!$B$72,INDEX(Premissas!$C$73:$G$73,E$7),0)</f>
        <v>-1500</v>
      </c>
      <c r="F26" s="84" t="n">
        <f aca="false">-IF(F$4&gt;=Premissas!$B$72,INDEX(Premissas!$C$73:$G$73,F$7),0)</f>
        <v>-1500</v>
      </c>
      <c r="G26" s="84" t="n">
        <f aca="false">-IF(G$4&gt;=Premissas!$B$72,INDEX(Premissas!$C$73:$G$73,G$7),0)</f>
        <v>-1500</v>
      </c>
      <c r="H26" s="84" t="n">
        <f aca="false">-IF(H$4&gt;=Premissas!$B$72,INDEX(Premissas!$C$73:$G$73,H$7),0)</f>
        <v>-1500</v>
      </c>
      <c r="I26" s="84" t="n">
        <f aca="false">-IF(I$4&gt;=Premissas!$B$72,INDEX(Premissas!$C$73:$G$73,I$7),0)</f>
        <v>-1500</v>
      </c>
      <c r="J26" s="84" t="n">
        <f aca="false">-IF(J$4&gt;=Premissas!$B$72,INDEX(Premissas!$C$73:$G$73,J$7),0)</f>
        <v>-1500</v>
      </c>
      <c r="K26" s="84" t="n">
        <f aca="false">-IF(K$4&gt;=Premissas!$B$72,INDEX(Premissas!$C$73:$G$73,K$7),0)</f>
        <v>-1500</v>
      </c>
      <c r="L26" s="84" t="n">
        <f aca="false">-IF(L$4&gt;=Premissas!$B$72,INDEX(Premissas!$C$73:$G$73,L$7),0)</f>
        <v>-1500</v>
      </c>
      <c r="M26" s="84" t="n">
        <f aca="false">-IF(M$4&gt;=Premissas!$B$72,INDEX(Premissas!$C$73:$G$73,M$7),0)</f>
        <v>-1500</v>
      </c>
      <c r="N26" s="84" t="n">
        <f aca="false">-IF(N$4&gt;=Premissas!$B$72,INDEX(Premissas!$C$73:$G$73,N$7),0)</f>
        <v>-6000</v>
      </c>
      <c r="O26" s="84" t="n">
        <f aca="false">-IF(O$4&gt;=Premissas!$B$72,INDEX(Premissas!$C$73:$G$73,O$7),0)</f>
        <v>-6000</v>
      </c>
      <c r="P26" s="84" t="n">
        <f aca="false">-IF(P$4&gt;=Premissas!$B$72,INDEX(Premissas!$C$73:$G$73,P$7),0)</f>
        <v>-6000</v>
      </c>
      <c r="Q26" s="84" t="n">
        <f aca="false">-IF(Q$4&gt;=Premissas!$B$72,INDEX(Premissas!$C$73:$G$73,Q$7),0)</f>
        <v>-6000</v>
      </c>
      <c r="R26" s="84" t="n">
        <f aca="false">-IF(R$4&gt;=Premissas!$B$72,INDEX(Premissas!$C$73:$G$73,R$7),0)</f>
        <v>-6000</v>
      </c>
      <c r="S26" s="84" t="n">
        <f aca="false">-IF(S$4&gt;=Premissas!$B$72,INDEX(Premissas!$C$73:$G$73,S$7),0)</f>
        <v>-6000</v>
      </c>
      <c r="T26" s="84" t="n">
        <f aca="false">-IF(T$4&gt;=Premissas!$B$72,INDEX(Premissas!$C$73:$G$73,T$7),0)</f>
        <v>-6000</v>
      </c>
      <c r="U26" s="84" t="n">
        <f aca="false">-IF(U$4&gt;=Premissas!$B$72,INDEX(Premissas!$C$73:$G$73,U$7),0)</f>
        <v>-6000</v>
      </c>
      <c r="V26" s="84" t="n">
        <f aca="false">-IF(V$4&gt;=Premissas!$B$72,INDEX(Premissas!$C$73:$G$73,V$7),0)</f>
        <v>-6000</v>
      </c>
      <c r="W26" s="84" t="n">
        <f aca="false">-IF(W$4&gt;=Premissas!$B$72,INDEX(Premissas!$C$73:$G$73,W$7),0)</f>
        <v>-6000</v>
      </c>
      <c r="X26" s="84" t="n">
        <f aca="false">-IF(X$4&gt;=Premissas!$B$72,INDEX(Premissas!$C$73:$G$73,X$7),0)</f>
        <v>-6000</v>
      </c>
      <c r="Y26" s="84" t="n">
        <f aca="false">-IF(Y$4&gt;=Premissas!$B$72,INDEX(Premissas!$C$73:$G$73,Y$7),0)</f>
        <v>-6000</v>
      </c>
      <c r="Z26" s="84" t="n">
        <f aca="false">-IF(Z$4&gt;=Premissas!$B$72,INDEX(Premissas!$C$73:$G$73,Z$7),0)</f>
        <v>-25000</v>
      </c>
      <c r="AA26" s="84" t="n">
        <f aca="false">-IF(AA$4&gt;=Premissas!$B$72,INDEX(Premissas!$C$73:$G$73,AA$7),0)</f>
        <v>-25000</v>
      </c>
      <c r="AB26" s="84" t="n">
        <f aca="false">-IF(AB$4&gt;=Premissas!$B$72,INDEX(Premissas!$C$73:$G$73,AB$7),0)</f>
        <v>-25000</v>
      </c>
      <c r="AC26" s="84" t="n">
        <f aca="false">-IF(AC$4&gt;=Premissas!$B$72,INDEX(Premissas!$C$73:$G$73,AC$7),0)</f>
        <v>-25000</v>
      </c>
      <c r="AD26" s="84" t="n">
        <f aca="false">-IF(AD$4&gt;=Premissas!$B$72,INDEX(Premissas!$C$73:$G$73,AD$7),0)</f>
        <v>-25000</v>
      </c>
      <c r="AE26" s="84" t="n">
        <f aca="false">-IF(AE$4&gt;=Premissas!$B$72,INDEX(Premissas!$C$73:$G$73,AE$7),0)</f>
        <v>-25000</v>
      </c>
      <c r="AF26" s="84" t="n">
        <f aca="false">-IF(AF$4&gt;=Premissas!$B$72,INDEX(Premissas!$C$73:$G$73,AF$7),0)</f>
        <v>-25000</v>
      </c>
      <c r="AG26" s="84" t="n">
        <f aca="false">-IF(AG$4&gt;=Premissas!$B$72,INDEX(Premissas!$C$73:$G$73,AG$7),0)</f>
        <v>-25000</v>
      </c>
      <c r="AH26" s="84" t="n">
        <f aca="false">-IF(AH$4&gt;=Premissas!$B$72,INDEX(Premissas!$C$73:$G$73,AH$7),0)</f>
        <v>-25000</v>
      </c>
      <c r="AI26" s="84" t="n">
        <f aca="false">-IF(AI$4&gt;=Premissas!$B$72,INDEX(Premissas!$C$73:$G$73,AI$7),0)</f>
        <v>-25000</v>
      </c>
      <c r="AJ26" s="84" t="n">
        <f aca="false">-IF(AJ$4&gt;=Premissas!$B$72,INDEX(Premissas!$C$73:$G$73,AJ$7),0)</f>
        <v>-25000</v>
      </c>
      <c r="AK26" s="84" t="n">
        <f aca="false">-IF(AK$4&gt;=Premissas!$B$72,INDEX(Premissas!$C$73:$G$73,AK$7),0)</f>
        <v>-25000</v>
      </c>
      <c r="AL26" s="84" t="n">
        <f aca="false">-IF(AL$4&gt;=Premissas!$B$72,INDEX(Premissas!$C$73:$G$73,AL$7),0)</f>
        <v>-60000</v>
      </c>
      <c r="AM26" s="84" t="n">
        <f aca="false">-IF(AM$4&gt;=Premissas!$B$72,INDEX(Premissas!$C$73:$G$73,AM$7),0)</f>
        <v>-60000</v>
      </c>
      <c r="AN26" s="84" t="n">
        <f aca="false">-IF(AN$4&gt;=Premissas!$B$72,INDEX(Premissas!$C$73:$G$73,AN$7),0)</f>
        <v>-60000</v>
      </c>
      <c r="AO26" s="84" t="n">
        <f aca="false">-IF(AO$4&gt;=Premissas!$B$72,INDEX(Premissas!$C$73:$G$73,AO$7),0)</f>
        <v>-60000</v>
      </c>
      <c r="AP26" s="84" t="n">
        <f aca="false">-IF(AP$4&gt;=Premissas!$B$72,INDEX(Premissas!$C$73:$G$73,AP$7),0)</f>
        <v>-60000</v>
      </c>
      <c r="AQ26" s="84" t="n">
        <f aca="false">-IF(AQ$4&gt;=Premissas!$B$72,INDEX(Premissas!$C$73:$G$73,AQ$7),0)</f>
        <v>-60000</v>
      </c>
      <c r="AR26" s="84" t="n">
        <f aca="false">-IF(AR$4&gt;=Premissas!$B$72,INDEX(Premissas!$C$73:$G$73,AR$7),0)</f>
        <v>-60000</v>
      </c>
      <c r="AS26" s="84" t="n">
        <f aca="false">-IF(AS$4&gt;=Premissas!$B$72,INDEX(Premissas!$C$73:$G$73,AS$7),0)</f>
        <v>-60000</v>
      </c>
      <c r="AT26" s="84" t="n">
        <f aca="false">-IF(AT$4&gt;=Premissas!$B$72,INDEX(Premissas!$C$73:$G$73,AT$7),0)</f>
        <v>-60000</v>
      </c>
      <c r="AU26" s="84" t="n">
        <f aca="false">-IF(AU$4&gt;=Premissas!$B$72,INDEX(Premissas!$C$73:$G$73,AU$7),0)</f>
        <v>-60000</v>
      </c>
      <c r="AV26" s="84" t="n">
        <f aca="false">-IF(AV$4&gt;=Premissas!$B$72,INDEX(Premissas!$C$73:$G$73,AV$7),0)</f>
        <v>-60000</v>
      </c>
      <c r="AW26" s="84" t="n">
        <f aca="false">-IF(AW$4&gt;=Premissas!$B$72,INDEX(Premissas!$C$73:$G$73,AW$7),0)</f>
        <v>-60000</v>
      </c>
      <c r="AX26" s="84" t="n">
        <f aca="false">-IF(AX$4&gt;=Premissas!$B$72,INDEX(Premissas!$C$73:$G$73,AX$7),0)</f>
        <v>-110000</v>
      </c>
      <c r="AY26" s="84" t="n">
        <f aca="false">-IF(AY$4&gt;=Premissas!$B$72,INDEX(Premissas!$C$73:$G$73,AY$7),0)</f>
        <v>-110000</v>
      </c>
      <c r="AZ26" s="84" t="n">
        <f aca="false">-IF(AZ$4&gt;=Premissas!$B$72,INDEX(Premissas!$C$73:$G$73,AZ$7),0)</f>
        <v>-110000</v>
      </c>
      <c r="BA26" s="84" t="n">
        <f aca="false">-IF(BA$4&gt;=Premissas!$B$72,INDEX(Premissas!$C$73:$G$73,BA$7),0)</f>
        <v>-110000</v>
      </c>
      <c r="BB26" s="84" t="n">
        <f aca="false">-IF(BB$4&gt;=Premissas!$B$72,INDEX(Premissas!$C$73:$G$73,BB$7),0)</f>
        <v>-110000</v>
      </c>
      <c r="BC26" s="84" t="n">
        <f aca="false">-IF(BC$4&gt;=Premissas!$B$72,INDEX(Premissas!$C$73:$G$73,BC$7),0)</f>
        <v>-110000</v>
      </c>
      <c r="BD26" s="84" t="n">
        <f aca="false">-IF(BD$4&gt;=Premissas!$B$72,INDEX(Premissas!$C$73:$G$73,BD$7),0)</f>
        <v>-110000</v>
      </c>
      <c r="BE26" s="84" t="n">
        <f aca="false">-IF(BE$4&gt;=Premissas!$B$72,INDEX(Premissas!$C$73:$G$73,BE$7),0)</f>
        <v>-110000</v>
      </c>
      <c r="BF26" s="84" t="n">
        <f aca="false">-IF(BF$4&gt;=Premissas!$B$72,INDEX(Premissas!$C$73:$G$73,BF$7),0)</f>
        <v>-110000</v>
      </c>
      <c r="BG26" s="84" t="n">
        <f aca="false">-IF(BG$4&gt;=Premissas!$B$72,INDEX(Premissas!$C$73:$G$73,BG$7),0)</f>
        <v>-110000</v>
      </c>
      <c r="BH26" s="84" t="n">
        <f aca="false">-IF(BH$4&gt;=Premissas!$B$72,INDEX(Premissas!$C$73:$G$73,BH$7),0)</f>
        <v>-110000</v>
      </c>
      <c r="BI26" s="84" t="n">
        <f aca="false">-IF(BI$4&gt;=Premissas!$B$72,INDEX(Premissas!$C$73:$G$73,BI$7),0)</f>
        <v>-110000</v>
      </c>
      <c r="BJ26" s="69" t="n">
        <f aca="false">SUM(B26:BI26)</f>
        <v>-2425500</v>
      </c>
      <c r="BK26" s="70" t="n">
        <f aca="false">IFERROR(BJ26/BJ$27,0)</f>
        <v>0.0471988447783606</v>
      </c>
    </row>
    <row r="27" customFormat="false" ht="15" hidden="false" customHeight="false" outlineLevel="0" collapsed="false">
      <c r="A27" s="34" t="s">
        <v>263</v>
      </c>
      <c r="B27" s="69" t="n">
        <f aca="false">SUM(B16:B26)</f>
        <v>0</v>
      </c>
      <c r="C27" s="69" t="n">
        <f aca="false">SUM(C16:C26)</f>
        <v>0</v>
      </c>
      <c r="D27" s="69" t="n">
        <f aca="false">SUM(D16:D26)</f>
        <v>0</v>
      </c>
      <c r="E27" s="69" t="n">
        <f aca="false">SUM(E16:E26)</f>
        <v>-1500</v>
      </c>
      <c r="F27" s="69" t="n">
        <f aca="false">SUM(F16:F26)</f>
        <v>-2100</v>
      </c>
      <c r="G27" s="69" t="n">
        <f aca="false">SUM(G16:G26)</f>
        <v>-2100</v>
      </c>
      <c r="H27" s="69" t="n">
        <f aca="false">SUM(H16:H26)</f>
        <v>-2100</v>
      </c>
      <c r="I27" s="69" t="n">
        <f aca="false">SUM(I16:I26)</f>
        <v>-2100</v>
      </c>
      <c r="J27" s="69" t="n">
        <f aca="false">SUM(J16:J26)</f>
        <v>-2100</v>
      </c>
      <c r="K27" s="69" t="n">
        <f aca="false">SUM(K16:K26)</f>
        <v>-68519.155375</v>
      </c>
      <c r="L27" s="69" t="n">
        <f aca="false">SUM(L16:L26)</f>
        <v>-53723.25935</v>
      </c>
      <c r="M27" s="69" t="n">
        <f aca="false">SUM(M16:M26)</f>
        <v>-59441.4166</v>
      </c>
      <c r="N27" s="69" t="n">
        <f aca="false">SUM(N16:N26)</f>
        <v>-140134.05675315</v>
      </c>
      <c r="O27" s="69" t="n">
        <f aca="false">SUM(O16:O26)</f>
        <v>-149331.636302375</v>
      </c>
      <c r="P27" s="69" t="n">
        <f aca="false">SUM(P16:P26)</f>
        <v>-158826.930406619</v>
      </c>
      <c r="Q27" s="69" t="n">
        <f aca="false">SUM(Q16:Q26)</f>
        <v>-168197.388308457</v>
      </c>
      <c r="R27" s="69" t="n">
        <f aca="false">SUM(R16:R26)</f>
        <v>-176693.790927843</v>
      </c>
      <c r="S27" s="69" t="n">
        <f aca="false">SUM(S16:S26)</f>
        <v>-185429.500087139</v>
      </c>
      <c r="T27" s="69" t="n">
        <f aca="false">SUM(T16:T26)</f>
        <v>-193253.494514153</v>
      </c>
      <c r="U27" s="69" t="n">
        <f aca="false">SUM(U16:U26)</f>
        <v>-200315.596447698</v>
      </c>
      <c r="V27" s="69" t="n">
        <f aca="false">SUM(V16:V26)</f>
        <v>-206769.219183045</v>
      </c>
      <c r="W27" s="69" t="n">
        <f aca="false">SUM(W16:W26)</f>
        <v>-214185.806189897</v>
      </c>
      <c r="X27" s="69" t="n">
        <f aca="false">SUM(X16:X26)</f>
        <v>-221314.818560206</v>
      </c>
      <c r="Y27" s="69" t="n">
        <f aca="false">SUM(Y16:Y26)</f>
        <v>-227712.606039216</v>
      </c>
      <c r="Z27" s="69" t="n">
        <f aca="false">SUM(Z16:Z26)</f>
        <v>-496340.236789246</v>
      </c>
      <c r="AA27" s="69" t="n">
        <f aca="false">SUM(AA16:AA26)</f>
        <v>-518662.750250075</v>
      </c>
      <c r="AB27" s="69" t="n">
        <f aca="false">SUM(AB16:AB26)</f>
        <v>-539728.053695667</v>
      </c>
      <c r="AC27" s="69" t="n">
        <f aca="false">SUM(AC16:AC26)</f>
        <v>-551867.005593884</v>
      </c>
      <c r="AD27" s="69" t="n">
        <f aca="false">SUM(AD16:AD26)</f>
        <v>-578724.680731094</v>
      </c>
      <c r="AE27" s="69" t="n">
        <f aca="false">SUM(AE16:AE26)</f>
        <v>-580667.676652413</v>
      </c>
      <c r="AF27" s="69" t="n">
        <f aca="false">SUM(AF16:AF26)</f>
        <v>-594313.192397701</v>
      </c>
      <c r="AG27" s="69" t="n">
        <f aca="false">SUM(AG16:AG26)</f>
        <v>-607011.153909235</v>
      </c>
      <c r="AH27" s="69" t="n">
        <f aca="false">SUM(AH16:AH26)</f>
        <v>-618818.828219389</v>
      </c>
      <c r="AI27" s="69" t="n">
        <f aca="false">SUM(AI16:AI26)</f>
        <v>-629784.161330686</v>
      </c>
      <c r="AJ27" s="69" t="n">
        <f aca="false">SUM(AJ16:AJ26)</f>
        <v>-639978.542975368</v>
      </c>
      <c r="AK27" s="69" t="n">
        <f aca="false">SUM(AK16:AK26)</f>
        <v>-649489.886899562</v>
      </c>
      <c r="AL27" s="69" t="n">
        <f aca="false">SUM(AL16:AL26)</f>
        <v>-1124841.19956027</v>
      </c>
      <c r="AM27" s="69" t="n">
        <f aca="false">SUM(AM16:AM26)</f>
        <v>-1154298.52638364</v>
      </c>
      <c r="AN27" s="69" t="n">
        <f aca="false">SUM(AN16:AN26)</f>
        <v>-1181837.01046259</v>
      </c>
      <c r="AO27" s="69" t="n">
        <f aca="false">SUM(AO16:AO26)</f>
        <v>-1207588.62956529</v>
      </c>
      <c r="AP27" s="69" t="n">
        <f aca="false">SUM(AP16:AP26)</f>
        <v>-1231660.53519493</v>
      </c>
      <c r="AQ27" s="69" t="n">
        <f aca="false">SUM(AQ16:AQ26)</f>
        <v>-1254173.64302753</v>
      </c>
      <c r="AR27" s="69" t="n">
        <f aca="false">SUM(AR16:AR26)</f>
        <v>-1275231.49559624</v>
      </c>
      <c r="AS27" s="69" t="n">
        <f aca="false">SUM(AS16:AS26)</f>
        <v>-1294910.42745501</v>
      </c>
      <c r="AT27" s="69" t="n">
        <f aca="false">SUM(AT16:AT26)</f>
        <v>-1313297.83365978</v>
      </c>
      <c r="AU27" s="69" t="n">
        <f aca="false">SUM(AU16:AU26)</f>
        <v>-1330515.96197287</v>
      </c>
      <c r="AV27" s="69" t="n">
        <f aca="false">SUM(AV16:AV26)</f>
        <v>-1346611.46536953</v>
      </c>
      <c r="AW27" s="69" t="n">
        <f aca="false">SUM(AW16:AW26)</f>
        <v>-1361645.21940031</v>
      </c>
      <c r="AX27" s="69" t="n">
        <f aca="false">SUM(AX16:AX26)</f>
        <v>-2058908.41480361</v>
      </c>
      <c r="AY27" s="69" t="n">
        <f aca="false">SUM(AY16:AY26)</f>
        <v>-2098669.47239107</v>
      </c>
      <c r="AZ27" s="69" t="n">
        <f aca="false">SUM(AZ16:AZ26)</f>
        <v>-2136061.73018214</v>
      </c>
      <c r="BA27" s="69" t="n">
        <f aca="false">SUM(BA16:BA26)</f>
        <v>-2171196.27726082</v>
      </c>
      <c r="BB27" s="69" t="n">
        <f aca="false">SUM(BB16:BB26)</f>
        <v>-2204222.82385315</v>
      </c>
      <c r="BC27" s="69" t="n">
        <f aca="false">SUM(BC16:BC26)</f>
        <v>-2235271.66959546</v>
      </c>
      <c r="BD27" s="69" t="n">
        <f aca="false">SUM(BD16:BD26)</f>
        <v>-2264455.82135096</v>
      </c>
      <c r="BE27" s="69" t="n">
        <f aca="false">SUM(BE16:BE26)</f>
        <v>-2291898.01604607</v>
      </c>
      <c r="BF27" s="69" t="n">
        <f aca="false">SUM(BF16:BF26)</f>
        <v>-2317685.90068561</v>
      </c>
      <c r="BG27" s="69" t="n">
        <f aca="false">SUM(BG16:BG26)</f>
        <v>-2341922.40678223</v>
      </c>
      <c r="BH27" s="69" t="n">
        <f aca="false">SUM(BH16:BH26)</f>
        <v>-2364694.4822589</v>
      </c>
      <c r="BI27" s="69" t="n">
        <f aca="false">SUM(BI16:BI26)</f>
        <v>-2386135.80387583</v>
      </c>
      <c r="BJ27" s="69" t="n">
        <f aca="false">SUM(B27:BI27)</f>
        <v>-51388969.611223</v>
      </c>
    </row>
    <row r="29" customFormat="false" ht="18" hidden="false" customHeight="true" outlineLevel="0" collapsed="false">
      <c r="A29" s="10" t="s">
        <v>264</v>
      </c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1"/>
      <c r="AB29" s="11"/>
      <c r="AC29" s="11"/>
      <c r="AD29" s="11"/>
      <c r="AE29" s="11"/>
      <c r="AF29" s="11"/>
      <c r="AG29" s="11"/>
      <c r="AH29" s="11"/>
      <c r="AI29" s="11"/>
      <c r="AJ29" s="11"/>
      <c r="AK29" s="11"/>
      <c r="AL29" s="11"/>
      <c r="AM29" s="11"/>
      <c r="AN29" s="11"/>
      <c r="AO29" s="11"/>
      <c r="AP29" s="11"/>
      <c r="AQ29" s="11"/>
      <c r="AR29" s="11"/>
      <c r="AS29" s="11"/>
      <c r="AT29" s="11"/>
      <c r="AU29" s="11"/>
      <c r="AV29" s="11"/>
      <c r="AW29" s="11"/>
      <c r="AX29" s="11"/>
      <c r="AY29" s="11"/>
      <c r="AZ29" s="11"/>
      <c r="BA29" s="11"/>
      <c r="BB29" s="11"/>
      <c r="BC29" s="11"/>
      <c r="BD29" s="11"/>
      <c r="BE29" s="11"/>
      <c r="BF29" s="11"/>
      <c r="BG29" s="11"/>
      <c r="BH29" s="11"/>
      <c r="BI29" s="11"/>
      <c r="BJ29" s="11"/>
      <c r="BK29" s="11"/>
    </row>
    <row r="30" customFormat="false" ht="15" hidden="false" customHeight="false" outlineLevel="0" collapsed="false">
      <c r="A30" s="12" t="s">
        <v>265</v>
      </c>
      <c r="B30" s="68" t="n">
        <f aca="false">CHOOSE(Premissas!$B$6,Cenários!B25,Cenários!B69,Cenários!B113)</f>
        <v>0</v>
      </c>
      <c r="C30" s="68" t="n">
        <f aca="false">CHOOSE(Premissas!$B$6,Cenários!C25,Cenários!C69,Cenários!C113)</f>
        <v>0</v>
      </c>
      <c r="D30" s="68" t="n">
        <f aca="false">CHOOSE(Premissas!$B$6,Cenários!D25,Cenários!D69,Cenários!D113)</f>
        <v>0</v>
      </c>
      <c r="E30" s="68" t="n">
        <f aca="false">CHOOSE(Premissas!$B$6,Cenários!E25,Cenários!E69,Cenários!E113)</f>
        <v>0</v>
      </c>
      <c r="F30" s="68" t="n">
        <f aca="false">CHOOSE(Premissas!$B$6,Cenários!F25,Cenários!F69,Cenários!F113)</f>
        <v>0</v>
      </c>
      <c r="G30" s="68" t="n">
        <f aca="false">CHOOSE(Premissas!$B$6,Cenários!G25,Cenários!G69,Cenários!G113)</f>
        <v>0</v>
      </c>
      <c r="H30" s="68" t="n">
        <f aca="false">CHOOSE(Premissas!$B$6,Cenários!H25,Cenários!H69,Cenários!H113)</f>
        <v>0</v>
      </c>
      <c r="I30" s="68" t="n">
        <f aca="false">CHOOSE(Premissas!$B$6,Cenários!I25,Cenários!I69,Cenários!I113)</f>
        <v>0</v>
      </c>
      <c r="J30" s="68" t="n">
        <f aca="false">CHOOSE(Premissas!$B$6,Cenários!J25,Cenários!J69,Cenários!J113)</f>
        <v>0</v>
      </c>
      <c r="K30" s="68" t="n">
        <f aca="false">CHOOSE(Premissas!$B$6,Cenários!K25,Cenários!K69,Cenários!K113)</f>
        <v>24329.5</v>
      </c>
      <c r="L30" s="68" t="n">
        <f aca="false">CHOOSE(Premissas!$B$6,Cenários!L25,Cenários!L69,Cenários!L113)</f>
        <v>46706.2</v>
      </c>
      <c r="M30" s="68" t="n">
        <f aca="false">CHOOSE(Premissas!$B$6,Cenários!M25,Cenários!M69,Cenários!M113)</f>
        <v>67349.6</v>
      </c>
      <c r="N30" s="68" t="n">
        <f aca="false">CHOOSE(Premissas!$B$6,Cenários!N25,Cenários!N69,Cenários!N113)</f>
        <v>113107.10723</v>
      </c>
      <c r="O30" s="68" t="n">
        <f aca="false">CHOOSE(Premissas!$B$6,Cenários!O25,Cenários!O69,Cenários!O113)</f>
        <v>141086.93070025</v>
      </c>
      <c r="P30" s="68" t="n">
        <f aca="false">CHOOSE(Premissas!$B$6,Cenários!P25,Cenários!P69,Cenários!P113)</f>
        <v>166896.823372731</v>
      </c>
      <c r="Q30" s="68" t="n">
        <f aca="false">CHOOSE(Premissas!$B$6,Cenários!Q25,Cenários!Q69,Cenários!Q113)</f>
        <v>190875.437519776</v>
      </c>
      <c r="R30" s="68" t="n">
        <f aca="false">CHOOSE(Premissas!$B$6,Cenários!R25,Cenários!R69,Cenários!R113)</f>
        <v>212943.260630793</v>
      </c>
      <c r="S30" s="68" t="n">
        <f aca="false">CHOOSE(Premissas!$B$6,Cenários!S25,Cenários!S69,Cenários!S113)</f>
        <v>233438.538945984</v>
      </c>
      <c r="T30" s="68" t="n">
        <f aca="false">CHOOSE(Premissas!$B$6,Cenários!T25,Cenários!T69,Cenários!T113)</f>
        <v>252364.903387535</v>
      </c>
      <c r="U30" s="68" t="n">
        <f aca="false">CHOOSE(Premissas!$B$6,Cenários!U25,Cenários!U69,Cenários!U113)</f>
        <v>269809.08004597</v>
      </c>
      <c r="V30" s="68" t="n">
        <f aca="false">CHOOSE(Premissas!$B$6,Cenários!V25,Cenários!V69,Cenários!V113)</f>
        <v>286045.725867522</v>
      </c>
      <c r="W30" s="68" t="n">
        <f aca="false">CHOOSE(Premissas!$B$6,Cenários!W25,Cenários!W69,Cenários!W113)</f>
        <v>300994.049177458</v>
      </c>
      <c r="X30" s="68" t="n">
        <f aca="false">CHOOSE(Premissas!$B$6,Cenários!X25,Cenários!X69,Cenários!X113)</f>
        <v>314865.728664149</v>
      </c>
      <c r="Y30" s="68" t="n">
        <f aca="false">CHOOSE(Premissas!$B$6,Cenários!Y25,Cenários!Y69,Cenários!Y113)</f>
        <v>327767.517439337</v>
      </c>
      <c r="Z30" s="68" t="n">
        <f aca="false">CHOOSE(Premissas!$B$6,Cenários!Z25,Cenários!Z69,Cenários!Z113)</f>
        <v>462709.875675973</v>
      </c>
      <c r="AA30" s="68" t="n">
        <f aca="false">CHOOSE(Premissas!$B$6,Cenários!AA25,Cenários!AA69,Cenários!AA113)</f>
        <v>521294.049075805</v>
      </c>
      <c r="AB30" s="68" t="n">
        <f aca="false">CHOOSE(Premissas!$B$6,Cenários!AB25,Cenários!AB69,Cenários!AB113)</f>
        <v>575695.465591498</v>
      </c>
      <c r="AC30" s="68" t="n">
        <f aca="false">CHOOSE(Premissas!$B$6,Cenários!AC25,Cenários!AC69,Cenários!AC113)</f>
        <v>626318.582129294</v>
      </c>
      <c r="AD30" s="68" t="n">
        <f aca="false">CHOOSE(Premissas!$B$6,Cenários!AD25,Cenários!AD69,Cenários!AD113)</f>
        <v>673349.018010243</v>
      </c>
      <c r="AE30" s="68" t="n">
        <f aca="false">CHOOSE(Premissas!$B$6,Cenários!AE25,Cenários!AE69,Cenários!AE113)</f>
        <v>717124.249112876</v>
      </c>
      <c r="AF30" s="68" t="n">
        <f aca="false">CHOOSE(Premissas!$B$6,Cenários!AF25,Cenários!AF69,Cenários!AF113)</f>
        <v>757850.065578325</v>
      </c>
      <c r="AG30" s="68" t="n">
        <f aca="false">CHOOSE(Premissas!$B$6,Cenários!AG25,Cenários!AG69,Cenários!AG113)</f>
        <v>795753.507946117</v>
      </c>
      <c r="AH30" s="68" t="n">
        <f aca="false">CHOOSE(Premissas!$B$6,Cenários!AH25,Cenários!AH69,Cenários!AH113)</f>
        <v>830995.335700464</v>
      </c>
      <c r="AI30" s="68" t="n">
        <f aca="false">CHOOSE(Premissas!$B$6,Cenários!AI25,Cenários!AI69,Cenários!AI113)</f>
        <v>863714.081402456</v>
      </c>
      <c r="AJ30" s="68" t="n">
        <f aca="false">CHOOSE(Premissas!$B$6,Cenários!AJ25,Cenários!AJ69,Cenários!AJ113)</f>
        <v>894135.186325534</v>
      </c>
      <c r="AK30" s="68" t="n">
        <f aca="false">CHOOSE(Premissas!$B$6,Cenários!AK25,Cenários!AK69,Cenários!AK113)</f>
        <v>922526.922019797</v>
      </c>
      <c r="AL30" s="68" t="n">
        <f aca="false">CHOOSE(Premissas!$B$6,Cenários!AL25,Cenários!AL69,Cenários!AL113)</f>
        <v>1215880.91113422</v>
      </c>
      <c r="AM30" s="68" t="n">
        <f aca="false">CHOOSE(Premissas!$B$6,Cenários!AM25,Cenários!AM69,Cenários!AM113)</f>
        <v>1308132.85240288</v>
      </c>
      <c r="AN30" s="68" t="n">
        <f aca="false">CHOOSE(Premissas!$B$6,Cenários!AN25,Cenários!AN69,Cenários!AN113)</f>
        <v>1394376.9698811</v>
      </c>
      <c r="AO30" s="68" t="n">
        <f aca="false">CHOOSE(Premissas!$B$6,Cenários!AO25,Cenários!AO69,Cenários!AO113)</f>
        <v>1475022.1905365</v>
      </c>
      <c r="AP30" s="68" t="n">
        <f aca="false">CHOOSE(Premissas!$B$6,Cenários!AP25,Cenários!AP69,Cenários!AP113)</f>
        <v>1550407.97834319</v>
      </c>
      <c r="AQ30" s="68" t="n">
        <f aca="false">CHOOSE(Premissas!$B$6,Cenários!AQ25,Cenários!AQ69,Cenários!AQ113)</f>
        <v>1620917.97452817</v>
      </c>
      <c r="AR30" s="68" t="n">
        <f aca="false">CHOOSE(Premissas!$B$6,Cenários!AR25,Cenários!AR69,Cenários!AR113)</f>
        <v>1686865.85493515</v>
      </c>
      <c r="AS30" s="68" t="n">
        <f aca="false">CHOOSE(Premissas!$B$6,Cenários!AS25,Cenários!AS69,Cenários!AS113)</f>
        <v>1748496.32532428</v>
      </c>
      <c r="AT30" s="68" t="n">
        <f aca="false">CHOOSE(Premissas!$B$6,Cenários!AT25,Cenários!AT69,Cenários!AT113)</f>
        <v>1806075.35050912</v>
      </c>
      <c r="AU30" s="68" t="n">
        <f aca="false">CHOOSE(Premissas!$B$6,Cenários!AU25,Cenários!AU69,Cenários!AU113)</f>
        <v>1860005.14179253</v>
      </c>
      <c r="AV30" s="68" t="n">
        <f aca="false">CHOOSE(Premissas!$B$6,Cenários!AV25,Cenários!AV69,Cenários!AV113)</f>
        <v>1910412.83390535</v>
      </c>
      <c r="AW30" s="68" t="n">
        <f aca="false">CHOOSE(Premissas!$B$6,Cenários!AW25,Cenários!AW69,Cenários!AW113)</f>
        <v>1957493.58249402</v>
      </c>
      <c r="AX30" s="68" t="n">
        <f aca="false">CHOOSE(Premissas!$B$6,Cenários!AX25,Cenários!AX69,Cenários!AX113)</f>
        <v>2460269.00726857</v>
      </c>
      <c r="AY30" s="68" t="n">
        <f aca="false">CHOOSE(Premissas!$B$6,Cenários!AY25,Cenários!AY69,Cenários!AY113)</f>
        <v>2588577.03636999</v>
      </c>
      <c r="AZ30" s="68" t="n">
        <f aca="false">CHOOSE(Premissas!$B$6,Cenários!AZ25,Cenários!AZ69,Cenários!AZ113)</f>
        <v>2709240.30430324</v>
      </c>
      <c r="BA30" s="68" t="n">
        <f aca="false">CHOOSE(Premissas!$B$6,Cenários!BA25,Cenários!BA69,Cenários!BA113)</f>
        <v>2822619.59573139</v>
      </c>
      <c r="BB30" s="68" t="n">
        <f aca="false">CHOOSE(Premissas!$B$6,Cenários!BB25,Cenários!BB69,Cenários!BB113)</f>
        <v>2929192.68091005</v>
      </c>
      <c r="BC30" s="68" t="n">
        <f aca="false">CHOOSE(Premissas!$B$6,Cenários!BC25,Cenários!BC69,Cenários!BC113)</f>
        <v>3029388.65580244</v>
      </c>
      <c r="BD30" s="68" t="n">
        <f aca="false">CHOOSE(Premissas!$B$6,Cenários!BD25,Cenários!BD69,Cenários!BD113)</f>
        <v>3123563.23188093</v>
      </c>
      <c r="BE30" s="68" t="n">
        <f aca="false">CHOOSE(Premissas!$B$6,Cenários!BE25,Cenários!BE69,Cenários!BE113)</f>
        <v>3212118.79203538</v>
      </c>
      <c r="BF30" s="68" t="n">
        <f aca="false">CHOOSE(Premissas!$B$6,Cenários!BF25,Cenários!BF69,Cenários!BF113)</f>
        <v>3295337.28269035</v>
      </c>
      <c r="BG30" s="68" t="n">
        <f aca="false">CHOOSE(Premissas!$B$6,Cenários!BG25,Cenários!BG69,Cenários!BG113)</f>
        <v>3373546.88688492</v>
      </c>
      <c r="BH30" s="68" t="n">
        <f aca="false">CHOOSE(Premissas!$B$6,Cenários!BH25,Cenários!BH69,Cenários!BH113)</f>
        <v>3447027.17332974</v>
      </c>
      <c r="BI30" s="68" t="n">
        <f aca="false">CHOOSE(Premissas!$B$6,Cenários!BI25,Cenários!BI69,Cenários!BI113)</f>
        <v>3516223.58037662</v>
      </c>
      <c r="BJ30" s="69" t="n">
        <f aca="false">SUM(B30:BI30)</f>
        <v>67631238.93492</v>
      </c>
    </row>
    <row r="31" customFormat="false" ht="15" hidden="false" customHeight="false" outlineLevel="0" collapsed="false">
      <c r="A31" s="34" t="s">
        <v>266</v>
      </c>
      <c r="B31" s="69" t="n">
        <f aca="false">B30+B13+B27</f>
        <v>0</v>
      </c>
      <c r="C31" s="69" t="n">
        <f aca="false">C30+C13+C27</f>
        <v>0</v>
      </c>
      <c r="D31" s="69" t="n">
        <f aca="false">D30+D13+D27</f>
        <v>0</v>
      </c>
      <c r="E31" s="69" t="n">
        <f aca="false">E30+E13+E27</f>
        <v>-1500</v>
      </c>
      <c r="F31" s="69" t="n">
        <f aca="false">F30+F13+F27</f>
        <v>-8100</v>
      </c>
      <c r="G31" s="69" t="n">
        <f aca="false">G30+G13+G27</f>
        <v>-2100</v>
      </c>
      <c r="H31" s="69" t="n">
        <f aca="false">H30+H13+H27</f>
        <v>-2100</v>
      </c>
      <c r="I31" s="69" t="n">
        <f aca="false">I30+I13+I27</f>
        <v>-18227.82</v>
      </c>
      <c r="J31" s="69" t="n">
        <f aca="false">J30+J13+J27</f>
        <v>-9100</v>
      </c>
      <c r="K31" s="69" t="n">
        <f aca="false">K30+K13+K27</f>
        <v>-51189.655375</v>
      </c>
      <c r="L31" s="69" t="n">
        <f aca="false">L30+L13+L27</f>
        <v>-7017.05935</v>
      </c>
      <c r="M31" s="69" t="n">
        <f aca="false">M30+M13+M27</f>
        <v>7908.18339999999</v>
      </c>
      <c r="N31" s="69" t="n">
        <f aca="false">N30+N13+N27</f>
        <v>-42026.94952315</v>
      </c>
      <c r="O31" s="69" t="n">
        <f aca="false">O30+O13+O27</f>
        <v>-8244.70560212518</v>
      </c>
      <c r="P31" s="69" t="n">
        <f aca="false">P30+P13+P27</f>
        <v>-3930.10703388791</v>
      </c>
      <c r="Q31" s="69" t="n">
        <f aca="false">Q30+Q13+Q27</f>
        <v>22678.0492113196</v>
      </c>
      <c r="R31" s="69" t="n">
        <f aca="false">R30+R13+R27</f>
        <v>36249.4697029503</v>
      </c>
      <c r="S31" s="69" t="n">
        <f aca="false">S30+S13+S27</f>
        <v>42009.038858845</v>
      </c>
      <c r="T31" s="69" t="n">
        <f aca="false">T30+T13+T27</f>
        <v>34111.4088733819</v>
      </c>
      <c r="U31" s="69" t="n">
        <f aca="false">U30+U13+U27</f>
        <v>69493.4835982719</v>
      </c>
      <c r="V31" s="69" t="n">
        <f aca="false">V30+V13+V27</f>
        <v>79276.5066844774</v>
      </c>
      <c r="W31" s="69" t="n">
        <f aca="false">W30+W13+W27</f>
        <v>86808.2429875609</v>
      </c>
      <c r="X31" s="69" t="n">
        <f aca="false">X30+X13+X27</f>
        <v>93550.9101039425</v>
      </c>
      <c r="Y31" s="69" t="n">
        <f aca="false">Y30+Y13+Y27</f>
        <v>100054.911400121</v>
      </c>
      <c r="Z31" s="69" t="n">
        <f aca="false">Z30+Z13+Z27</f>
        <v>-78630.3611132734</v>
      </c>
      <c r="AA31" s="69" t="n">
        <f aca="false">AA30+AA13+AA27</f>
        <v>2631.29882572958</v>
      </c>
      <c r="AB31" s="69" t="n">
        <f aca="false">AB30+AB13+AB27</f>
        <v>35967.4118958318</v>
      </c>
      <c r="AC31" s="69" t="n">
        <f aca="false">AC30+AC13+AC27</f>
        <v>74451.5765354096</v>
      </c>
      <c r="AD31" s="69" t="n">
        <f aca="false">AD30+AD13+AD27</f>
        <v>94624.3372791493</v>
      </c>
      <c r="AE31" s="69" t="n">
        <f aca="false">AE30+AE13+AE27</f>
        <v>121456.572460462</v>
      </c>
      <c r="AF31" s="69" t="n">
        <f aca="false">AF30+AF13+AF27</f>
        <v>163536.873180623</v>
      </c>
      <c r="AG31" s="69" t="n">
        <f aca="false">AG30+AG13+AG27</f>
        <v>188742.354036882</v>
      </c>
      <c r="AH31" s="69" t="n">
        <f aca="false">AH30+AH13+AH27</f>
        <v>212176.507481075</v>
      </c>
      <c r="AI31" s="69" t="n">
        <f aca="false">AI30+AI13+AI27</f>
        <v>233929.92007177</v>
      </c>
      <c r="AJ31" s="69" t="n">
        <f aca="false">AJ30+AJ13+AJ27</f>
        <v>254156.643350166</v>
      </c>
      <c r="AK31" s="69" t="n">
        <f aca="false">AK30+AK13+AK27</f>
        <v>273037.035120235</v>
      </c>
      <c r="AL31" s="69" t="n">
        <f aca="false">AL30+AL13+AL27</f>
        <v>31039.7115739451</v>
      </c>
      <c r="AM31" s="69" t="n">
        <f aca="false">AM30+AM13+AM27</f>
        <v>153834.326019236</v>
      </c>
      <c r="AN31" s="69" t="n">
        <f aca="false">AN30+AN13+AN27</f>
        <v>212539.959418507</v>
      </c>
      <c r="AO31" s="69" t="n">
        <f aca="false">AO30+AO13+AO27</f>
        <v>267433.560971211</v>
      </c>
      <c r="AP31" s="69" t="n">
        <f aca="false">AP30+AP13+AP27</f>
        <v>318747.443148261</v>
      </c>
      <c r="AQ31" s="69" t="n">
        <f aca="false">AQ30+AQ13+AQ27</f>
        <v>341744.33150064</v>
      </c>
      <c r="AR31" s="69" t="n">
        <f aca="false">AR30+AR13+AR27</f>
        <v>411634.359338907</v>
      </c>
      <c r="AS31" s="69" t="n">
        <f aca="false">AS30+AS13+AS27</f>
        <v>453585.897869278</v>
      </c>
      <c r="AT31" s="69" t="n">
        <f aca="false">AT30+AT13+AT27</f>
        <v>492777.516849346</v>
      </c>
      <c r="AU31" s="69" t="n">
        <f aca="false">AU30+AU13+AU27</f>
        <v>529489.17981966</v>
      </c>
      <c r="AV31" s="69" t="n">
        <f aca="false">AV30+AV13+AV27</f>
        <v>563801.368535813</v>
      </c>
      <c r="AW31" s="69" t="n">
        <f aca="false">AW30+AW13+AW27</f>
        <v>595848.363093709</v>
      </c>
      <c r="AX31" s="69" t="n">
        <f aca="false">AX30+AX13+AX27</f>
        <v>331360.592464958</v>
      </c>
      <c r="AY31" s="69" t="n">
        <f aca="false">AY30+AY13+AY27</f>
        <v>489907.563978917</v>
      </c>
      <c r="AZ31" s="69" t="n">
        <f aca="false">AZ30+AZ13+AZ27</f>
        <v>573178.574121103</v>
      </c>
      <c r="BA31" s="69" t="n">
        <f aca="false">BA30+BA13+BA27</f>
        <v>651423.318470566</v>
      </c>
      <c r="BB31" s="69" t="n">
        <f aca="false">BB30+BB13+BB27</f>
        <v>724969.857056905</v>
      </c>
      <c r="BC31" s="69" t="n">
        <f aca="false">BC30+BC13+BC27</f>
        <v>764116.986206983</v>
      </c>
      <c r="BD31" s="69" t="n">
        <f aca="false">BD30+BD13+BD27</f>
        <v>859107.410529968</v>
      </c>
      <c r="BE31" s="69" t="n">
        <f aca="false">BE30+BE13+BE27</f>
        <v>920220.775989314</v>
      </c>
      <c r="BF31" s="69" t="n">
        <f aca="false">BF30+BF13+BF27</f>
        <v>977651.382004738</v>
      </c>
      <c r="BG31" s="69" t="n">
        <f aca="false">BG30+BG13+BG27</f>
        <v>1031624.48010269</v>
      </c>
      <c r="BH31" s="69" t="n">
        <f aca="false">BH30+BH13+BH27</f>
        <v>1082332.69107085</v>
      </c>
      <c r="BI31" s="69" t="n">
        <f aca="false">BI30+BI13+BI27</f>
        <v>1130087.77650079</v>
      </c>
      <c r="BJ31" s="69" t="n">
        <f aca="false">SUM(B31:BI31)</f>
        <v>15903141.5036971</v>
      </c>
      <c r="BK31" s="14" t="s">
        <v>267</v>
      </c>
    </row>
    <row r="32" customFormat="false" ht="15" hidden="false" customHeight="false" outlineLevel="0" collapsed="false">
      <c r="A32" s="12" t="s">
        <v>268</v>
      </c>
      <c r="B32" s="84" t="n">
        <f aca="false">B31/(1+Premissas!$B$12)^B$5</f>
        <v>0</v>
      </c>
      <c r="C32" s="84" t="n">
        <f aca="false">C31/(1+Premissas!$B$12)^C$5</f>
        <v>0</v>
      </c>
      <c r="D32" s="84" t="n">
        <f aca="false">D31/(1+Premissas!$B$12)^D$5</f>
        <v>0</v>
      </c>
      <c r="E32" s="84" t="n">
        <f aca="false">E31/(1+Premissas!$B$12)^E$5</f>
        <v>-1392.47665008383</v>
      </c>
      <c r="F32" s="84" t="n">
        <f aca="false">F31/(1+Premissas!$B$12)^F$5</f>
        <v>-7380.84094984538</v>
      </c>
      <c r="G32" s="84" t="n">
        <f aca="false">G31/(1+Premissas!$B$12)^G$5</f>
        <v>-1878.29710109982</v>
      </c>
      <c r="H32" s="84" t="n">
        <f aca="false">H31/(1+Premissas!$B$12)^H$5</f>
        <v>-1843.69235056949</v>
      </c>
      <c r="I32" s="84" t="n">
        <f aca="false">I31/(1+Premissas!$B$12)^I$5</f>
        <v>-15708.2590926628</v>
      </c>
      <c r="J32" s="84" t="n">
        <f aca="false">J31/(1+Premissas!$B$12)^J$5</f>
        <v>-7697.6627978473</v>
      </c>
      <c r="K32" s="84" t="n">
        <f aca="false">K31/(1+Premissas!$B$12)^K$5</f>
        <v>-42503.4185321602</v>
      </c>
      <c r="L32" s="84" t="n">
        <f aca="false">L31/(1+Premissas!$B$12)^L$5</f>
        <v>-5719.01151785079</v>
      </c>
      <c r="M32" s="84" t="n">
        <f aca="false">M31/(1+Premissas!$B$12)^M$5</f>
        <v>6326.54671999999</v>
      </c>
      <c r="N32" s="84" t="n">
        <f aca="false">N31/(1+Premissas!$B$12)^N$5</f>
        <v>-33002.1338192903</v>
      </c>
      <c r="O32" s="84" t="n">
        <f aca="false">O31/(1+Premissas!$B$12)^O$5</f>
        <v>-6354.96950434561</v>
      </c>
      <c r="P32" s="84" t="n">
        <f aca="false">P31/(1+Premissas!$B$12)^P$5</f>
        <v>-2973.49259982707</v>
      </c>
      <c r="Q32" s="84" t="n">
        <f aca="false">Q31/(1+Premissas!$B$12)^Q$5</f>
        <v>16841.9487979811</v>
      </c>
      <c r="R32" s="84" t="n">
        <f aca="false">R31/(1+Premissas!$B$12)^R$5</f>
        <v>26424.8464586385</v>
      </c>
      <c r="S32" s="84" t="n">
        <f aca="false">S31/(1+Premissas!$B$12)^S$5</f>
        <v>30059.2212984984</v>
      </c>
      <c r="T32" s="84" t="n">
        <f aca="false">T31/(1+Premissas!$B$12)^T$5</f>
        <v>23958.4547074295</v>
      </c>
      <c r="U32" s="84" t="n">
        <f aca="false">U31/(1+Premissas!$B$12)^U$5</f>
        <v>47910.1349744891</v>
      </c>
      <c r="V32" s="84" t="n">
        <f aca="false">V31/(1+Premissas!$B$12)^V$5</f>
        <v>53647.8080218369</v>
      </c>
      <c r="W32" s="84" t="n">
        <f aca="false">W31/(1+Premissas!$B$12)^W$5</f>
        <v>57662.3859912713</v>
      </c>
      <c r="X32" s="84" t="n">
        <f aca="false">X31/(1+Premissas!$B$12)^X$5</f>
        <v>60996.3468403465</v>
      </c>
      <c r="Y32" s="84" t="n">
        <f aca="false">Y31/(1+Premissas!$B$12)^Y$5</f>
        <v>64035.1432960772</v>
      </c>
      <c r="Z32" s="84" t="n">
        <f aca="false">Z31/(1+Premissas!$B$12)^Z$5</f>
        <v>-49396.2988827435</v>
      </c>
      <c r="AA32" s="84" t="n">
        <f aca="false">AA31/(1+Premissas!$B$12)^AA$5</f>
        <v>1622.55145071733</v>
      </c>
      <c r="AB32" s="84" t="n">
        <f aca="false">AB31/(1+Premissas!$B$12)^AB$5</f>
        <v>21770.1619187481</v>
      </c>
      <c r="AC32" s="84" t="n">
        <f aca="false">AC31/(1+Premissas!$B$12)^AC$5</f>
        <v>44233.4216053278</v>
      </c>
      <c r="AD32" s="84" t="n">
        <f aca="false">AD31/(1+Premissas!$B$12)^AD$5</f>
        <v>55182.7898028188</v>
      </c>
      <c r="AE32" s="84" t="n">
        <f aca="false">AE31/(1+Premissas!$B$12)^AE$5</f>
        <v>69525.7989979449</v>
      </c>
      <c r="AF32" s="84" t="n">
        <f aca="false">AF31/(1+Premissas!$B$12)^AF$5</f>
        <v>91889.2745506035</v>
      </c>
      <c r="AG32" s="84" t="n">
        <f aca="false">AG31/(1+Premissas!$B$12)^AG$5</f>
        <v>104098.067203926</v>
      </c>
      <c r="AH32" s="84" t="n">
        <f aca="false">AH31/(1+Premissas!$B$12)^AH$5</f>
        <v>114866.862995287</v>
      </c>
      <c r="AI32" s="84" t="n">
        <f aca="false">AI31/(1+Premissas!$B$12)^AI$5</f>
        <v>124310.38234946</v>
      </c>
      <c r="AJ32" s="84" t="n">
        <f aca="false">AJ31/(1+Premissas!$B$12)^AJ$5</f>
        <v>132570.612107058</v>
      </c>
      <c r="AK32" s="84" t="n">
        <f aca="false">AK31/(1+Premissas!$B$12)^AK$5</f>
        <v>139794.96198156</v>
      </c>
      <c r="AL32" s="84" t="n">
        <f aca="false">AL31/(1+Premissas!$B$12)^AL$5</f>
        <v>15599.540416018</v>
      </c>
      <c r="AM32" s="84" t="n">
        <f aca="false">AM31/(1+Premissas!$B$12)^AM$5</f>
        <v>75887.7270530994</v>
      </c>
      <c r="AN32" s="84" t="n">
        <f aca="false">AN31/(1+Premissas!$B$12)^AN$5</f>
        <v>102916.036197339</v>
      </c>
      <c r="AO32" s="84" t="n">
        <f aca="false">AO31/(1+Premissas!$B$12)^AO$5</f>
        <v>127110.822946537</v>
      </c>
      <c r="AP32" s="84" t="n">
        <f aca="false">AP31/(1+Premissas!$B$12)^AP$5</f>
        <v>148709.084036563</v>
      </c>
      <c r="AQ32" s="84" t="n">
        <f aca="false">AQ31/(1+Premissas!$B$12)^AQ$5</f>
        <v>156500.696301701</v>
      </c>
      <c r="AR32" s="84" t="n">
        <f aca="false">AR31/(1+Premissas!$B$12)^AR$5</f>
        <v>185033.65962233</v>
      </c>
      <c r="AS32" s="84" t="n">
        <f aca="false">AS31/(1+Premissas!$B$12)^AS$5</f>
        <v>200134.900383504</v>
      </c>
      <c r="AT32" s="84" t="n">
        <f aca="false">AT31/(1+Premissas!$B$12)^AT$5</f>
        <v>213421.582576064</v>
      </c>
      <c r="AU32" s="84" t="n">
        <f aca="false">AU31/(1+Premissas!$B$12)^AU$5</f>
        <v>225096.48145253</v>
      </c>
      <c r="AV32" s="84" t="n">
        <f aca="false">AV31/(1+Premissas!$B$12)^AV$5</f>
        <v>235267.484015709</v>
      </c>
      <c r="AW32" s="84" t="n">
        <f aca="false">AW31/(1+Premissas!$B$12)^AW$5</f>
        <v>244059.489523182</v>
      </c>
      <c r="AX32" s="84" t="n">
        <f aca="false">AX31/(1+Premissas!$B$12)^AX$5</f>
        <v>133224.767688156</v>
      </c>
      <c r="AY32" s="84" t="n">
        <f aca="false">AY31/(1+Premissas!$B$12)^AY$5</f>
        <v>193340.315954357</v>
      </c>
      <c r="AZ32" s="84" t="n">
        <f aca="false">AZ31/(1+Premissas!$B$12)^AZ$5</f>
        <v>222035.487512754</v>
      </c>
      <c r="BA32" s="84" t="n">
        <f aca="false">BA31/(1+Premissas!$B$12)^BA$5</f>
        <v>247696.523343294</v>
      </c>
      <c r="BB32" s="84" t="n">
        <f aca="false">BB31/(1+Premissas!$B$12)^BB$5</f>
        <v>270583.135870123</v>
      </c>
      <c r="BC32" s="84" t="n">
        <f aca="false">BC31/(1+Premissas!$B$12)^BC$5</f>
        <v>279939.895119229</v>
      </c>
      <c r="BD32" s="84" t="n">
        <f aca="false">BD31/(1+Premissas!$B$12)^BD$5</f>
        <v>308941.728643493</v>
      </c>
      <c r="BE32" s="84" t="n">
        <f aca="false">BE31/(1+Premissas!$B$12)^BE$5</f>
        <v>324821.903323861</v>
      </c>
      <c r="BF32" s="84" t="n">
        <f aca="false">BF31/(1+Premissas!$B$12)^BF$5</f>
        <v>338736.079501642</v>
      </c>
      <c r="BG32" s="84" t="n">
        <f aca="false">BG31/(1+Premissas!$B$12)^BG$5</f>
        <v>350851.423601142</v>
      </c>
      <c r="BH32" s="84" t="n">
        <f aca="false">BH31/(1+Premissas!$B$12)^BH$5</f>
        <v>361315.460808449</v>
      </c>
      <c r="BI32" s="84" t="n">
        <f aca="false">BI31/(1+Premissas!$B$12)^BI$5</f>
        <v>370307.162603777</v>
      </c>
      <c r="BJ32" s="69" t="n">
        <f aca="false">SUM(B32:BI32)</f>
        <v>6443408.55676655</v>
      </c>
    </row>
    <row r="33" customFormat="false" ht="15" hidden="false" customHeight="false" outlineLevel="0" collapsed="false">
      <c r="A33" s="12" t="s">
        <v>269</v>
      </c>
      <c r="B33" s="84" t="n">
        <f aca="false">B32</f>
        <v>0</v>
      </c>
      <c r="C33" s="84" t="n">
        <f aca="false">B33+C32</f>
        <v>0</v>
      </c>
      <c r="D33" s="84" t="n">
        <f aca="false">C33+D32</f>
        <v>0</v>
      </c>
      <c r="E33" s="84" t="n">
        <f aca="false">D33+E32</f>
        <v>-1392.47665008383</v>
      </c>
      <c r="F33" s="84" t="n">
        <f aca="false">E33+F32</f>
        <v>-8773.31759992921</v>
      </c>
      <c r="G33" s="84" t="n">
        <f aca="false">F33+G32</f>
        <v>-10651.614701029</v>
      </c>
      <c r="H33" s="84" t="n">
        <f aca="false">G33+H32</f>
        <v>-12495.3070515985</v>
      </c>
      <c r="I33" s="84" t="n">
        <f aca="false">H33+I32</f>
        <v>-28203.5661442613</v>
      </c>
      <c r="J33" s="84" t="n">
        <f aca="false">I33+J32</f>
        <v>-35901.2289421086</v>
      </c>
      <c r="K33" s="84" t="n">
        <f aca="false">J33+K32</f>
        <v>-78404.6474742688</v>
      </c>
      <c r="L33" s="84" t="n">
        <f aca="false">K33+L32</f>
        <v>-84123.6589921196</v>
      </c>
      <c r="M33" s="84" t="n">
        <f aca="false">L33+M32</f>
        <v>-77797.1122721196</v>
      </c>
      <c r="N33" s="84" t="n">
        <f aca="false">M33+N32</f>
        <v>-110799.24609141</v>
      </c>
      <c r="O33" s="84" t="n">
        <f aca="false">N33+O32</f>
        <v>-117154.215595755</v>
      </c>
      <c r="P33" s="84" t="n">
        <f aca="false">O33+P32</f>
        <v>-120127.708195583</v>
      </c>
      <c r="Q33" s="84" t="n">
        <f aca="false">P33+Q32</f>
        <v>-103285.759397601</v>
      </c>
      <c r="R33" s="84" t="n">
        <f aca="false">Q33+R32</f>
        <v>-76860.9129389629</v>
      </c>
      <c r="S33" s="84" t="n">
        <f aca="false">R33+S32</f>
        <v>-46801.6916404646</v>
      </c>
      <c r="T33" s="84" t="n">
        <f aca="false">S33+T32</f>
        <v>-22843.2369330351</v>
      </c>
      <c r="U33" s="84" t="n">
        <f aca="false">T33+U32</f>
        <v>25066.898041454</v>
      </c>
      <c r="V33" s="84" t="n">
        <f aca="false">U33+V32</f>
        <v>78714.7060632909</v>
      </c>
      <c r="W33" s="84" t="n">
        <f aca="false">V33+W32</f>
        <v>136377.092054562</v>
      </c>
      <c r="X33" s="84" t="n">
        <f aca="false">W33+X32</f>
        <v>197373.438894909</v>
      </c>
      <c r="Y33" s="84" t="n">
        <f aca="false">X33+Y32</f>
        <v>261408.582190986</v>
      </c>
      <c r="Z33" s="84" t="n">
        <f aca="false">Y33+Z32</f>
        <v>212012.283308242</v>
      </c>
      <c r="AA33" s="84" t="n">
        <f aca="false">Z33+AA32</f>
        <v>213634.83475896</v>
      </c>
      <c r="AB33" s="84" t="n">
        <f aca="false">AA33+AB32</f>
        <v>235404.996677708</v>
      </c>
      <c r="AC33" s="84" t="n">
        <f aca="false">AB33+AC32</f>
        <v>279638.418283036</v>
      </c>
      <c r="AD33" s="84" t="n">
        <f aca="false">AC33+AD32</f>
        <v>334821.208085854</v>
      </c>
      <c r="AE33" s="84" t="n">
        <f aca="false">AD33+AE32</f>
        <v>404347.007083799</v>
      </c>
      <c r="AF33" s="84" t="n">
        <f aca="false">AE33+AF32</f>
        <v>496236.281634403</v>
      </c>
      <c r="AG33" s="84" t="n">
        <f aca="false">AF33+AG32</f>
        <v>600334.348838329</v>
      </c>
      <c r="AH33" s="84" t="n">
        <f aca="false">AG33+AH32</f>
        <v>715201.211833616</v>
      </c>
      <c r="AI33" s="84" t="n">
        <f aca="false">AH33+AI32</f>
        <v>839511.594183076</v>
      </c>
      <c r="AJ33" s="84" t="n">
        <f aca="false">AI33+AJ32</f>
        <v>972082.206290133</v>
      </c>
      <c r="AK33" s="84" t="n">
        <f aca="false">AJ33+AK32</f>
        <v>1111877.16827169</v>
      </c>
      <c r="AL33" s="84" t="n">
        <f aca="false">AK33+AL32</f>
        <v>1127476.70868771</v>
      </c>
      <c r="AM33" s="84" t="n">
        <f aca="false">AL33+AM32</f>
        <v>1203364.43574081</v>
      </c>
      <c r="AN33" s="84" t="n">
        <f aca="false">AM33+AN32</f>
        <v>1306280.47193815</v>
      </c>
      <c r="AO33" s="84" t="n">
        <f aca="false">AN33+AO32</f>
        <v>1433391.29488469</v>
      </c>
      <c r="AP33" s="84" t="n">
        <f aca="false">AO33+AP32</f>
        <v>1582100.37892125</v>
      </c>
      <c r="AQ33" s="84" t="n">
        <f aca="false">AP33+AQ32</f>
        <v>1738601.07522295</v>
      </c>
      <c r="AR33" s="84" t="n">
        <f aca="false">AQ33+AR32</f>
        <v>1923634.73484528</v>
      </c>
      <c r="AS33" s="84" t="n">
        <f aca="false">AR33+AS32</f>
        <v>2123769.63522878</v>
      </c>
      <c r="AT33" s="84" t="n">
        <f aca="false">AS33+AT32</f>
        <v>2337191.21780485</v>
      </c>
      <c r="AU33" s="84" t="n">
        <f aca="false">AT33+AU32</f>
        <v>2562287.69925738</v>
      </c>
      <c r="AV33" s="84" t="n">
        <f aca="false">AU33+AV32</f>
        <v>2797555.18327309</v>
      </c>
      <c r="AW33" s="84" t="n">
        <f aca="false">AV33+AW32</f>
        <v>3041614.67279627</v>
      </c>
      <c r="AX33" s="84" t="n">
        <f aca="false">AW33+AX32</f>
        <v>3174839.44048443</v>
      </c>
      <c r="AY33" s="84" t="n">
        <f aca="false">AX33+AY32</f>
        <v>3368179.75643878</v>
      </c>
      <c r="AZ33" s="84" t="n">
        <f aca="false">AY33+AZ32</f>
        <v>3590215.24395154</v>
      </c>
      <c r="BA33" s="84" t="n">
        <f aca="false">AZ33+BA32</f>
        <v>3837911.76729483</v>
      </c>
      <c r="BB33" s="84" t="n">
        <f aca="false">BA33+BB32</f>
        <v>4108494.90316496</v>
      </c>
      <c r="BC33" s="84" t="n">
        <f aca="false">BB33+BC32</f>
        <v>4388434.79828418</v>
      </c>
      <c r="BD33" s="84" t="n">
        <f aca="false">BC33+BD32</f>
        <v>4697376.52692768</v>
      </c>
      <c r="BE33" s="84" t="n">
        <f aca="false">BD33+BE32</f>
        <v>5022198.43025154</v>
      </c>
      <c r="BF33" s="84" t="n">
        <f aca="false">BE33+BF32</f>
        <v>5360934.50975318</v>
      </c>
      <c r="BG33" s="84" t="n">
        <f aca="false">BF33+BG32</f>
        <v>5711785.93335432</v>
      </c>
      <c r="BH33" s="84" t="n">
        <f aca="false">BG33+BH32</f>
        <v>6073101.39416277</v>
      </c>
      <c r="BI33" s="84" t="n">
        <f aca="false">BH33+BI32</f>
        <v>6443408.55676655</v>
      </c>
    </row>
    <row r="34" customFormat="false" ht="15" hidden="false" customHeight="false" outlineLevel="0" collapsed="false">
      <c r="A34" s="12" t="s">
        <v>270</v>
      </c>
      <c r="B34" s="84" t="n">
        <f aca="false">B31</f>
        <v>0</v>
      </c>
      <c r="C34" s="84" t="n">
        <f aca="false">B34+C31</f>
        <v>0</v>
      </c>
      <c r="D34" s="84" t="n">
        <f aca="false">C34+D31</f>
        <v>0</v>
      </c>
      <c r="E34" s="84" t="n">
        <f aca="false">D34+E31</f>
        <v>-1500</v>
      </c>
      <c r="F34" s="84" t="n">
        <f aca="false">E34+F31</f>
        <v>-9600</v>
      </c>
      <c r="G34" s="84" t="n">
        <f aca="false">F34+G31</f>
        <v>-11700</v>
      </c>
      <c r="H34" s="84" t="n">
        <f aca="false">G34+H31</f>
        <v>-13800</v>
      </c>
      <c r="I34" s="84" t="n">
        <f aca="false">H34+I31</f>
        <v>-32027.82</v>
      </c>
      <c r="J34" s="84" t="n">
        <f aca="false">I34+J31</f>
        <v>-41127.82</v>
      </c>
      <c r="K34" s="84" t="n">
        <f aca="false">J34+K31</f>
        <v>-92317.475375</v>
      </c>
      <c r="L34" s="84" t="n">
        <f aca="false">K34+L31</f>
        <v>-99334.534725</v>
      </c>
      <c r="M34" s="84" t="n">
        <f aca="false">L34+M31</f>
        <v>-91426.351325</v>
      </c>
      <c r="N34" s="84" t="n">
        <f aca="false">M34+N31</f>
        <v>-133453.30084815</v>
      </c>
      <c r="O34" s="84" t="n">
        <f aca="false">N34+O31</f>
        <v>-141698.006450275</v>
      </c>
      <c r="P34" s="84" t="n">
        <f aca="false">O34+P31</f>
        <v>-145628.113484163</v>
      </c>
      <c r="Q34" s="84" t="n">
        <f aca="false">P34+Q31</f>
        <v>-122950.064272843</v>
      </c>
      <c r="R34" s="84" t="n">
        <f aca="false">Q34+R31</f>
        <v>-86700.5945698932</v>
      </c>
      <c r="S34" s="84" t="n">
        <f aca="false">R34+S31</f>
        <v>-44691.5557110482</v>
      </c>
      <c r="T34" s="84" t="n">
        <f aca="false">S34+T31</f>
        <v>-10580.1468376663</v>
      </c>
      <c r="U34" s="84" t="n">
        <f aca="false">T34+U31</f>
        <v>58913.3367606056</v>
      </c>
      <c r="V34" s="84" t="n">
        <f aca="false">U34+V31</f>
        <v>138189.843445083</v>
      </c>
      <c r="W34" s="84" t="n">
        <f aca="false">V34+W31</f>
        <v>224998.086432644</v>
      </c>
      <c r="X34" s="84" t="n">
        <f aca="false">W34+X31</f>
        <v>318548.996536586</v>
      </c>
      <c r="Y34" s="84" t="n">
        <f aca="false">X34+Y31</f>
        <v>418603.907936707</v>
      </c>
      <c r="Z34" s="84" t="n">
        <f aca="false">Y34+Z31</f>
        <v>339973.546823434</v>
      </c>
      <c r="AA34" s="84" t="n">
        <f aca="false">Z34+AA31</f>
        <v>342604.845649164</v>
      </c>
      <c r="AB34" s="84" t="n">
        <f aca="false">AA34+AB31</f>
        <v>378572.257544995</v>
      </c>
      <c r="AC34" s="84" t="n">
        <f aca="false">AB34+AC31</f>
        <v>453023.834080405</v>
      </c>
      <c r="AD34" s="84" t="n">
        <f aca="false">AC34+AD31</f>
        <v>547648.171359554</v>
      </c>
      <c r="AE34" s="84" t="n">
        <f aca="false">AD34+AE31</f>
        <v>669104.743820017</v>
      </c>
      <c r="AF34" s="84" t="n">
        <f aca="false">AE34+AF31</f>
        <v>832641.61700064</v>
      </c>
      <c r="AG34" s="84" t="n">
        <f aca="false">AF34+AG31</f>
        <v>1021383.97103752</v>
      </c>
      <c r="AH34" s="84" t="n">
        <f aca="false">AG34+AH31</f>
        <v>1233560.4785186</v>
      </c>
      <c r="AI34" s="84" t="n">
        <f aca="false">AH34+AI31</f>
        <v>1467490.39859037</v>
      </c>
      <c r="AJ34" s="84" t="n">
        <f aca="false">AI34+AJ31</f>
        <v>1721647.04194053</v>
      </c>
      <c r="AK34" s="84" t="n">
        <f aca="false">AJ34+AK31</f>
        <v>1994684.07706077</v>
      </c>
      <c r="AL34" s="84" t="n">
        <f aca="false">AK34+AL31</f>
        <v>2025723.78863471</v>
      </c>
      <c r="AM34" s="84" t="n">
        <f aca="false">AL34+AM31</f>
        <v>2179558.11465395</v>
      </c>
      <c r="AN34" s="84" t="n">
        <f aca="false">AM34+AN31</f>
        <v>2392098.07407246</v>
      </c>
      <c r="AO34" s="84" t="n">
        <f aca="false">AN34+AO31</f>
        <v>2659531.63504367</v>
      </c>
      <c r="AP34" s="84" t="n">
        <f aca="false">AO34+AP31</f>
        <v>2978279.07819193</v>
      </c>
      <c r="AQ34" s="84" t="n">
        <f aca="false">AP34+AQ31</f>
        <v>3320023.40969257</v>
      </c>
      <c r="AR34" s="84" t="n">
        <f aca="false">AQ34+AR31</f>
        <v>3731657.76903148</v>
      </c>
      <c r="AS34" s="84" t="n">
        <f aca="false">AR34+AS31</f>
        <v>4185243.66690075</v>
      </c>
      <c r="AT34" s="84" t="n">
        <f aca="false">AS34+AT31</f>
        <v>4678021.1837501</v>
      </c>
      <c r="AU34" s="84" t="n">
        <f aca="false">AT34+AU31</f>
        <v>5207510.36356976</v>
      </c>
      <c r="AV34" s="84" t="n">
        <f aca="false">AU34+AV31</f>
        <v>5771311.73210557</v>
      </c>
      <c r="AW34" s="84" t="n">
        <f aca="false">AV34+AW31</f>
        <v>6367160.09519928</v>
      </c>
      <c r="AX34" s="84" t="n">
        <f aca="false">AW34+AX31</f>
        <v>6698520.68766424</v>
      </c>
      <c r="AY34" s="84" t="n">
        <f aca="false">AX34+AY31</f>
        <v>7188428.25164316</v>
      </c>
      <c r="AZ34" s="84" t="n">
        <f aca="false">AY34+AZ31</f>
        <v>7761606.82576426</v>
      </c>
      <c r="BA34" s="84" t="n">
        <f aca="false">AZ34+BA31</f>
        <v>8413030.14423483</v>
      </c>
      <c r="BB34" s="84" t="n">
        <f aca="false">BA34+BB31</f>
        <v>9138000.00129173</v>
      </c>
      <c r="BC34" s="84" t="n">
        <f aca="false">BB34+BC31</f>
        <v>9902116.98749872</v>
      </c>
      <c r="BD34" s="84" t="n">
        <f aca="false">BC34+BD31</f>
        <v>10761224.3980287</v>
      </c>
      <c r="BE34" s="84" t="n">
        <f aca="false">BD34+BE31</f>
        <v>11681445.174018</v>
      </c>
      <c r="BF34" s="84" t="n">
        <f aca="false">BE34+BF31</f>
        <v>12659096.5560227</v>
      </c>
      <c r="BG34" s="84" t="n">
        <f aca="false">BF34+BG31</f>
        <v>13690721.0361254</v>
      </c>
      <c r="BH34" s="84" t="n">
        <f aca="false">BG34+BH31</f>
        <v>14773053.7271963</v>
      </c>
      <c r="BI34" s="84" t="n">
        <f aca="false">BH34+BI31</f>
        <v>15903141.5036971</v>
      </c>
    </row>
    <row r="36" customFormat="false" ht="15" hidden="false" customHeight="false" outlineLevel="0" collapsed="false">
      <c r="A36" s="12" t="s">
        <v>271</v>
      </c>
      <c r="B36" s="68" t="n">
        <f aca="false">Aportes!B48</f>
        <v>0</v>
      </c>
      <c r="C36" s="68" t="n">
        <f aca="false">Aportes!C48</f>
        <v>0</v>
      </c>
      <c r="D36" s="68" t="n">
        <f aca="false">Aportes!D48</f>
        <v>0</v>
      </c>
      <c r="E36" s="68" t="n">
        <f aca="false">Aportes!E48</f>
        <v>10000</v>
      </c>
      <c r="F36" s="68" t="n">
        <f aca="false">Aportes!F48</f>
        <v>0</v>
      </c>
      <c r="G36" s="68" t="n">
        <f aca="false">Aportes!G48</f>
        <v>0</v>
      </c>
      <c r="H36" s="68" t="n">
        <f aca="false">Aportes!H48</f>
        <v>5000</v>
      </c>
      <c r="I36" s="68" t="n">
        <f aca="false">Aportes!I48</f>
        <v>18000</v>
      </c>
      <c r="J36" s="68" t="n">
        <f aca="false">Aportes!J48</f>
        <v>0</v>
      </c>
      <c r="K36" s="68" t="n">
        <f aca="false">Aportes!K48</f>
        <v>80000</v>
      </c>
      <c r="L36" s="68" t="n">
        <f aca="false">Aportes!L48</f>
        <v>40000</v>
      </c>
      <c r="M36" s="68" t="n">
        <f aca="false">Aportes!M48</f>
        <v>17000</v>
      </c>
      <c r="N36" s="68" t="n">
        <f aca="false">Aportes!N48</f>
        <v>0</v>
      </c>
      <c r="O36" s="68" t="n">
        <f aca="false">Aportes!O48</f>
        <v>0</v>
      </c>
      <c r="P36" s="68" t="n">
        <f aca="false">Aportes!P48</f>
        <v>0</v>
      </c>
      <c r="Q36" s="68" t="n">
        <f aca="false">Aportes!Q48</f>
        <v>0</v>
      </c>
      <c r="R36" s="68" t="n">
        <f aca="false">Aportes!R48</f>
        <v>0</v>
      </c>
      <c r="S36" s="68" t="n">
        <f aca="false">Aportes!S48</f>
        <v>15000</v>
      </c>
      <c r="T36" s="68" t="n">
        <f aca="false">Aportes!T48</f>
        <v>0</v>
      </c>
      <c r="U36" s="68" t="n">
        <f aca="false">Aportes!U48</f>
        <v>0</v>
      </c>
      <c r="V36" s="68" t="n">
        <f aca="false">Aportes!V48</f>
        <v>0</v>
      </c>
      <c r="W36" s="68" t="n">
        <f aca="false">Aportes!W48</f>
        <v>0</v>
      </c>
      <c r="X36" s="68" t="n">
        <f aca="false">Aportes!X48</f>
        <v>0</v>
      </c>
      <c r="Y36" s="68" t="n">
        <f aca="false">Aportes!Y48</f>
        <v>15000</v>
      </c>
      <c r="Z36" s="68" t="n">
        <f aca="false">Aportes!Z48</f>
        <v>0</v>
      </c>
      <c r="AA36" s="68" t="n">
        <f aca="false">Aportes!AA48</f>
        <v>0</v>
      </c>
      <c r="AB36" s="68" t="n">
        <f aca="false">Aportes!AB48</f>
        <v>0</v>
      </c>
      <c r="AC36" s="68" t="n">
        <f aca="false">Aportes!AC48</f>
        <v>0</v>
      </c>
      <c r="AD36" s="68" t="n">
        <f aca="false">Aportes!AD48</f>
        <v>0</v>
      </c>
      <c r="AE36" s="68" t="n">
        <f aca="false">Aportes!AE48</f>
        <v>0</v>
      </c>
      <c r="AF36" s="68" t="n">
        <f aca="false">Aportes!AF48</f>
        <v>0</v>
      </c>
      <c r="AG36" s="68" t="n">
        <f aca="false">Aportes!AG48</f>
        <v>0</v>
      </c>
      <c r="AH36" s="68" t="n">
        <f aca="false">Aportes!AH48</f>
        <v>0</v>
      </c>
      <c r="AI36" s="68" t="n">
        <f aca="false">Aportes!AI48</f>
        <v>0</v>
      </c>
      <c r="AJ36" s="68" t="n">
        <f aca="false">Aportes!AJ48</f>
        <v>0</v>
      </c>
      <c r="AK36" s="68" t="n">
        <f aca="false">Aportes!AK48</f>
        <v>0</v>
      </c>
      <c r="AL36" s="68" t="n">
        <f aca="false">Aportes!AL48</f>
        <v>0</v>
      </c>
      <c r="AM36" s="68" t="n">
        <f aca="false">Aportes!AM48</f>
        <v>0</v>
      </c>
      <c r="AN36" s="68" t="n">
        <f aca="false">Aportes!AN48</f>
        <v>0</v>
      </c>
      <c r="AO36" s="68" t="n">
        <f aca="false">Aportes!AO48</f>
        <v>0</v>
      </c>
      <c r="AP36" s="68" t="n">
        <f aca="false">Aportes!AP48</f>
        <v>0</v>
      </c>
      <c r="AQ36" s="68" t="n">
        <f aca="false">Aportes!AQ48</f>
        <v>0</v>
      </c>
      <c r="AR36" s="68" t="n">
        <f aca="false">Aportes!AR48</f>
        <v>0</v>
      </c>
      <c r="AS36" s="68" t="n">
        <f aca="false">Aportes!AS48</f>
        <v>0</v>
      </c>
      <c r="AT36" s="68" t="n">
        <f aca="false">Aportes!AT48</f>
        <v>0</v>
      </c>
      <c r="AU36" s="68" t="n">
        <f aca="false">Aportes!AU48</f>
        <v>0</v>
      </c>
      <c r="AV36" s="68" t="n">
        <f aca="false">Aportes!AV48</f>
        <v>0</v>
      </c>
      <c r="AW36" s="68" t="n">
        <f aca="false">Aportes!AW48</f>
        <v>0</v>
      </c>
      <c r="AX36" s="68" t="n">
        <f aca="false">Aportes!AX48</f>
        <v>0</v>
      </c>
      <c r="AY36" s="68" t="n">
        <f aca="false">Aportes!AY48</f>
        <v>0</v>
      </c>
      <c r="AZ36" s="68" t="n">
        <f aca="false">Aportes!AZ48</f>
        <v>0</v>
      </c>
      <c r="BA36" s="68" t="n">
        <f aca="false">Aportes!BA48</f>
        <v>0</v>
      </c>
      <c r="BB36" s="68" t="n">
        <f aca="false">Aportes!BB48</f>
        <v>0</v>
      </c>
      <c r="BC36" s="68" t="n">
        <f aca="false">Aportes!BC48</f>
        <v>0</v>
      </c>
      <c r="BD36" s="68" t="n">
        <f aca="false">Aportes!BD48</f>
        <v>0</v>
      </c>
      <c r="BE36" s="68" t="n">
        <f aca="false">Aportes!BE48</f>
        <v>0</v>
      </c>
      <c r="BF36" s="68" t="n">
        <f aca="false">Aportes!BF48</f>
        <v>0</v>
      </c>
      <c r="BG36" s="68" t="n">
        <f aca="false">Aportes!BG48</f>
        <v>0</v>
      </c>
      <c r="BH36" s="68" t="n">
        <f aca="false">Aportes!BH48</f>
        <v>0</v>
      </c>
      <c r="BI36" s="68" t="n">
        <f aca="false">Aportes!BI48</f>
        <v>0</v>
      </c>
      <c r="BJ36" s="69" t="n">
        <f aca="false">SUM(B36:BI36)</f>
        <v>200000</v>
      </c>
    </row>
    <row r="37" customFormat="false" ht="15" hidden="false" customHeight="false" outlineLevel="0" collapsed="false">
      <c r="A37" s="16" t="s">
        <v>272</v>
      </c>
      <c r="B37" s="75" t="n">
        <f aca="false">B31+B36</f>
        <v>0</v>
      </c>
      <c r="C37" s="75" t="n">
        <f aca="false">C31+C36</f>
        <v>0</v>
      </c>
      <c r="D37" s="75" t="n">
        <f aca="false">D31+D36</f>
        <v>0</v>
      </c>
      <c r="E37" s="75" t="n">
        <f aca="false">E31+E36</f>
        <v>8500</v>
      </c>
      <c r="F37" s="75" t="n">
        <f aca="false">F31+F36</f>
        <v>-8100</v>
      </c>
      <c r="G37" s="75" t="n">
        <f aca="false">G31+G36</f>
        <v>-2100</v>
      </c>
      <c r="H37" s="75" t="n">
        <f aca="false">H31+H36</f>
        <v>2900</v>
      </c>
      <c r="I37" s="75" t="n">
        <f aca="false">I31+I36</f>
        <v>-227.82</v>
      </c>
      <c r="J37" s="75" t="n">
        <f aca="false">J31+J36</f>
        <v>-9100</v>
      </c>
      <c r="K37" s="75" t="n">
        <f aca="false">K31+K36</f>
        <v>28810.344625</v>
      </c>
      <c r="L37" s="75" t="n">
        <f aca="false">L31+L36</f>
        <v>32982.94065</v>
      </c>
      <c r="M37" s="75" t="n">
        <f aca="false">M31+M36</f>
        <v>24908.1834</v>
      </c>
      <c r="N37" s="75" t="n">
        <f aca="false">N31+N36</f>
        <v>-42026.94952315</v>
      </c>
      <c r="O37" s="75" t="n">
        <f aca="false">O31+O36</f>
        <v>-8244.70560212518</v>
      </c>
      <c r="P37" s="75" t="n">
        <f aca="false">P31+P36</f>
        <v>-3930.10703388791</v>
      </c>
      <c r="Q37" s="75" t="n">
        <f aca="false">Q31+Q36</f>
        <v>22678.0492113196</v>
      </c>
      <c r="R37" s="75" t="n">
        <f aca="false">R31+R36</f>
        <v>36249.4697029503</v>
      </c>
      <c r="S37" s="75" t="n">
        <f aca="false">S31+S36</f>
        <v>57009.038858845</v>
      </c>
      <c r="T37" s="75" t="n">
        <f aca="false">T31+T36</f>
        <v>34111.4088733819</v>
      </c>
      <c r="U37" s="75" t="n">
        <f aca="false">U31+U36</f>
        <v>69493.4835982719</v>
      </c>
      <c r="V37" s="75" t="n">
        <f aca="false">V31+V36</f>
        <v>79276.5066844774</v>
      </c>
      <c r="W37" s="75" t="n">
        <f aca="false">W31+W36</f>
        <v>86808.2429875609</v>
      </c>
      <c r="X37" s="75" t="n">
        <f aca="false">X31+X36</f>
        <v>93550.9101039425</v>
      </c>
      <c r="Y37" s="75" t="n">
        <f aca="false">Y31+Y36</f>
        <v>115054.911400121</v>
      </c>
      <c r="Z37" s="75" t="n">
        <f aca="false">Z31+Z36</f>
        <v>-78630.3611132734</v>
      </c>
      <c r="AA37" s="75" t="n">
        <f aca="false">AA31+AA36</f>
        <v>2631.29882572958</v>
      </c>
      <c r="AB37" s="75" t="n">
        <f aca="false">AB31+AB36</f>
        <v>35967.4118958318</v>
      </c>
      <c r="AC37" s="75" t="n">
        <f aca="false">AC31+AC36</f>
        <v>74451.5765354096</v>
      </c>
      <c r="AD37" s="75" t="n">
        <f aca="false">AD31+AD36</f>
        <v>94624.3372791493</v>
      </c>
      <c r="AE37" s="75" t="n">
        <f aca="false">AE31+AE36</f>
        <v>121456.572460462</v>
      </c>
      <c r="AF37" s="75" t="n">
        <f aca="false">AF31+AF36</f>
        <v>163536.873180623</v>
      </c>
      <c r="AG37" s="75" t="n">
        <f aca="false">AG31+AG36</f>
        <v>188742.354036882</v>
      </c>
      <c r="AH37" s="75" t="n">
        <f aca="false">AH31+AH36</f>
        <v>212176.507481075</v>
      </c>
      <c r="AI37" s="75" t="n">
        <f aca="false">AI31+AI36</f>
        <v>233929.92007177</v>
      </c>
      <c r="AJ37" s="75" t="n">
        <f aca="false">AJ31+AJ36</f>
        <v>254156.643350166</v>
      </c>
      <c r="AK37" s="75" t="n">
        <f aca="false">AK31+AK36</f>
        <v>273037.035120235</v>
      </c>
      <c r="AL37" s="75" t="n">
        <f aca="false">AL31+AL36</f>
        <v>31039.7115739451</v>
      </c>
      <c r="AM37" s="75" t="n">
        <f aca="false">AM31+AM36</f>
        <v>153834.326019236</v>
      </c>
      <c r="AN37" s="75" t="n">
        <f aca="false">AN31+AN36</f>
        <v>212539.959418507</v>
      </c>
      <c r="AO37" s="75" t="n">
        <f aca="false">AO31+AO36</f>
        <v>267433.560971211</v>
      </c>
      <c r="AP37" s="75" t="n">
        <f aca="false">AP31+AP36</f>
        <v>318747.443148261</v>
      </c>
      <c r="AQ37" s="75" t="n">
        <f aca="false">AQ31+AQ36</f>
        <v>341744.33150064</v>
      </c>
      <c r="AR37" s="75" t="n">
        <f aca="false">AR31+AR36</f>
        <v>411634.359338907</v>
      </c>
      <c r="AS37" s="75" t="n">
        <f aca="false">AS31+AS36</f>
        <v>453585.897869278</v>
      </c>
      <c r="AT37" s="75" t="n">
        <f aca="false">AT31+AT36</f>
        <v>492777.516849346</v>
      </c>
      <c r="AU37" s="75" t="n">
        <f aca="false">AU31+AU36</f>
        <v>529489.17981966</v>
      </c>
      <c r="AV37" s="75" t="n">
        <f aca="false">AV31+AV36</f>
        <v>563801.368535813</v>
      </c>
      <c r="AW37" s="75" t="n">
        <f aca="false">AW31+AW36</f>
        <v>595848.363093709</v>
      </c>
      <c r="AX37" s="75" t="n">
        <f aca="false">AX31+AX36</f>
        <v>331360.592464958</v>
      </c>
      <c r="AY37" s="75" t="n">
        <f aca="false">AY31+AY36</f>
        <v>489907.563978917</v>
      </c>
      <c r="AZ37" s="75" t="n">
        <f aca="false">AZ31+AZ36</f>
        <v>573178.574121103</v>
      </c>
      <c r="BA37" s="75" t="n">
        <f aca="false">BA31+BA36</f>
        <v>651423.318470566</v>
      </c>
      <c r="BB37" s="75" t="n">
        <f aca="false">BB31+BB36</f>
        <v>724969.857056905</v>
      </c>
      <c r="BC37" s="75" t="n">
        <f aca="false">BC31+BC36</f>
        <v>764116.986206983</v>
      </c>
      <c r="BD37" s="75" t="n">
        <f aca="false">BD31+BD36</f>
        <v>859107.410529968</v>
      </c>
      <c r="BE37" s="75" t="n">
        <f aca="false">BE31+BE36</f>
        <v>920220.775989314</v>
      </c>
      <c r="BF37" s="75" t="n">
        <f aca="false">BF31+BF36</f>
        <v>977651.382004738</v>
      </c>
      <c r="BG37" s="75" t="n">
        <f aca="false">BG31+BG36</f>
        <v>1031624.48010269</v>
      </c>
      <c r="BH37" s="75" t="n">
        <f aca="false">BH31+BH36</f>
        <v>1082332.69107085</v>
      </c>
      <c r="BI37" s="75" t="n">
        <f aca="false">BI31+BI36</f>
        <v>1130087.77650079</v>
      </c>
      <c r="BJ37" s="69" t="n">
        <f aca="false">SUM(B37:BI37)</f>
        <v>16103141.5036971</v>
      </c>
    </row>
    <row r="38" customFormat="false" ht="15" hidden="false" customHeight="false" outlineLevel="0" collapsed="false">
      <c r="A38" s="34" t="s">
        <v>273</v>
      </c>
      <c r="B38" s="69" t="n">
        <f aca="false">B37</f>
        <v>0</v>
      </c>
      <c r="C38" s="69" t="n">
        <f aca="false">B38+C37</f>
        <v>0</v>
      </c>
      <c r="D38" s="69" t="n">
        <f aca="false">C38+D37</f>
        <v>0</v>
      </c>
      <c r="E38" s="69" t="n">
        <f aca="false">D38+E37</f>
        <v>8500</v>
      </c>
      <c r="F38" s="69" t="n">
        <f aca="false">E38+F37</f>
        <v>400</v>
      </c>
      <c r="G38" s="69" t="n">
        <f aca="false">F38+G37</f>
        <v>-1700</v>
      </c>
      <c r="H38" s="69" t="n">
        <f aca="false">G38+H37</f>
        <v>1200</v>
      </c>
      <c r="I38" s="69" t="n">
        <f aca="false">H38+I37</f>
        <v>972.18</v>
      </c>
      <c r="J38" s="69" t="n">
        <f aca="false">I38+J37</f>
        <v>-8127.82</v>
      </c>
      <c r="K38" s="69" t="n">
        <f aca="false">J38+K37</f>
        <v>20682.524625</v>
      </c>
      <c r="L38" s="69" t="n">
        <f aca="false">K38+L37</f>
        <v>53665.465275</v>
      </c>
      <c r="M38" s="69" t="n">
        <f aca="false">L38+M37</f>
        <v>78573.648675</v>
      </c>
      <c r="N38" s="69" t="n">
        <f aca="false">M38+N37</f>
        <v>36546.69915185</v>
      </c>
      <c r="O38" s="69" t="n">
        <f aca="false">N38+O37</f>
        <v>28301.9935497248</v>
      </c>
      <c r="P38" s="69" t="n">
        <f aca="false">O38+P37</f>
        <v>24371.8865158369</v>
      </c>
      <c r="Q38" s="69" t="n">
        <f aca="false">P38+Q37</f>
        <v>47049.9357271565</v>
      </c>
      <c r="R38" s="69" t="n">
        <f aca="false">Q38+R37</f>
        <v>83299.4054301068</v>
      </c>
      <c r="S38" s="69" t="n">
        <f aca="false">R38+S37</f>
        <v>140308.444288952</v>
      </c>
      <c r="T38" s="69" t="n">
        <f aca="false">S38+T37</f>
        <v>174419.853162334</v>
      </c>
      <c r="U38" s="69" t="n">
        <f aca="false">T38+U37</f>
        <v>243913.336760606</v>
      </c>
      <c r="V38" s="69" t="n">
        <f aca="false">U38+V37</f>
        <v>323189.843445083</v>
      </c>
      <c r="W38" s="69" t="n">
        <f aca="false">V38+W37</f>
        <v>409998.086432644</v>
      </c>
      <c r="X38" s="69" t="n">
        <f aca="false">W38+X37</f>
        <v>503548.996536586</v>
      </c>
      <c r="Y38" s="69" t="n">
        <f aca="false">X38+Y37</f>
        <v>618603.907936707</v>
      </c>
      <c r="Z38" s="69" t="n">
        <f aca="false">Y38+Z37</f>
        <v>539973.546823434</v>
      </c>
      <c r="AA38" s="69" t="n">
        <f aca="false">Z38+AA37</f>
        <v>542604.845649164</v>
      </c>
      <c r="AB38" s="69" t="n">
        <f aca="false">AA38+AB37</f>
        <v>578572.257544996</v>
      </c>
      <c r="AC38" s="69" t="n">
        <f aca="false">AB38+AC37</f>
        <v>653023.834080405</v>
      </c>
      <c r="AD38" s="69" t="n">
        <f aca="false">AC38+AD37</f>
        <v>747648.171359554</v>
      </c>
      <c r="AE38" s="69" t="n">
        <f aca="false">AD38+AE37</f>
        <v>869104.743820017</v>
      </c>
      <c r="AF38" s="69" t="n">
        <f aca="false">AE38+AF37</f>
        <v>1032641.61700064</v>
      </c>
      <c r="AG38" s="69" t="n">
        <f aca="false">AF38+AG37</f>
        <v>1221383.97103752</v>
      </c>
      <c r="AH38" s="69" t="n">
        <f aca="false">AG38+AH37</f>
        <v>1433560.4785186</v>
      </c>
      <c r="AI38" s="69" t="n">
        <f aca="false">AH38+AI37</f>
        <v>1667490.39859037</v>
      </c>
      <c r="AJ38" s="69" t="n">
        <f aca="false">AI38+AJ37</f>
        <v>1921647.04194053</v>
      </c>
      <c r="AK38" s="69" t="n">
        <f aca="false">AJ38+AK37</f>
        <v>2194684.07706077</v>
      </c>
      <c r="AL38" s="69" t="n">
        <f aca="false">AK38+AL37</f>
        <v>2225723.78863471</v>
      </c>
      <c r="AM38" s="69" t="n">
        <f aca="false">AL38+AM37</f>
        <v>2379558.11465395</v>
      </c>
      <c r="AN38" s="69" t="n">
        <f aca="false">AM38+AN37</f>
        <v>2592098.07407246</v>
      </c>
      <c r="AO38" s="69" t="n">
        <f aca="false">AN38+AO37</f>
        <v>2859531.63504367</v>
      </c>
      <c r="AP38" s="69" t="n">
        <f aca="false">AO38+AP37</f>
        <v>3178279.07819193</v>
      </c>
      <c r="AQ38" s="69" t="n">
        <f aca="false">AP38+AQ37</f>
        <v>3520023.40969257</v>
      </c>
      <c r="AR38" s="69" t="n">
        <f aca="false">AQ38+AR37</f>
        <v>3931657.76903148</v>
      </c>
      <c r="AS38" s="69" t="n">
        <f aca="false">AR38+AS37</f>
        <v>4385243.66690076</v>
      </c>
      <c r="AT38" s="69" t="n">
        <f aca="false">AS38+AT37</f>
        <v>4878021.1837501</v>
      </c>
      <c r="AU38" s="69" t="n">
        <f aca="false">AT38+AU37</f>
        <v>5407510.36356976</v>
      </c>
      <c r="AV38" s="69" t="n">
        <f aca="false">AU38+AV37</f>
        <v>5971311.73210557</v>
      </c>
      <c r="AW38" s="69" t="n">
        <f aca="false">AV38+AW37</f>
        <v>6567160.09519928</v>
      </c>
      <c r="AX38" s="69" t="n">
        <f aca="false">AW38+AX37</f>
        <v>6898520.68766424</v>
      </c>
      <c r="AY38" s="69" t="n">
        <f aca="false">AX38+AY37</f>
        <v>7388428.25164316</v>
      </c>
      <c r="AZ38" s="69" t="n">
        <f aca="false">AY38+AZ37</f>
        <v>7961606.82576426</v>
      </c>
      <c r="BA38" s="69" t="n">
        <f aca="false">AZ38+BA37</f>
        <v>8613030.14423483</v>
      </c>
      <c r="BB38" s="69" t="n">
        <f aca="false">BA38+BB37</f>
        <v>9338000.00129173</v>
      </c>
      <c r="BC38" s="69" t="n">
        <f aca="false">BB38+BC37</f>
        <v>10102116.9874987</v>
      </c>
      <c r="BD38" s="69" t="n">
        <f aca="false">BC38+BD37</f>
        <v>10961224.3980287</v>
      </c>
      <c r="BE38" s="69" t="n">
        <f aca="false">BD38+BE37</f>
        <v>11881445.174018</v>
      </c>
      <c r="BF38" s="69" t="n">
        <f aca="false">BE38+BF37</f>
        <v>12859096.5560227</v>
      </c>
      <c r="BG38" s="69" t="n">
        <f aca="false">BF38+BG37</f>
        <v>13890721.0361254</v>
      </c>
      <c r="BH38" s="69" t="n">
        <f aca="false">BG38+BH37</f>
        <v>14973053.7271963</v>
      </c>
      <c r="BI38" s="69" t="n">
        <f aca="false">BH38+BI37</f>
        <v>16103141.5036971</v>
      </c>
    </row>
    <row r="39" customFormat="false" ht="15" hidden="false" customHeight="false" outlineLevel="0" collapsed="false">
      <c r="A39" s="76" t="s">
        <v>274</v>
      </c>
      <c r="B39" s="85" t="n">
        <f aca="false">ROUND(B31-CHOOSE(Premissas!$B$6,Cenários!B39,Cenários!B83,Cenários!B127),2)</f>
        <v>0</v>
      </c>
      <c r="C39" s="85" t="n">
        <f aca="false">ROUND(C31-CHOOSE(Premissas!$B$6,Cenários!C39,Cenários!C83,Cenários!C127),2)</f>
        <v>0</v>
      </c>
      <c r="D39" s="85" t="n">
        <f aca="false">ROUND(D31-CHOOSE(Premissas!$B$6,Cenários!D39,Cenários!D83,Cenários!D127),2)</f>
        <v>0</v>
      </c>
      <c r="E39" s="85" t="n">
        <f aca="false">ROUND(E31-CHOOSE(Premissas!$B$6,Cenários!E39,Cenários!E83,Cenários!E127),2)</f>
        <v>0</v>
      </c>
      <c r="F39" s="85" t="n">
        <f aca="false">ROUND(F31-CHOOSE(Premissas!$B$6,Cenários!F39,Cenários!F83,Cenários!F127),2)</f>
        <v>0</v>
      </c>
      <c r="G39" s="85" t="n">
        <f aca="false">ROUND(G31-CHOOSE(Premissas!$B$6,Cenários!G39,Cenários!G83,Cenários!G127),2)</f>
        <v>0</v>
      </c>
      <c r="H39" s="85" t="n">
        <f aca="false">ROUND(H31-CHOOSE(Premissas!$B$6,Cenários!H39,Cenários!H83,Cenários!H127),2)</f>
        <v>0</v>
      </c>
      <c r="I39" s="85" t="n">
        <f aca="false">ROUND(I31-CHOOSE(Premissas!$B$6,Cenários!I39,Cenários!I83,Cenários!I127),2)</f>
        <v>0</v>
      </c>
      <c r="J39" s="85" t="n">
        <f aca="false">ROUND(J31-CHOOSE(Premissas!$B$6,Cenários!J39,Cenários!J83,Cenários!J127),2)</f>
        <v>0</v>
      </c>
      <c r="K39" s="85" t="n">
        <f aca="false">ROUND(K31-CHOOSE(Premissas!$B$6,Cenários!K39,Cenários!K83,Cenários!K127),2)</f>
        <v>0</v>
      </c>
      <c r="L39" s="85" t="n">
        <f aca="false">ROUND(L31-CHOOSE(Premissas!$B$6,Cenários!L39,Cenários!L83,Cenários!L127),2)</f>
        <v>0</v>
      </c>
      <c r="M39" s="85" t="n">
        <f aca="false">ROUND(M31-CHOOSE(Premissas!$B$6,Cenários!M39,Cenários!M83,Cenários!M127),2)</f>
        <v>0</v>
      </c>
      <c r="N39" s="85" t="n">
        <f aca="false">ROUND(N31-CHOOSE(Premissas!$B$6,Cenários!N39,Cenários!N83,Cenários!N127),2)</f>
        <v>0</v>
      </c>
      <c r="O39" s="85" t="n">
        <f aca="false">ROUND(O31-CHOOSE(Premissas!$B$6,Cenários!O39,Cenários!O83,Cenários!O127),2)</f>
        <v>0</v>
      </c>
      <c r="P39" s="85" t="n">
        <f aca="false">ROUND(P31-CHOOSE(Premissas!$B$6,Cenários!P39,Cenários!P83,Cenários!P127),2)</f>
        <v>0</v>
      </c>
      <c r="Q39" s="85" t="n">
        <f aca="false">ROUND(Q31-CHOOSE(Premissas!$B$6,Cenários!Q39,Cenários!Q83,Cenários!Q127),2)</f>
        <v>0</v>
      </c>
      <c r="R39" s="85" t="n">
        <f aca="false">ROUND(R31-CHOOSE(Premissas!$B$6,Cenários!R39,Cenários!R83,Cenários!R127),2)</f>
        <v>0</v>
      </c>
      <c r="S39" s="85" t="n">
        <f aca="false">ROUND(S31-CHOOSE(Premissas!$B$6,Cenários!S39,Cenários!S83,Cenários!S127),2)</f>
        <v>0</v>
      </c>
      <c r="T39" s="85" t="n">
        <f aca="false">ROUND(T31-CHOOSE(Premissas!$B$6,Cenários!T39,Cenários!T83,Cenários!T127),2)</f>
        <v>0</v>
      </c>
      <c r="U39" s="85" t="n">
        <f aca="false">ROUND(U31-CHOOSE(Premissas!$B$6,Cenários!U39,Cenários!U83,Cenários!U127),2)</f>
        <v>0</v>
      </c>
      <c r="V39" s="85" t="n">
        <f aca="false">ROUND(V31-CHOOSE(Premissas!$B$6,Cenários!V39,Cenários!V83,Cenários!V127),2)</f>
        <v>0</v>
      </c>
      <c r="W39" s="85" t="n">
        <f aca="false">ROUND(W31-CHOOSE(Premissas!$B$6,Cenários!W39,Cenários!W83,Cenários!W127),2)</f>
        <v>0</v>
      </c>
      <c r="X39" s="85" t="n">
        <f aca="false">ROUND(X31-CHOOSE(Premissas!$B$6,Cenários!X39,Cenários!X83,Cenários!X127),2)</f>
        <v>0</v>
      </c>
      <c r="Y39" s="85" t="n">
        <f aca="false">ROUND(Y31-CHOOSE(Premissas!$B$6,Cenários!Y39,Cenários!Y83,Cenários!Y127),2)</f>
        <v>0</v>
      </c>
      <c r="Z39" s="85" t="n">
        <f aca="false">ROUND(Z31-CHOOSE(Premissas!$B$6,Cenários!Z39,Cenários!Z83,Cenários!Z127),2)</f>
        <v>0</v>
      </c>
      <c r="AA39" s="85" t="n">
        <f aca="false">ROUND(AA31-CHOOSE(Premissas!$B$6,Cenários!AA39,Cenários!AA83,Cenários!AA127),2)</f>
        <v>0</v>
      </c>
      <c r="AB39" s="85" t="n">
        <f aca="false">ROUND(AB31-CHOOSE(Premissas!$B$6,Cenários!AB39,Cenários!AB83,Cenários!AB127),2)</f>
        <v>0</v>
      </c>
      <c r="AC39" s="85" t="n">
        <f aca="false">ROUND(AC31-CHOOSE(Premissas!$B$6,Cenários!AC39,Cenários!AC83,Cenários!AC127),2)</f>
        <v>0</v>
      </c>
      <c r="AD39" s="85" t="n">
        <f aca="false">ROUND(AD31-CHOOSE(Premissas!$B$6,Cenários!AD39,Cenários!AD83,Cenários!AD127),2)</f>
        <v>0</v>
      </c>
      <c r="AE39" s="85" t="n">
        <f aca="false">ROUND(AE31-CHOOSE(Premissas!$B$6,Cenários!AE39,Cenários!AE83,Cenários!AE127),2)</f>
        <v>0</v>
      </c>
      <c r="AF39" s="85" t="n">
        <f aca="false">ROUND(AF31-CHOOSE(Premissas!$B$6,Cenários!AF39,Cenários!AF83,Cenários!AF127),2)</f>
        <v>0</v>
      </c>
      <c r="AG39" s="85" t="n">
        <f aca="false">ROUND(AG31-CHOOSE(Premissas!$B$6,Cenários!AG39,Cenários!AG83,Cenários!AG127),2)</f>
        <v>0</v>
      </c>
      <c r="AH39" s="85" t="n">
        <f aca="false">ROUND(AH31-CHOOSE(Premissas!$B$6,Cenários!AH39,Cenários!AH83,Cenários!AH127),2)</f>
        <v>0</v>
      </c>
      <c r="AI39" s="85" t="n">
        <f aca="false">ROUND(AI31-CHOOSE(Premissas!$B$6,Cenários!AI39,Cenários!AI83,Cenários!AI127),2)</f>
        <v>0</v>
      </c>
      <c r="AJ39" s="85" t="n">
        <f aca="false">ROUND(AJ31-CHOOSE(Premissas!$B$6,Cenários!AJ39,Cenários!AJ83,Cenários!AJ127),2)</f>
        <v>0</v>
      </c>
      <c r="AK39" s="85" t="n">
        <f aca="false">ROUND(AK31-CHOOSE(Premissas!$B$6,Cenários!AK39,Cenários!AK83,Cenários!AK127),2)</f>
        <v>0</v>
      </c>
      <c r="AL39" s="85" t="n">
        <f aca="false">ROUND(AL31-CHOOSE(Premissas!$B$6,Cenários!AL39,Cenários!AL83,Cenários!AL127),2)</f>
        <v>0</v>
      </c>
      <c r="AM39" s="85" t="n">
        <f aca="false">ROUND(AM31-CHOOSE(Premissas!$B$6,Cenários!AM39,Cenários!AM83,Cenários!AM127),2)</f>
        <v>0</v>
      </c>
      <c r="AN39" s="85" t="n">
        <f aca="false">ROUND(AN31-CHOOSE(Premissas!$B$6,Cenários!AN39,Cenários!AN83,Cenários!AN127),2)</f>
        <v>0</v>
      </c>
      <c r="AO39" s="85" t="n">
        <f aca="false">ROUND(AO31-CHOOSE(Premissas!$B$6,Cenários!AO39,Cenários!AO83,Cenários!AO127),2)</f>
        <v>0</v>
      </c>
      <c r="AP39" s="85" t="n">
        <f aca="false">ROUND(AP31-CHOOSE(Premissas!$B$6,Cenários!AP39,Cenários!AP83,Cenários!AP127),2)</f>
        <v>0</v>
      </c>
      <c r="AQ39" s="85" t="n">
        <f aca="false">ROUND(AQ31-CHOOSE(Premissas!$B$6,Cenários!AQ39,Cenários!AQ83,Cenários!AQ127),2)</f>
        <v>0</v>
      </c>
      <c r="AR39" s="85" t="n">
        <f aca="false">ROUND(AR31-CHOOSE(Premissas!$B$6,Cenários!AR39,Cenários!AR83,Cenários!AR127),2)</f>
        <v>0</v>
      </c>
      <c r="AS39" s="85" t="n">
        <f aca="false">ROUND(AS31-CHOOSE(Premissas!$B$6,Cenários!AS39,Cenários!AS83,Cenários!AS127),2)</f>
        <v>0</v>
      </c>
      <c r="AT39" s="85" t="n">
        <f aca="false">ROUND(AT31-CHOOSE(Premissas!$B$6,Cenários!AT39,Cenários!AT83,Cenários!AT127),2)</f>
        <v>0</v>
      </c>
      <c r="AU39" s="85" t="n">
        <f aca="false">ROUND(AU31-CHOOSE(Premissas!$B$6,Cenários!AU39,Cenários!AU83,Cenários!AU127),2)</f>
        <v>0</v>
      </c>
      <c r="AV39" s="85" t="n">
        <f aca="false">ROUND(AV31-CHOOSE(Premissas!$B$6,Cenários!AV39,Cenários!AV83,Cenários!AV127),2)</f>
        <v>0</v>
      </c>
      <c r="AW39" s="85" t="n">
        <f aca="false">ROUND(AW31-CHOOSE(Premissas!$B$6,Cenários!AW39,Cenários!AW83,Cenários!AW127),2)</f>
        <v>0</v>
      </c>
      <c r="AX39" s="85" t="n">
        <f aca="false">ROUND(AX31-CHOOSE(Premissas!$B$6,Cenários!AX39,Cenários!AX83,Cenários!AX127),2)</f>
        <v>0</v>
      </c>
      <c r="AY39" s="85" t="n">
        <f aca="false">ROUND(AY31-CHOOSE(Premissas!$B$6,Cenários!AY39,Cenários!AY83,Cenários!AY127),2)</f>
        <v>0</v>
      </c>
      <c r="AZ39" s="85" t="n">
        <f aca="false">ROUND(AZ31-CHOOSE(Premissas!$B$6,Cenários!AZ39,Cenários!AZ83,Cenários!AZ127),2)</f>
        <v>0</v>
      </c>
      <c r="BA39" s="85" t="n">
        <f aca="false">ROUND(BA31-CHOOSE(Premissas!$B$6,Cenários!BA39,Cenários!BA83,Cenários!BA127),2)</f>
        <v>0</v>
      </c>
      <c r="BB39" s="85" t="n">
        <f aca="false">ROUND(BB31-CHOOSE(Premissas!$B$6,Cenários!BB39,Cenários!BB83,Cenários!BB127),2)</f>
        <v>0</v>
      </c>
      <c r="BC39" s="85" t="n">
        <f aca="false">ROUND(BC31-CHOOSE(Premissas!$B$6,Cenários!BC39,Cenários!BC83,Cenários!BC127),2)</f>
        <v>0</v>
      </c>
      <c r="BD39" s="85" t="n">
        <f aca="false">ROUND(BD31-CHOOSE(Premissas!$B$6,Cenários!BD39,Cenários!BD83,Cenários!BD127),2)</f>
        <v>0</v>
      </c>
      <c r="BE39" s="85" t="n">
        <f aca="false">ROUND(BE31-CHOOSE(Premissas!$B$6,Cenários!BE39,Cenários!BE83,Cenários!BE127),2)</f>
        <v>0</v>
      </c>
      <c r="BF39" s="85" t="n">
        <f aca="false">ROUND(BF31-CHOOSE(Premissas!$B$6,Cenários!BF39,Cenários!BF83,Cenários!BF127),2)</f>
        <v>0</v>
      </c>
      <c r="BG39" s="85" t="n">
        <f aca="false">ROUND(BG31-CHOOSE(Premissas!$B$6,Cenários!BG39,Cenários!BG83,Cenários!BG127),2)</f>
        <v>0</v>
      </c>
      <c r="BH39" s="85" t="n">
        <f aca="false">ROUND(BH31-CHOOSE(Premissas!$B$6,Cenários!BH39,Cenários!BH83,Cenários!BH127),2)</f>
        <v>0</v>
      </c>
      <c r="BI39" s="85" t="n">
        <f aca="false">ROUND(BI31-CHOOSE(Premissas!$B$6,Cenários!BI39,Cenários!BI83,Cenários!BI127),2)</f>
        <v>0</v>
      </c>
      <c r="BJ39" s="86" t="n">
        <f aca="false">SUM(B39:BI39)</f>
        <v>0</v>
      </c>
      <c r="BK39" s="14" t="s">
        <v>275</v>
      </c>
    </row>
    <row r="41" customFormat="false" ht="18" hidden="false" customHeight="true" outlineLevel="0" collapsed="false">
      <c r="A41" s="10" t="s">
        <v>276</v>
      </c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11"/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AL41" s="11"/>
      <c r="AM41" s="11"/>
      <c r="AN41" s="11"/>
      <c r="AO41" s="11"/>
      <c r="AP41" s="11"/>
      <c r="AQ41" s="11"/>
      <c r="AR41" s="11"/>
      <c r="AS41" s="11"/>
      <c r="AT41" s="11"/>
      <c r="AU41" s="11"/>
      <c r="AV41" s="11"/>
      <c r="AW41" s="11"/>
      <c r="AX41" s="11"/>
      <c r="AY41" s="11"/>
      <c r="AZ41" s="11"/>
      <c r="BA41" s="11"/>
      <c r="BB41" s="11"/>
      <c r="BC41" s="11"/>
      <c r="BD41" s="11"/>
      <c r="BE41" s="11"/>
      <c r="BF41" s="11"/>
      <c r="BG41" s="11"/>
      <c r="BH41" s="11"/>
      <c r="BI41" s="11"/>
      <c r="BJ41" s="11"/>
      <c r="BK41" s="11"/>
    </row>
    <row r="42" customFormat="false" ht="15" hidden="false" customHeight="false" outlineLevel="0" collapsed="false">
      <c r="A42" s="12" t="s">
        <v>33</v>
      </c>
      <c r="B42" s="17" t="n">
        <f aca="false">NPV(Premissas!$B$12,B31:BI31)</f>
        <v>6443408.55676655</v>
      </c>
      <c r="D42" s="14" t="s">
        <v>277</v>
      </c>
    </row>
    <row r="43" customFormat="false" ht="15" hidden="false" customHeight="false" outlineLevel="0" collapsed="false">
      <c r="A43" s="12" t="s">
        <v>35</v>
      </c>
      <c r="B43" s="87" t="n">
        <f aca="false">IFERROR(IRR(B31:BI31),"n/d")</f>
        <v>0.182972057270098</v>
      </c>
      <c r="D43" s="14" t="s">
        <v>278</v>
      </c>
    </row>
    <row r="44" customFormat="false" ht="15" hidden="false" customHeight="false" outlineLevel="0" collapsed="false">
      <c r="A44" s="12" t="s">
        <v>36</v>
      </c>
      <c r="B44" s="21" t="n">
        <f aca="false">IFERROR((1+$B43)^12-1,"n/d")</f>
        <v>6.51093210962297</v>
      </c>
      <c r="D44" s="14" t="s">
        <v>279</v>
      </c>
    </row>
    <row r="45" customFormat="false" ht="15" hidden="false" customHeight="false" outlineLevel="0" collapsed="false">
      <c r="A45" s="12" t="s">
        <v>38</v>
      </c>
      <c r="B45" s="88" t="n">
        <f aca="false">IF(BI34&lt;0,"&gt; 60 meses",COUNTIF(B34:BI34,"&lt;0")+1)</f>
        <v>17</v>
      </c>
      <c r="D45" s="14" t="s">
        <v>280</v>
      </c>
    </row>
    <row r="46" customFormat="false" ht="15" hidden="false" customHeight="false" outlineLevel="0" collapsed="false">
      <c r="A46" s="12" t="s">
        <v>39</v>
      </c>
      <c r="B46" s="88" t="n">
        <f aca="false">IF(BI33&lt;0,"&gt; 60 meses",COUNTIF(B33:BI33,"&lt;0")+1)</f>
        <v>17</v>
      </c>
      <c r="D46" s="14" t="s">
        <v>281</v>
      </c>
    </row>
    <row r="47" customFormat="false" ht="15" hidden="false" customHeight="false" outlineLevel="0" collapsed="false">
      <c r="A47" s="12" t="s">
        <v>282</v>
      </c>
      <c r="B47" s="17" t="n">
        <f aca="false">-MIN(B34:BI34)</f>
        <v>145628.113484163</v>
      </c>
      <c r="D47" s="14" t="s">
        <v>283</v>
      </c>
    </row>
    <row r="48" customFormat="false" ht="15" hidden="false" customHeight="false" outlineLevel="0" collapsed="false">
      <c r="A48" s="12" t="s">
        <v>29</v>
      </c>
      <c r="B48" s="17" t="n">
        <f aca="false">MIN(B38:BI38)</f>
        <v>-8127.82</v>
      </c>
      <c r="D48" s="14" t="s">
        <v>284</v>
      </c>
    </row>
    <row r="49" customFormat="false" ht="15" hidden="false" customHeight="false" outlineLevel="0" collapsed="false">
      <c r="A49" s="12" t="s">
        <v>25</v>
      </c>
      <c r="B49" s="17" t="n">
        <f aca="false">-BJ13</f>
        <v>339127.82</v>
      </c>
    </row>
    <row r="50" customFormat="false" ht="15" hidden="false" customHeight="false" outlineLevel="0" collapsed="false">
      <c r="A50" s="12" t="s">
        <v>285</v>
      </c>
      <c r="B50" s="17" t="n">
        <f aca="false">BJ30</f>
        <v>67631238.93492</v>
      </c>
    </row>
    <row r="51" customFormat="false" ht="15" hidden="false" customHeight="false" outlineLevel="0" collapsed="false">
      <c r="A51" s="12" t="s">
        <v>286</v>
      </c>
      <c r="B51" s="17" t="n">
        <f aca="false">BJ31</f>
        <v>15903141.5036971</v>
      </c>
    </row>
    <row r="52" customFormat="false" ht="15" hidden="false" customHeight="false" outlineLevel="0" collapsed="false">
      <c r="A52" s="12" t="s">
        <v>42</v>
      </c>
      <c r="B52" s="21" t="n">
        <f aca="false">IFERROR(BJ31/$B47,0)</f>
        <v>109.203787120586</v>
      </c>
      <c r="D52" s="14" t="s">
        <v>287</v>
      </c>
    </row>
    <row r="53" customFormat="false" ht="15" hidden="false" customHeight="false" outlineLevel="0" collapsed="false">
      <c r="A53" s="12" t="s">
        <v>288</v>
      </c>
      <c r="B53" s="21" t="n">
        <f aca="false">Premissas!$B$11</f>
        <v>0.25</v>
      </c>
    </row>
    <row r="54" customFormat="false" ht="15" hidden="false" customHeight="false" outlineLevel="0" collapsed="false">
      <c r="A54" s="12" t="s">
        <v>289</v>
      </c>
      <c r="B54" s="87" t="n">
        <f aca="false">IFERROR(-BJ25/BJ30,0)</f>
        <v>0.161998479312457</v>
      </c>
    </row>
    <row r="56" customFormat="false" ht="18" hidden="false" customHeight="true" outlineLevel="0" collapsed="false">
      <c r="A56" s="10" t="s">
        <v>290</v>
      </c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  <c r="AA56" s="11"/>
      <c r="AB56" s="11"/>
      <c r="AC56" s="11"/>
      <c r="AD56" s="11"/>
      <c r="AE56" s="11"/>
      <c r="AF56" s="11"/>
      <c r="AG56" s="11"/>
      <c r="AH56" s="11"/>
      <c r="AI56" s="11"/>
      <c r="AJ56" s="11"/>
      <c r="AK56" s="11"/>
      <c r="AL56" s="11"/>
      <c r="AM56" s="11"/>
      <c r="AN56" s="11"/>
      <c r="AO56" s="11"/>
      <c r="AP56" s="11"/>
      <c r="AQ56" s="11"/>
      <c r="AR56" s="11"/>
      <c r="AS56" s="11"/>
      <c r="AT56" s="11"/>
      <c r="AU56" s="11"/>
      <c r="AV56" s="11"/>
      <c r="AW56" s="11"/>
      <c r="AX56" s="11"/>
      <c r="AY56" s="11"/>
      <c r="AZ56" s="11"/>
      <c r="BA56" s="11"/>
      <c r="BB56" s="11"/>
      <c r="BC56" s="11"/>
      <c r="BD56" s="11"/>
      <c r="BE56" s="11"/>
      <c r="BF56" s="11"/>
      <c r="BG56" s="11"/>
      <c r="BH56" s="11"/>
      <c r="BI56" s="11"/>
      <c r="BJ56" s="11"/>
      <c r="BK56" s="11"/>
    </row>
    <row r="57" customFormat="false" ht="15" hidden="false" customHeight="false" outlineLevel="0" collapsed="false">
      <c r="A57" s="12" t="s">
        <v>102</v>
      </c>
      <c r="B57" s="89" t="n">
        <f aca="false">Premissas!$B$21</f>
        <v>19.9</v>
      </c>
    </row>
    <row r="58" customFormat="false" ht="15" hidden="false" customHeight="false" outlineLevel="0" collapsed="false">
      <c r="A58" s="12" t="s">
        <v>103</v>
      </c>
      <c r="B58" s="89" t="n">
        <f aca="false">Premissas!$B$22</f>
        <v>39.9</v>
      </c>
    </row>
    <row r="59" customFormat="false" ht="15" hidden="false" customHeight="false" outlineLevel="0" collapsed="false">
      <c r="A59" s="12" t="s">
        <v>104</v>
      </c>
      <c r="B59" s="89" t="n">
        <f aca="false">Premissas!$B$23</f>
        <v>79.9</v>
      </c>
    </row>
    <row r="60" customFormat="false" ht="15" hidden="false" customHeight="false" outlineLevel="0" collapsed="false">
      <c r="A60" s="12" t="s">
        <v>291</v>
      </c>
      <c r="B60" s="90" t="n">
        <f aca="false">Premissas!$B$53</f>
        <v>0.15</v>
      </c>
    </row>
    <row r="61" customFormat="false" ht="15" hidden="false" customHeight="false" outlineLevel="0" collapsed="false">
      <c r="A61" s="12" t="s">
        <v>292</v>
      </c>
      <c r="B61" s="90" t="n">
        <f aca="false">Premissas!$B$57</f>
        <v>0.1</v>
      </c>
    </row>
    <row r="62" customFormat="false" ht="15" hidden="false" customHeight="false" outlineLevel="0" collapsed="false">
      <c r="A62" s="12" t="s">
        <v>293</v>
      </c>
      <c r="B62" s="90" t="n">
        <f aca="false">Premissas!$B$11</f>
        <v>0.25</v>
      </c>
    </row>
    <row r="63" customFormat="false" ht="15" hidden="false" customHeight="false" outlineLevel="0" collapsed="false">
      <c r="A63" s="12" t="s">
        <v>294</v>
      </c>
      <c r="B63" s="91" t="n">
        <f aca="false">Premissas!$B$13</f>
        <v>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5C8A"/>
    <pageSetUpPr fitToPage="false"/>
  </sheetPr>
  <dimension ref="A1:BK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8" topLeftCell="B9" activePane="bottomRight" state="frozen"/>
      <selection pane="topLeft" activeCell="A1" activeCellId="0" sqref="A1"/>
      <selection pane="topRight" activeCell="B1" activeCellId="0" sqref="B1"/>
      <selection pane="bottomLeft" activeCell="A9" activeCellId="0" sqref="A9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61" min="2" style="0" width="11"/>
    <col collapsed="false" customWidth="true" hidden="false" outlineLevel="0" max="62" min="62" style="0" width="15"/>
    <col collapsed="false" customWidth="true" hidden="false" outlineLevel="0" max="63" min="63" style="0" width="34"/>
  </cols>
  <sheetData>
    <row r="1" customFormat="false" ht="25.5" hidden="false" customHeight="true" outlineLevel="0" collapsed="false">
      <c r="A1" s="1" t="s">
        <v>295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</row>
    <row r="2" customFormat="false" ht="15.75" hidden="false" customHeight="true" outlineLevel="0" collapsed="false">
      <c r="A2" s="58" t="str">
        <f aca="false">" Cenário ativo: "&amp;Premissas!B7</f>
        <v> Cenário ativo: PROVÁVEL</v>
      </c>
    </row>
    <row r="4" customFormat="false" ht="15" hidden="false" customHeight="false" outlineLevel="0" collapsed="false">
      <c r="A4" s="59" t="s">
        <v>189</v>
      </c>
      <c r="B4" s="60" t="n">
        <v>46023</v>
      </c>
      <c r="C4" s="60" t="n">
        <v>46054</v>
      </c>
      <c r="D4" s="60" t="n">
        <v>46082</v>
      </c>
      <c r="E4" s="60" t="n">
        <v>46113</v>
      </c>
      <c r="F4" s="60" t="n">
        <v>46143</v>
      </c>
      <c r="G4" s="60" t="n">
        <v>46174</v>
      </c>
      <c r="H4" s="60" t="n">
        <v>46204</v>
      </c>
      <c r="I4" s="60" t="n">
        <v>46235</v>
      </c>
      <c r="J4" s="60" t="n">
        <v>46266</v>
      </c>
      <c r="K4" s="60" t="n">
        <v>46296</v>
      </c>
      <c r="L4" s="60" t="n">
        <v>46327</v>
      </c>
      <c r="M4" s="60" t="n">
        <v>46357</v>
      </c>
      <c r="N4" s="60" t="n">
        <v>46388</v>
      </c>
      <c r="O4" s="60" t="n">
        <v>46419</v>
      </c>
      <c r="P4" s="60" t="n">
        <v>46447</v>
      </c>
      <c r="Q4" s="60" t="n">
        <v>46478</v>
      </c>
      <c r="R4" s="60" t="n">
        <v>46508</v>
      </c>
      <c r="S4" s="60" t="n">
        <v>46539</v>
      </c>
      <c r="T4" s="60" t="n">
        <v>46569</v>
      </c>
      <c r="U4" s="60" t="n">
        <v>46600</v>
      </c>
      <c r="V4" s="60" t="n">
        <v>46631</v>
      </c>
      <c r="W4" s="60" t="n">
        <v>46661</v>
      </c>
      <c r="X4" s="60" t="n">
        <v>46692</v>
      </c>
      <c r="Y4" s="60" t="n">
        <v>46722</v>
      </c>
      <c r="Z4" s="60" t="n">
        <v>46753</v>
      </c>
      <c r="AA4" s="60" t="n">
        <v>46784</v>
      </c>
      <c r="AB4" s="60" t="n">
        <v>46813</v>
      </c>
      <c r="AC4" s="60" t="n">
        <v>46844</v>
      </c>
      <c r="AD4" s="60" t="n">
        <v>46874</v>
      </c>
      <c r="AE4" s="60" t="n">
        <v>46905</v>
      </c>
      <c r="AF4" s="60" t="n">
        <v>46935</v>
      </c>
      <c r="AG4" s="60" t="n">
        <v>46966</v>
      </c>
      <c r="AH4" s="60" t="n">
        <v>46997</v>
      </c>
      <c r="AI4" s="60" t="n">
        <v>47027</v>
      </c>
      <c r="AJ4" s="60" t="n">
        <v>47058</v>
      </c>
      <c r="AK4" s="60" t="n">
        <v>47088</v>
      </c>
      <c r="AL4" s="60" t="n">
        <v>47119</v>
      </c>
      <c r="AM4" s="60" t="n">
        <v>47150</v>
      </c>
      <c r="AN4" s="60" t="n">
        <v>47178</v>
      </c>
      <c r="AO4" s="60" t="n">
        <v>47209</v>
      </c>
      <c r="AP4" s="60" t="n">
        <v>47239</v>
      </c>
      <c r="AQ4" s="60" t="n">
        <v>47270</v>
      </c>
      <c r="AR4" s="60" t="n">
        <v>47300</v>
      </c>
      <c r="AS4" s="60" t="n">
        <v>47331</v>
      </c>
      <c r="AT4" s="60" t="n">
        <v>47362</v>
      </c>
      <c r="AU4" s="60" t="n">
        <v>47392</v>
      </c>
      <c r="AV4" s="60" t="n">
        <v>47423</v>
      </c>
      <c r="AW4" s="60" t="n">
        <v>47453</v>
      </c>
      <c r="AX4" s="60" t="n">
        <v>47484</v>
      </c>
      <c r="AY4" s="60" t="n">
        <v>47515</v>
      </c>
      <c r="AZ4" s="60" t="n">
        <v>47543</v>
      </c>
      <c r="BA4" s="60" t="n">
        <v>47574</v>
      </c>
      <c r="BB4" s="60" t="n">
        <v>47604</v>
      </c>
      <c r="BC4" s="60" t="n">
        <v>47635</v>
      </c>
      <c r="BD4" s="60" t="n">
        <v>47665</v>
      </c>
      <c r="BE4" s="60" t="n">
        <v>47696</v>
      </c>
      <c r="BF4" s="60" t="n">
        <v>47727</v>
      </c>
      <c r="BG4" s="60" t="n">
        <v>47757</v>
      </c>
      <c r="BH4" s="60" t="n">
        <v>47788</v>
      </c>
      <c r="BI4" s="60" t="n">
        <v>47818</v>
      </c>
      <c r="BJ4" s="61" t="s">
        <v>190</v>
      </c>
      <c r="BK4" s="61" t="s">
        <v>191</v>
      </c>
    </row>
    <row r="5" customFormat="false" ht="15" hidden="false" customHeight="false" outlineLevel="0" collapsed="false">
      <c r="A5" s="62" t="s">
        <v>192</v>
      </c>
      <c r="B5" s="63" t="n">
        <v>1</v>
      </c>
      <c r="C5" s="63" t="n">
        <v>2</v>
      </c>
      <c r="D5" s="63" t="n">
        <v>3</v>
      </c>
      <c r="E5" s="63" t="n">
        <v>4</v>
      </c>
      <c r="F5" s="63" t="n">
        <v>5</v>
      </c>
      <c r="G5" s="63" t="n">
        <v>6</v>
      </c>
      <c r="H5" s="63" t="n">
        <v>7</v>
      </c>
      <c r="I5" s="63" t="n">
        <v>8</v>
      </c>
      <c r="J5" s="63" t="n">
        <v>9</v>
      </c>
      <c r="K5" s="63" t="n">
        <v>10</v>
      </c>
      <c r="L5" s="63" t="n">
        <v>11</v>
      </c>
      <c r="M5" s="63" t="n">
        <v>12</v>
      </c>
      <c r="N5" s="63" t="n">
        <v>13</v>
      </c>
      <c r="O5" s="63" t="n">
        <v>14</v>
      </c>
      <c r="P5" s="63" t="n">
        <v>15</v>
      </c>
      <c r="Q5" s="63" t="n">
        <v>16</v>
      </c>
      <c r="R5" s="63" t="n">
        <v>17</v>
      </c>
      <c r="S5" s="63" t="n">
        <v>18</v>
      </c>
      <c r="T5" s="63" t="n">
        <v>19</v>
      </c>
      <c r="U5" s="63" t="n">
        <v>20</v>
      </c>
      <c r="V5" s="63" t="n">
        <v>21</v>
      </c>
      <c r="W5" s="63" t="n">
        <v>22</v>
      </c>
      <c r="X5" s="63" t="n">
        <v>23</v>
      </c>
      <c r="Y5" s="63" t="n">
        <v>24</v>
      </c>
      <c r="Z5" s="63" t="n">
        <v>25</v>
      </c>
      <c r="AA5" s="63" t="n">
        <v>26</v>
      </c>
      <c r="AB5" s="63" t="n">
        <v>27</v>
      </c>
      <c r="AC5" s="63" t="n">
        <v>28</v>
      </c>
      <c r="AD5" s="63" t="n">
        <v>29</v>
      </c>
      <c r="AE5" s="63" t="n">
        <v>30</v>
      </c>
      <c r="AF5" s="63" t="n">
        <v>31</v>
      </c>
      <c r="AG5" s="63" t="n">
        <v>32</v>
      </c>
      <c r="AH5" s="63" t="n">
        <v>33</v>
      </c>
      <c r="AI5" s="63" t="n">
        <v>34</v>
      </c>
      <c r="AJ5" s="63" t="n">
        <v>35</v>
      </c>
      <c r="AK5" s="63" t="n">
        <v>36</v>
      </c>
      <c r="AL5" s="63" t="n">
        <v>37</v>
      </c>
      <c r="AM5" s="63" t="n">
        <v>38</v>
      </c>
      <c r="AN5" s="63" t="n">
        <v>39</v>
      </c>
      <c r="AO5" s="63" t="n">
        <v>40</v>
      </c>
      <c r="AP5" s="63" t="n">
        <v>41</v>
      </c>
      <c r="AQ5" s="63" t="n">
        <v>42</v>
      </c>
      <c r="AR5" s="63" t="n">
        <v>43</v>
      </c>
      <c r="AS5" s="63" t="n">
        <v>44</v>
      </c>
      <c r="AT5" s="63" t="n">
        <v>45</v>
      </c>
      <c r="AU5" s="63" t="n">
        <v>46</v>
      </c>
      <c r="AV5" s="63" t="n">
        <v>47</v>
      </c>
      <c r="AW5" s="63" t="n">
        <v>48</v>
      </c>
      <c r="AX5" s="63" t="n">
        <v>49</v>
      </c>
      <c r="AY5" s="63" t="n">
        <v>50</v>
      </c>
      <c r="AZ5" s="63" t="n">
        <v>51</v>
      </c>
      <c r="BA5" s="63" t="n">
        <v>52</v>
      </c>
      <c r="BB5" s="63" t="n">
        <v>53</v>
      </c>
      <c r="BC5" s="63" t="n">
        <v>54</v>
      </c>
      <c r="BD5" s="63" t="n">
        <v>55</v>
      </c>
      <c r="BE5" s="63" t="n">
        <v>56</v>
      </c>
      <c r="BF5" s="63" t="n">
        <v>57</v>
      </c>
      <c r="BG5" s="63" t="n">
        <v>58</v>
      </c>
      <c r="BH5" s="63" t="n">
        <v>59</v>
      </c>
      <c r="BI5" s="63" t="n">
        <v>60</v>
      </c>
    </row>
    <row r="6" customFormat="false" ht="15" hidden="false" customHeight="false" outlineLevel="0" collapsed="false">
      <c r="A6" s="62" t="s">
        <v>193</v>
      </c>
      <c r="B6" s="64" t="n">
        <f aca="false">YEAR(B4)</f>
        <v>2026</v>
      </c>
      <c r="C6" s="64" t="n">
        <f aca="false">YEAR(C4)</f>
        <v>2026</v>
      </c>
      <c r="D6" s="64" t="n">
        <f aca="false">YEAR(D4)</f>
        <v>2026</v>
      </c>
      <c r="E6" s="64" t="n">
        <f aca="false">YEAR(E4)</f>
        <v>2026</v>
      </c>
      <c r="F6" s="64" t="n">
        <f aca="false">YEAR(F4)</f>
        <v>2026</v>
      </c>
      <c r="G6" s="64" t="n">
        <f aca="false">YEAR(G4)</f>
        <v>2026</v>
      </c>
      <c r="H6" s="64" t="n">
        <f aca="false">YEAR(H4)</f>
        <v>2026</v>
      </c>
      <c r="I6" s="64" t="n">
        <f aca="false">YEAR(I4)</f>
        <v>2026</v>
      </c>
      <c r="J6" s="64" t="n">
        <f aca="false">YEAR(J4)</f>
        <v>2026</v>
      </c>
      <c r="K6" s="64" t="n">
        <f aca="false">YEAR(K4)</f>
        <v>2026</v>
      </c>
      <c r="L6" s="64" t="n">
        <f aca="false">YEAR(L4)</f>
        <v>2026</v>
      </c>
      <c r="M6" s="64" t="n">
        <f aca="false">YEAR(M4)</f>
        <v>2026</v>
      </c>
      <c r="N6" s="64" t="n">
        <f aca="false">YEAR(N4)</f>
        <v>2027</v>
      </c>
      <c r="O6" s="64" t="n">
        <f aca="false">YEAR(O4)</f>
        <v>2027</v>
      </c>
      <c r="P6" s="64" t="n">
        <f aca="false">YEAR(P4)</f>
        <v>2027</v>
      </c>
      <c r="Q6" s="64" t="n">
        <f aca="false">YEAR(Q4)</f>
        <v>2027</v>
      </c>
      <c r="R6" s="64" t="n">
        <f aca="false">YEAR(R4)</f>
        <v>2027</v>
      </c>
      <c r="S6" s="64" t="n">
        <f aca="false">YEAR(S4)</f>
        <v>2027</v>
      </c>
      <c r="T6" s="64" t="n">
        <f aca="false">YEAR(T4)</f>
        <v>2027</v>
      </c>
      <c r="U6" s="64" t="n">
        <f aca="false">YEAR(U4)</f>
        <v>2027</v>
      </c>
      <c r="V6" s="64" t="n">
        <f aca="false">YEAR(V4)</f>
        <v>2027</v>
      </c>
      <c r="W6" s="64" t="n">
        <f aca="false">YEAR(W4)</f>
        <v>2027</v>
      </c>
      <c r="X6" s="64" t="n">
        <f aca="false">YEAR(X4)</f>
        <v>2027</v>
      </c>
      <c r="Y6" s="64" t="n">
        <f aca="false">YEAR(Y4)</f>
        <v>2027</v>
      </c>
      <c r="Z6" s="64" t="n">
        <f aca="false">YEAR(Z4)</f>
        <v>2028</v>
      </c>
      <c r="AA6" s="64" t="n">
        <f aca="false">YEAR(AA4)</f>
        <v>2028</v>
      </c>
      <c r="AB6" s="64" t="n">
        <f aca="false">YEAR(AB4)</f>
        <v>2028</v>
      </c>
      <c r="AC6" s="64" t="n">
        <f aca="false">YEAR(AC4)</f>
        <v>2028</v>
      </c>
      <c r="AD6" s="64" t="n">
        <f aca="false">YEAR(AD4)</f>
        <v>2028</v>
      </c>
      <c r="AE6" s="64" t="n">
        <f aca="false">YEAR(AE4)</f>
        <v>2028</v>
      </c>
      <c r="AF6" s="64" t="n">
        <f aca="false">YEAR(AF4)</f>
        <v>2028</v>
      </c>
      <c r="AG6" s="64" t="n">
        <f aca="false">YEAR(AG4)</f>
        <v>2028</v>
      </c>
      <c r="AH6" s="64" t="n">
        <f aca="false">YEAR(AH4)</f>
        <v>2028</v>
      </c>
      <c r="AI6" s="64" t="n">
        <f aca="false">YEAR(AI4)</f>
        <v>2028</v>
      </c>
      <c r="AJ6" s="64" t="n">
        <f aca="false">YEAR(AJ4)</f>
        <v>2028</v>
      </c>
      <c r="AK6" s="64" t="n">
        <f aca="false">YEAR(AK4)</f>
        <v>2028</v>
      </c>
      <c r="AL6" s="64" t="n">
        <f aca="false">YEAR(AL4)</f>
        <v>2029</v>
      </c>
      <c r="AM6" s="64" t="n">
        <f aca="false">YEAR(AM4)</f>
        <v>2029</v>
      </c>
      <c r="AN6" s="64" t="n">
        <f aca="false">YEAR(AN4)</f>
        <v>2029</v>
      </c>
      <c r="AO6" s="64" t="n">
        <f aca="false">YEAR(AO4)</f>
        <v>2029</v>
      </c>
      <c r="AP6" s="64" t="n">
        <f aca="false">YEAR(AP4)</f>
        <v>2029</v>
      </c>
      <c r="AQ6" s="64" t="n">
        <f aca="false">YEAR(AQ4)</f>
        <v>2029</v>
      </c>
      <c r="AR6" s="64" t="n">
        <f aca="false">YEAR(AR4)</f>
        <v>2029</v>
      </c>
      <c r="AS6" s="64" t="n">
        <f aca="false">YEAR(AS4)</f>
        <v>2029</v>
      </c>
      <c r="AT6" s="64" t="n">
        <f aca="false">YEAR(AT4)</f>
        <v>2029</v>
      </c>
      <c r="AU6" s="64" t="n">
        <f aca="false">YEAR(AU4)</f>
        <v>2029</v>
      </c>
      <c r="AV6" s="64" t="n">
        <f aca="false">YEAR(AV4)</f>
        <v>2029</v>
      </c>
      <c r="AW6" s="64" t="n">
        <f aca="false">YEAR(AW4)</f>
        <v>2029</v>
      </c>
      <c r="AX6" s="64" t="n">
        <f aca="false">YEAR(AX4)</f>
        <v>2030</v>
      </c>
      <c r="AY6" s="64" t="n">
        <f aca="false">YEAR(AY4)</f>
        <v>2030</v>
      </c>
      <c r="AZ6" s="64" t="n">
        <f aca="false">YEAR(AZ4)</f>
        <v>2030</v>
      </c>
      <c r="BA6" s="64" t="n">
        <f aca="false">YEAR(BA4)</f>
        <v>2030</v>
      </c>
      <c r="BB6" s="64" t="n">
        <f aca="false">YEAR(BB4)</f>
        <v>2030</v>
      </c>
      <c r="BC6" s="64" t="n">
        <f aca="false">YEAR(BC4)</f>
        <v>2030</v>
      </c>
      <c r="BD6" s="64" t="n">
        <f aca="false">YEAR(BD4)</f>
        <v>2030</v>
      </c>
      <c r="BE6" s="64" t="n">
        <f aca="false">YEAR(BE4)</f>
        <v>2030</v>
      </c>
      <c r="BF6" s="64" t="n">
        <f aca="false">YEAR(BF4)</f>
        <v>2030</v>
      </c>
      <c r="BG6" s="64" t="n">
        <f aca="false">YEAR(BG4)</f>
        <v>2030</v>
      </c>
      <c r="BH6" s="64" t="n">
        <f aca="false">YEAR(BH4)</f>
        <v>2030</v>
      </c>
      <c r="BI6" s="64" t="n">
        <f aca="false">YEAR(BI4)</f>
        <v>2030</v>
      </c>
    </row>
    <row r="7" customFormat="false" ht="15" hidden="false" customHeight="false" outlineLevel="0" collapsed="false">
      <c r="A7" s="65" t="s">
        <v>194</v>
      </c>
      <c r="B7" s="66" t="n">
        <f aca="false">MATCH(B6,Premissas!$C$5:$G$5,0)</f>
        <v>1</v>
      </c>
      <c r="C7" s="66" t="n">
        <f aca="false">MATCH(C6,Premissas!$C$5:$G$5,0)</f>
        <v>1</v>
      </c>
      <c r="D7" s="66" t="n">
        <f aca="false">MATCH(D6,Premissas!$C$5:$G$5,0)</f>
        <v>1</v>
      </c>
      <c r="E7" s="66" t="n">
        <f aca="false">MATCH(E6,Premissas!$C$5:$G$5,0)</f>
        <v>1</v>
      </c>
      <c r="F7" s="66" t="n">
        <f aca="false">MATCH(F6,Premissas!$C$5:$G$5,0)</f>
        <v>1</v>
      </c>
      <c r="G7" s="66" t="n">
        <f aca="false">MATCH(G6,Premissas!$C$5:$G$5,0)</f>
        <v>1</v>
      </c>
      <c r="H7" s="66" t="n">
        <f aca="false">MATCH(H6,Premissas!$C$5:$G$5,0)</f>
        <v>1</v>
      </c>
      <c r="I7" s="66" t="n">
        <f aca="false">MATCH(I6,Premissas!$C$5:$G$5,0)</f>
        <v>1</v>
      </c>
      <c r="J7" s="66" t="n">
        <f aca="false">MATCH(J6,Premissas!$C$5:$G$5,0)</f>
        <v>1</v>
      </c>
      <c r="K7" s="66" t="n">
        <f aca="false">MATCH(K6,Premissas!$C$5:$G$5,0)</f>
        <v>1</v>
      </c>
      <c r="L7" s="66" t="n">
        <f aca="false">MATCH(L6,Premissas!$C$5:$G$5,0)</f>
        <v>1</v>
      </c>
      <c r="M7" s="66" t="n">
        <f aca="false">MATCH(M6,Premissas!$C$5:$G$5,0)</f>
        <v>1</v>
      </c>
      <c r="N7" s="66" t="n">
        <f aca="false">MATCH(N6,Premissas!$C$5:$G$5,0)</f>
        <v>2</v>
      </c>
      <c r="O7" s="66" t="n">
        <f aca="false">MATCH(O6,Premissas!$C$5:$G$5,0)</f>
        <v>2</v>
      </c>
      <c r="P7" s="66" t="n">
        <f aca="false">MATCH(P6,Premissas!$C$5:$G$5,0)</f>
        <v>2</v>
      </c>
      <c r="Q7" s="66" t="n">
        <f aca="false">MATCH(Q6,Premissas!$C$5:$G$5,0)</f>
        <v>2</v>
      </c>
      <c r="R7" s="66" t="n">
        <f aca="false">MATCH(R6,Premissas!$C$5:$G$5,0)</f>
        <v>2</v>
      </c>
      <c r="S7" s="66" t="n">
        <f aca="false">MATCH(S6,Premissas!$C$5:$G$5,0)</f>
        <v>2</v>
      </c>
      <c r="T7" s="66" t="n">
        <f aca="false">MATCH(T6,Premissas!$C$5:$G$5,0)</f>
        <v>2</v>
      </c>
      <c r="U7" s="66" t="n">
        <f aca="false">MATCH(U6,Premissas!$C$5:$G$5,0)</f>
        <v>2</v>
      </c>
      <c r="V7" s="66" t="n">
        <f aca="false">MATCH(V6,Premissas!$C$5:$G$5,0)</f>
        <v>2</v>
      </c>
      <c r="W7" s="66" t="n">
        <f aca="false">MATCH(W6,Premissas!$C$5:$G$5,0)</f>
        <v>2</v>
      </c>
      <c r="X7" s="66" t="n">
        <f aca="false">MATCH(X6,Premissas!$C$5:$G$5,0)</f>
        <v>2</v>
      </c>
      <c r="Y7" s="66" t="n">
        <f aca="false">MATCH(Y6,Premissas!$C$5:$G$5,0)</f>
        <v>2</v>
      </c>
      <c r="Z7" s="66" t="n">
        <f aca="false">MATCH(Z6,Premissas!$C$5:$G$5,0)</f>
        <v>3</v>
      </c>
      <c r="AA7" s="66" t="n">
        <f aca="false">MATCH(AA6,Premissas!$C$5:$G$5,0)</f>
        <v>3</v>
      </c>
      <c r="AB7" s="66" t="n">
        <f aca="false">MATCH(AB6,Premissas!$C$5:$G$5,0)</f>
        <v>3</v>
      </c>
      <c r="AC7" s="66" t="n">
        <f aca="false">MATCH(AC6,Premissas!$C$5:$G$5,0)</f>
        <v>3</v>
      </c>
      <c r="AD7" s="66" t="n">
        <f aca="false">MATCH(AD6,Premissas!$C$5:$G$5,0)</f>
        <v>3</v>
      </c>
      <c r="AE7" s="66" t="n">
        <f aca="false">MATCH(AE6,Premissas!$C$5:$G$5,0)</f>
        <v>3</v>
      </c>
      <c r="AF7" s="66" t="n">
        <f aca="false">MATCH(AF6,Premissas!$C$5:$G$5,0)</f>
        <v>3</v>
      </c>
      <c r="AG7" s="66" t="n">
        <f aca="false">MATCH(AG6,Premissas!$C$5:$G$5,0)</f>
        <v>3</v>
      </c>
      <c r="AH7" s="66" t="n">
        <f aca="false">MATCH(AH6,Premissas!$C$5:$G$5,0)</f>
        <v>3</v>
      </c>
      <c r="AI7" s="66" t="n">
        <f aca="false">MATCH(AI6,Premissas!$C$5:$G$5,0)</f>
        <v>3</v>
      </c>
      <c r="AJ7" s="66" t="n">
        <f aca="false">MATCH(AJ6,Premissas!$C$5:$G$5,0)</f>
        <v>3</v>
      </c>
      <c r="AK7" s="66" t="n">
        <f aca="false">MATCH(AK6,Premissas!$C$5:$G$5,0)</f>
        <v>3</v>
      </c>
      <c r="AL7" s="66" t="n">
        <f aca="false">MATCH(AL6,Premissas!$C$5:$G$5,0)</f>
        <v>4</v>
      </c>
      <c r="AM7" s="66" t="n">
        <f aca="false">MATCH(AM6,Premissas!$C$5:$G$5,0)</f>
        <v>4</v>
      </c>
      <c r="AN7" s="66" t="n">
        <f aca="false">MATCH(AN6,Premissas!$C$5:$G$5,0)</f>
        <v>4</v>
      </c>
      <c r="AO7" s="66" t="n">
        <f aca="false">MATCH(AO6,Premissas!$C$5:$G$5,0)</f>
        <v>4</v>
      </c>
      <c r="AP7" s="66" t="n">
        <f aca="false">MATCH(AP6,Premissas!$C$5:$G$5,0)</f>
        <v>4</v>
      </c>
      <c r="AQ7" s="66" t="n">
        <f aca="false">MATCH(AQ6,Premissas!$C$5:$G$5,0)</f>
        <v>4</v>
      </c>
      <c r="AR7" s="66" t="n">
        <f aca="false">MATCH(AR6,Premissas!$C$5:$G$5,0)</f>
        <v>4</v>
      </c>
      <c r="AS7" s="66" t="n">
        <f aca="false">MATCH(AS6,Premissas!$C$5:$G$5,0)</f>
        <v>4</v>
      </c>
      <c r="AT7" s="66" t="n">
        <f aca="false">MATCH(AT6,Premissas!$C$5:$G$5,0)</f>
        <v>4</v>
      </c>
      <c r="AU7" s="66" t="n">
        <f aca="false">MATCH(AU6,Premissas!$C$5:$G$5,0)</f>
        <v>4</v>
      </c>
      <c r="AV7" s="66" t="n">
        <f aca="false">MATCH(AV6,Premissas!$C$5:$G$5,0)</f>
        <v>4</v>
      </c>
      <c r="AW7" s="66" t="n">
        <f aca="false">MATCH(AW6,Premissas!$C$5:$G$5,0)</f>
        <v>4</v>
      </c>
      <c r="AX7" s="66" t="n">
        <f aca="false">MATCH(AX6,Premissas!$C$5:$G$5,0)</f>
        <v>5</v>
      </c>
      <c r="AY7" s="66" t="n">
        <f aca="false">MATCH(AY6,Premissas!$C$5:$G$5,0)</f>
        <v>5</v>
      </c>
      <c r="AZ7" s="66" t="n">
        <f aca="false">MATCH(AZ6,Premissas!$C$5:$G$5,0)</f>
        <v>5</v>
      </c>
      <c r="BA7" s="66" t="n">
        <f aca="false">MATCH(BA6,Premissas!$C$5:$G$5,0)</f>
        <v>5</v>
      </c>
      <c r="BB7" s="66" t="n">
        <f aca="false">MATCH(BB6,Premissas!$C$5:$G$5,0)</f>
        <v>5</v>
      </c>
      <c r="BC7" s="66" t="n">
        <f aca="false">MATCH(BC6,Premissas!$C$5:$G$5,0)</f>
        <v>5</v>
      </c>
      <c r="BD7" s="66" t="n">
        <f aca="false">MATCH(BD6,Premissas!$C$5:$G$5,0)</f>
        <v>5</v>
      </c>
      <c r="BE7" s="66" t="n">
        <f aca="false">MATCH(BE6,Premissas!$C$5:$G$5,0)</f>
        <v>5</v>
      </c>
      <c r="BF7" s="66" t="n">
        <f aca="false">MATCH(BF6,Premissas!$C$5:$G$5,0)</f>
        <v>5</v>
      </c>
      <c r="BG7" s="66" t="n">
        <f aca="false">MATCH(BG6,Premissas!$C$5:$G$5,0)</f>
        <v>5</v>
      </c>
      <c r="BH7" s="66" t="n">
        <f aca="false">MATCH(BH6,Premissas!$C$5:$G$5,0)</f>
        <v>5</v>
      </c>
      <c r="BI7" s="66" t="n">
        <f aca="false">MATCH(BI6,Premissas!$C$5:$G$5,0)</f>
        <v>5</v>
      </c>
    </row>
    <row r="8" customFormat="false" ht="18" hidden="false" customHeight="true" outlineLevel="0" collapsed="false">
      <c r="A8" s="10" t="s">
        <v>235</v>
      </c>
      <c r="B8" s="11"/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  <c r="AO8" s="11"/>
      <c r="AP8" s="11"/>
      <c r="AQ8" s="11"/>
      <c r="AR8" s="11"/>
      <c r="AS8" s="11"/>
      <c r="AT8" s="11"/>
      <c r="AU8" s="11"/>
      <c r="AV8" s="11"/>
      <c r="AW8" s="11"/>
      <c r="AX8" s="11"/>
      <c r="AY8" s="11"/>
      <c r="AZ8" s="11"/>
      <c r="BA8" s="11"/>
      <c r="BB8" s="11"/>
      <c r="BC8" s="11"/>
      <c r="BD8" s="11"/>
      <c r="BE8" s="11"/>
      <c r="BF8" s="11"/>
      <c r="BG8" s="11"/>
      <c r="BH8" s="11"/>
      <c r="BI8" s="11"/>
      <c r="BJ8" s="11"/>
      <c r="BK8" s="11"/>
    </row>
    <row r="9" customFormat="false" ht="15" hidden="false" customHeight="false" outlineLevel="0" collapsed="false">
      <c r="A9" s="12" t="s">
        <v>196</v>
      </c>
      <c r="B9" s="68" t="n">
        <f aca="false">CHOOSE(Premissas!$B$6,Cenários!B19,Cenários!B63,Cenários!B107)</f>
        <v>0</v>
      </c>
      <c r="C9" s="68" t="n">
        <f aca="false">CHOOSE(Premissas!$B$6,Cenários!C19,Cenários!C63,Cenários!C107)</f>
        <v>0</v>
      </c>
      <c r="D9" s="68" t="n">
        <f aca="false">CHOOSE(Premissas!$B$6,Cenários!D19,Cenários!D63,Cenários!D107)</f>
        <v>0</v>
      </c>
      <c r="E9" s="68" t="n">
        <f aca="false">CHOOSE(Premissas!$B$6,Cenários!E19,Cenários!E63,Cenários!E107)</f>
        <v>0</v>
      </c>
      <c r="F9" s="68" t="n">
        <f aca="false">CHOOSE(Premissas!$B$6,Cenários!F19,Cenários!F63,Cenários!F107)</f>
        <v>0</v>
      </c>
      <c r="G9" s="68" t="n">
        <f aca="false">CHOOSE(Premissas!$B$6,Cenários!G19,Cenários!G63,Cenários!G107)</f>
        <v>0</v>
      </c>
      <c r="H9" s="68" t="n">
        <f aca="false">CHOOSE(Premissas!$B$6,Cenários!H19,Cenários!H63,Cenários!H107)</f>
        <v>0</v>
      </c>
      <c r="I9" s="68" t="n">
        <f aca="false">CHOOSE(Premissas!$B$6,Cenários!I19,Cenários!I63,Cenários!I107)</f>
        <v>0</v>
      </c>
      <c r="J9" s="68" t="n">
        <f aca="false">CHOOSE(Premissas!$B$6,Cenários!J19,Cenários!J63,Cenários!J107)</f>
        <v>0</v>
      </c>
      <c r="K9" s="68" t="n">
        <f aca="false">CHOOSE(Premissas!$B$6,Cenários!K19,Cenários!K63,Cenários!K107)</f>
        <v>13512.1</v>
      </c>
      <c r="L9" s="68" t="n">
        <f aca="false">CHOOSE(Premissas!$B$6,Cenários!L19,Cenários!L63,Cenários!L107)</f>
        <v>25949.6</v>
      </c>
      <c r="M9" s="68" t="n">
        <f aca="false">CHOOSE(Premissas!$B$6,Cenários!M19,Cenários!M63,Cenários!M107)</f>
        <v>37372.2</v>
      </c>
      <c r="N9" s="68" t="n">
        <f aca="false">CHOOSE(Premissas!$B$6,Cenários!N19,Cenários!N63,Cenários!N107)</f>
        <v>56251.8275</v>
      </c>
      <c r="O9" s="68" t="n">
        <f aca="false">CHOOSE(Premissas!$B$6,Cenários!O19,Cenários!O63,Cenários!O107)</f>
        <v>70164.017</v>
      </c>
      <c r="P9" s="68" t="n">
        <f aca="false">CHOOSE(Premissas!$B$6,Cenários!P19,Cenários!P63,Cenários!P107)</f>
        <v>83015.636</v>
      </c>
      <c r="Q9" s="68" t="n">
        <f aca="false">CHOOSE(Premissas!$B$6,Cenários!Q19,Cenários!Q63,Cenários!Q107)</f>
        <v>94889.8665</v>
      </c>
      <c r="R9" s="68" t="n">
        <f aca="false">CHOOSE(Premissas!$B$6,Cenários!R19,Cenários!R63,Cenários!R107)</f>
        <v>105911.4815</v>
      </c>
      <c r="S9" s="68" t="n">
        <f aca="false">CHOOSE(Premissas!$B$6,Cenários!S19,Cenários!S63,Cenários!S107)</f>
        <v>116080.481</v>
      </c>
      <c r="T9" s="68" t="n">
        <f aca="false">CHOOSE(Premissas!$B$6,Cenários!T19,Cenários!T63,Cenários!T107)</f>
        <v>125480.047</v>
      </c>
      <c r="U9" s="68" t="n">
        <f aca="false">CHOOSE(Premissas!$B$6,Cenários!U19,Cenários!U63,Cenários!U107)</f>
        <v>134193.3615</v>
      </c>
      <c r="V9" s="68" t="n">
        <f aca="false">CHOOSE(Premissas!$B$6,Cenários!V19,Cenários!V63,Cenários!V107)</f>
        <v>142241.22</v>
      </c>
      <c r="W9" s="68" t="n">
        <f aca="false">CHOOSE(Premissas!$B$6,Cenários!W19,Cenários!W63,Cenários!W107)</f>
        <v>149706.8045</v>
      </c>
      <c r="X9" s="68" t="n">
        <f aca="false">CHOOSE(Premissas!$B$6,Cenários!X19,Cenários!X63,Cenários!X107)</f>
        <v>156590.115</v>
      </c>
      <c r="Y9" s="68" t="n">
        <f aca="false">CHOOSE(Premissas!$B$6,Cenários!Y19,Cenários!Y63,Cenários!Y107)</f>
        <v>162953.538</v>
      </c>
      <c r="Z9" s="68" t="n">
        <f aca="false">CHOOSE(Premissas!$B$6,Cenários!Z19,Cenários!Z63,Cenários!Z107)</f>
        <v>203078.9751375</v>
      </c>
      <c r="AA9" s="68" t="n">
        <f aca="false">CHOOSE(Premissas!$B$6,Cenários!AA19,Cenários!AA63,Cenários!AA107)</f>
        <v>228743.637485</v>
      </c>
      <c r="AB9" s="68" t="n">
        <f aca="false">CHOOSE(Premissas!$B$6,Cenários!AB19,Cenários!AB63,Cenários!AB107)</f>
        <v>252626.3334375</v>
      </c>
      <c r="AC9" s="68" t="n">
        <f aca="false">CHOOSE(Premissas!$B$6,Cenários!AC19,Cenários!AC63,Cenários!AC107)</f>
        <v>274857.45078</v>
      </c>
      <c r="AD9" s="68" t="n">
        <f aca="false">CHOOSE(Premissas!$B$6,Cenários!AD19,Cenários!AD63,Cenários!AD107)</f>
        <v>295523.9147025</v>
      </c>
      <c r="AE9" s="68" t="n">
        <f aca="false">CHOOSE(Premissas!$B$6,Cenários!AE19,Cenários!AE63,Cenários!AE107)</f>
        <v>314734.3816925</v>
      </c>
      <c r="AF9" s="68" t="n">
        <f aca="false">CHOOSE(Premissas!$B$6,Cenários!AF19,Cenários!AF63,Cenários!AF107)</f>
        <v>332597.5082375</v>
      </c>
      <c r="AG9" s="68" t="n">
        <f aca="false">CHOOSE(Premissas!$B$6,Cenários!AG19,Cenários!AG63,Cenários!AG107)</f>
        <v>349200.2195275</v>
      </c>
      <c r="AH9" s="68" t="n">
        <f aca="false">CHOOSE(Premissas!$B$6,Cenários!AH19,Cenários!AH63,Cenários!AH107)</f>
        <v>364651.17205</v>
      </c>
      <c r="AI9" s="68" t="n">
        <f aca="false">CHOOSE(Premissas!$B$6,Cenários!AI19,Cenários!AI63,Cenários!AI107)</f>
        <v>379037.290995</v>
      </c>
      <c r="AJ9" s="68" t="n">
        <f aca="false">CHOOSE(Premissas!$B$6,Cenários!AJ19,Cenários!AJ63,Cenários!AJ107)</f>
        <v>392402.0389575</v>
      </c>
      <c r="AK9" s="68" t="n">
        <f aca="false">CHOOSE(Premissas!$B$6,Cenários!AK19,Cenários!AK63,Cenários!AK107)</f>
        <v>404832.3411275</v>
      </c>
      <c r="AL9" s="68" t="n">
        <f aca="false">CHOOSE(Premissas!$B$6,Cenários!AL19,Cenários!AL63,Cenários!AL107)</f>
        <v>469421.994900512</v>
      </c>
      <c r="AM9" s="68" t="n">
        <f aca="false">CHOOSE(Premissas!$B$6,Cenários!AM19,Cenários!AM63,Cenários!AM107)</f>
        <v>505052.738938</v>
      </c>
      <c r="AN9" s="68" t="n">
        <f aca="false">CHOOSE(Premissas!$B$6,Cenários!AN19,Cenários!AN63,Cenários!AN107)</f>
        <v>538344.434769075</v>
      </c>
      <c r="AO9" s="68" t="n">
        <f aca="false">CHOOSE(Premissas!$B$6,Cenários!AO19,Cenários!AO63,Cenários!AO107)</f>
        <v>569501.465246725</v>
      </c>
      <c r="AP9" s="68" t="n">
        <f aca="false">CHOOSE(Premissas!$B$6,Cenários!AP19,Cenários!AP63,Cenários!AP107)</f>
        <v>598614.6671945</v>
      </c>
      <c r="AQ9" s="68" t="n">
        <f aca="false">CHOOSE(Premissas!$B$6,Cenários!AQ19,Cenários!AQ63,Cenários!AQ107)</f>
        <v>625820.295847725</v>
      </c>
      <c r="AR9" s="68" t="n">
        <f aca="false">CHOOSE(Premissas!$B$6,Cenários!AR19,Cenários!AR63,Cenários!AR107)</f>
        <v>651277.315647612</v>
      </c>
      <c r="AS9" s="68" t="n">
        <f aca="false">CHOOSE(Premissas!$B$6,Cenários!AS19,Cenários!AS63,Cenários!AS107)</f>
        <v>675076.563417712</v>
      </c>
      <c r="AT9" s="68" t="n">
        <f aca="false">CHOOSE(Premissas!$B$6,Cenários!AT19,Cenários!AT63,Cenários!AT107)</f>
        <v>697331.585187462</v>
      </c>
      <c r="AU9" s="68" t="n">
        <f aca="false">CHOOSE(Premissas!$B$6,Cenários!AU19,Cenários!AU63,Cenários!AU107)</f>
        <v>718110.508574525</v>
      </c>
      <c r="AV9" s="68" t="n">
        <f aca="false">CHOOSE(Premissas!$B$6,Cenários!AV19,Cenários!AV63,Cenários!AV107)</f>
        <v>737572.298020112</v>
      </c>
      <c r="AW9" s="68" t="n">
        <f aca="false">CHOOSE(Premissas!$B$6,Cenários!AW19,Cenários!AW63,Cenários!AW107)</f>
        <v>755762.371936</v>
      </c>
      <c r="AX9" s="68" t="n">
        <f aca="false">CHOOSE(Premissas!$B$6,Cenários!AX19,Cenários!AX63,Cenários!AX107)</f>
        <v>844210.868302811</v>
      </c>
      <c r="AY9" s="68" t="n">
        <f aca="false">CHOOSE(Premissas!$B$6,Cenários!AY19,Cenários!AY63,Cenários!AY107)</f>
        <v>888232.096185583</v>
      </c>
      <c r="AZ9" s="68" t="n">
        <f aca="false">CHOOSE(Premissas!$B$6,Cenários!AZ19,Cenários!AZ63,Cenários!AZ107)</f>
        <v>929642.900851586</v>
      </c>
      <c r="BA9" s="68" t="n">
        <f aca="false">CHOOSE(Premissas!$B$6,Cenários!BA19,Cenários!BA63,Cenários!BA107)</f>
        <v>968538.206781431</v>
      </c>
      <c r="BB9" s="68" t="n">
        <f aca="false">CHOOSE(Premissas!$B$6,Cenários!BB19,Cenários!BB63,Cenários!BB107)</f>
        <v>1005131.59405649</v>
      </c>
      <c r="BC9" s="68" t="n">
        <f aca="false">CHOOSE(Premissas!$B$6,Cenários!BC19,Cenários!BC63,Cenários!BC107)</f>
        <v>1039494.25603722</v>
      </c>
      <c r="BD9" s="68" t="n">
        <f aca="false">CHOOSE(Premissas!$B$6,Cenários!BD19,Cenários!BD63,Cenários!BD107)</f>
        <v>1071816.04168484</v>
      </c>
      <c r="BE9" s="68" t="n">
        <f aca="false">CHOOSE(Premissas!$B$6,Cenários!BE19,Cenários!BE63,Cenários!BE107)</f>
        <v>1102191.87547996</v>
      </c>
      <c r="BF9" s="68" t="n">
        <f aca="false">CHOOSE(Premissas!$B$6,Cenários!BF19,Cenários!BF63,Cenários!BF107)</f>
        <v>1130740.41302334</v>
      </c>
      <c r="BG9" s="68" t="n">
        <f aca="false">CHOOSE(Premissas!$B$6,Cenários!BG19,Cenários!BG63,Cenários!BG107)</f>
        <v>1157580.30991575</v>
      </c>
      <c r="BH9" s="68" t="n">
        <f aca="false">CHOOSE(Premissas!$B$6,Cenários!BH19,Cenários!BH63,Cenários!BH107)</f>
        <v>1182830.22175794</v>
      </c>
      <c r="BI9" s="68" t="n">
        <f aca="false">CHOOSE(Premissas!$B$6,Cenários!BI19,Cenários!BI63,Cenários!BI107)</f>
        <v>1206537.61079023</v>
      </c>
      <c r="BJ9" s="69" t="n">
        <f aca="false">SUM(B9:BI9)</f>
        <v>25335430.1941771</v>
      </c>
      <c r="BK9" s="70" t="n">
        <f aca="false">IFERROR(BJ9/BJ$14,0)</f>
        <v>0.374611357017381</v>
      </c>
    </row>
    <row r="10" customFormat="false" ht="15" hidden="false" customHeight="false" outlineLevel="0" collapsed="false">
      <c r="A10" s="12" t="s">
        <v>197</v>
      </c>
      <c r="B10" s="68" t="n">
        <f aca="false">CHOOSE(Premissas!$B$6,Cenários!B20,Cenários!B64,Cenários!B108)</f>
        <v>0</v>
      </c>
      <c r="C10" s="68" t="n">
        <f aca="false">CHOOSE(Premissas!$B$6,Cenários!C20,Cenários!C64,Cenários!C108)</f>
        <v>0</v>
      </c>
      <c r="D10" s="68" t="n">
        <f aca="false">CHOOSE(Premissas!$B$6,Cenários!D20,Cenários!D64,Cenários!D108)</f>
        <v>0</v>
      </c>
      <c r="E10" s="68" t="n">
        <f aca="false">CHOOSE(Premissas!$B$6,Cenários!E20,Cenários!E64,Cenários!E108)</f>
        <v>0</v>
      </c>
      <c r="F10" s="68" t="n">
        <f aca="false">CHOOSE(Premissas!$B$6,Cenários!F20,Cenários!F64,Cenários!F108)</f>
        <v>0</v>
      </c>
      <c r="G10" s="68" t="n">
        <f aca="false">CHOOSE(Premissas!$B$6,Cenários!G20,Cenários!G64,Cenários!G108)</f>
        <v>0</v>
      </c>
      <c r="H10" s="68" t="n">
        <f aca="false">CHOOSE(Premissas!$B$6,Cenários!H20,Cenários!H64,Cenários!H108)</f>
        <v>0</v>
      </c>
      <c r="I10" s="68" t="n">
        <f aca="false">CHOOSE(Premissas!$B$6,Cenários!I20,Cenários!I64,Cenários!I108)</f>
        <v>0</v>
      </c>
      <c r="J10" s="68" t="n">
        <f aca="false">CHOOSE(Premissas!$B$6,Cenários!J20,Cenários!J64,Cenários!J108)</f>
        <v>0</v>
      </c>
      <c r="K10" s="68" t="n">
        <f aca="false">CHOOSE(Premissas!$B$6,Cenários!K20,Cenários!K64,Cenários!K108)</f>
        <v>7221.9</v>
      </c>
      <c r="L10" s="68" t="n">
        <f aca="false">CHOOSE(Premissas!$B$6,Cenários!L20,Cenários!L64,Cenários!L108)</f>
        <v>13885.2</v>
      </c>
      <c r="M10" s="68" t="n">
        <f aca="false">CHOOSE(Premissas!$B$6,Cenários!M20,Cenários!M64,Cenários!M108)</f>
        <v>19989.9</v>
      </c>
      <c r="N10" s="68" t="n">
        <f aca="false">CHOOSE(Premissas!$B$6,Cenários!N20,Cenários!N64,Cenários!N108)</f>
        <v>34482.1785</v>
      </c>
      <c r="O10" s="68" t="n">
        <f aca="false">CHOOSE(Premissas!$B$6,Cenários!O20,Cenários!O64,Cenários!O108)</f>
        <v>42988.0605</v>
      </c>
      <c r="P10" s="68" t="n">
        <f aca="false">CHOOSE(Premissas!$B$6,Cenários!P20,Cenários!P64,Cenários!P108)</f>
        <v>50868.51</v>
      </c>
      <c r="Q10" s="68" t="n">
        <f aca="false">CHOOSE(Premissas!$B$6,Cenários!Q20,Cenários!Q64,Cenários!Q108)</f>
        <v>58123.527</v>
      </c>
      <c r="R10" s="68" t="n">
        <f aca="false">CHOOSE(Premissas!$B$6,Cenários!R20,Cenários!R64,Cenários!R108)</f>
        <v>64878.198</v>
      </c>
      <c r="S10" s="68" t="n">
        <f aca="false">CHOOSE(Premissas!$B$6,Cenários!S20,Cenários!S64,Cenários!S108)</f>
        <v>71132.523</v>
      </c>
      <c r="T10" s="68" t="n">
        <f aca="false">CHOOSE(Premissas!$B$6,Cenários!T20,Cenários!T64,Cenários!T108)</f>
        <v>76886.502</v>
      </c>
      <c r="U10" s="68" t="n">
        <f aca="false">CHOOSE(Premissas!$B$6,Cenários!U20,Cenários!U64,Cenários!U108)</f>
        <v>82223.526</v>
      </c>
      <c r="V10" s="68" t="n">
        <f aca="false">CHOOSE(Premissas!$B$6,Cenários!V20,Cenários!V64,Cenários!V108)</f>
        <v>87143.595</v>
      </c>
      <c r="W10" s="68" t="n">
        <f aca="false">CHOOSE(Premissas!$B$6,Cenários!W20,Cenários!W64,Cenários!W108)</f>
        <v>91730.1</v>
      </c>
      <c r="X10" s="68" t="n">
        <f aca="false">CHOOSE(Premissas!$B$6,Cenários!X20,Cenários!X64,Cenários!X108)</f>
        <v>95941.3455</v>
      </c>
      <c r="Y10" s="68" t="n">
        <f aca="false">CHOOSE(Premissas!$B$6,Cenários!Y20,Cenários!Y64,Cenários!Y108)</f>
        <v>99819.027</v>
      </c>
      <c r="Z10" s="68" t="n">
        <f aca="false">CHOOSE(Premissas!$B$6,Cenários!Z20,Cenários!Z64,Cenários!Z108)</f>
        <v>143699.788155</v>
      </c>
      <c r="AA10" s="68" t="n">
        <f aca="false">CHOOSE(Premissas!$B$6,Cenários!AA20,Cenários!AA64,Cenários!AA108)</f>
        <v>161869.2277125</v>
      </c>
      <c r="AB10" s="68" t="n">
        <f aca="false">CHOOSE(Premissas!$B$6,Cenários!AB20,Cenários!AB64,Cenários!AB108)</f>
        <v>178775.0851425</v>
      </c>
      <c r="AC10" s="68" t="n">
        <f aca="false">CHOOSE(Premissas!$B$6,Cenários!AC20,Cenários!AC64,Cenários!AC108)</f>
        <v>194504.50404</v>
      </c>
      <c r="AD10" s="68" t="n">
        <f aca="false">CHOOSE(Premissas!$B$6,Cenários!AD20,Cenários!AD64,Cenários!AD108)</f>
        <v>209144.628</v>
      </c>
      <c r="AE10" s="68" t="n">
        <f aca="false">CHOOSE(Premissas!$B$6,Cenários!AE20,Cenários!AE64,Cenários!AE108)</f>
        <v>222739.02882</v>
      </c>
      <c r="AF10" s="68" t="n">
        <f aca="false">CHOOSE(Premissas!$B$6,Cenários!AF20,Cenários!AF64,Cenários!AF108)</f>
        <v>235374.850095</v>
      </c>
      <c r="AG10" s="68" t="n">
        <f aca="false">CHOOSE(Premissas!$B$6,Cenários!AG20,Cenários!AG64,Cenários!AG108)</f>
        <v>247095.6636225</v>
      </c>
      <c r="AH10" s="68" t="n">
        <f aca="false">CHOOSE(Premissas!$B$6,Cenários!AH20,Cenários!AH64,Cenários!AH108)</f>
        <v>258032.184795</v>
      </c>
      <c r="AI10" s="68" t="n">
        <f aca="false">CHOOSE(Premissas!$B$6,Cenários!AI20,Cenários!AI64,Cenários!AI108)</f>
        <v>268227.98541</v>
      </c>
      <c r="AJ10" s="68" t="n">
        <f aca="false">CHOOSE(Premissas!$B$6,Cenários!AJ20,Cenários!AJ64,Cenários!AJ108)</f>
        <v>277683.0654675</v>
      </c>
      <c r="AK10" s="68" t="n">
        <f aca="false">CHOOSE(Premissas!$B$6,Cenários!AK20,Cenários!AK64,Cenários!AK108)</f>
        <v>286484.5685625</v>
      </c>
      <c r="AL10" s="68" t="n">
        <f aca="false">CHOOSE(Premissas!$B$6,Cenários!AL20,Cenários!AL64,Cenários!AL108)</f>
        <v>382382.173398225</v>
      </c>
      <c r="AM10" s="68" t="n">
        <f aca="false">CHOOSE(Premissas!$B$6,Cenários!AM20,Cenários!AM64,Cenários!AM108)</f>
        <v>411386.393981062</v>
      </c>
      <c r="AN10" s="68" t="n">
        <f aca="false">CHOOSE(Premissas!$B$6,Cenários!AN20,Cenários!AN64,Cenários!AN108)</f>
        <v>438523.780900012</v>
      </c>
      <c r="AO10" s="68" t="n">
        <f aca="false">CHOOSE(Premissas!$B$6,Cenários!AO20,Cenários!AO64,Cenários!AO108)</f>
        <v>463885.39921185</v>
      </c>
      <c r="AP10" s="68" t="n">
        <f aca="false">CHOOSE(Premissas!$B$6,Cenários!AP20,Cenários!AP64,Cenários!AP108)</f>
        <v>487607.846501737</v>
      </c>
      <c r="AQ10" s="68" t="n">
        <f aca="false">CHOOSE(Premissas!$B$6,Cenários!AQ20,Cenários!AQ64,Cenários!AQ108)</f>
        <v>509736.655298062</v>
      </c>
      <c r="AR10" s="68" t="n">
        <f aca="false">CHOOSE(Premissas!$B$6,Cenários!AR20,Cenários!AR64,Cenários!AR108)</f>
        <v>530499.488242762</v>
      </c>
      <c r="AS10" s="68" t="n">
        <f aca="false">CHOOSE(Premissas!$B$6,Cenários!AS20,Cenários!AS64,Cenários!AS108)</f>
        <v>549850.81280745</v>
      </c>
      <c r="AT10" s="68" t="n">
        <f aca="false">CHOOSE(Premissas!$B$6,Cenários!AT20,Cenários!AT64,Cenários!AT108)</f>
        <v>568018.291634062</v>
      </c>
      <c r="AU10" s="68" t="n">
        <f aca="false">CHOOSE(Premissas!$B$6,Cenários!AU20,Cenários!AU64,Cenários!AU108)</f>
        <v>584956.392194212</v>
      </c>
      <c r="AV10" s="68" t="n">
        <f aca="false">CHOOSE(Premissas!$B$6,Cenários!AV20,Cenários!AV64,Cenários!AV108)</f>
        <v>600801.712073062</v>
      </c>
      <c r="AW10" s="68" t="n">
        <f aca="false">CHOOSE(Premissas!$B$6,Cenários!AW20,Cenários!AW64,Cenários!AW108)</f>
        <v>615599.783799</v>
      </c>
      <c r="AX10" s="68" t="n">
        <f aca="false">CHOOSE(Premissas!$B$6,Cenários!AX20,Cenários!AX64,Cenários!AX108)</f>
        <v>789900.351430127</v>
      </c>
      <c r="AY10" s="68" t="n">
        <f aca="false">CHOOSE(Premissas!$B$6,Cenários!AY20,Cenários!AY64,Cenários!AY108)</f>
        <v>831105.923644963</v>
      </c>
      <c r="AZ10" s="68" t="n">
        <f aca="false">CHOOSE(Premissas!$B$6,Cenários!AZ20,Cenários!AZ64,Cenários!AZ108)</f>
        <v>869837.258267222</v>
      </c>
      <c r="BA10" s="68" t="n">
        <f aca="false">CHOOSE(Premissas!$B$6,Cenários!BA20,Cenários!BA64,Cenários!BA108)</f>
        <v>906237.099773399</v>
      </c>
      <c r="BB10" s="68" t="n">
        <f aca="false">CHOOSE(Premissas!$B$6,Cenários!BB20,Cenários!BB64,Cenários!BB108)</f>
        <v>940448.192639989</v>
      </c>
      <c r="BC10" s="68" t="n">
        <f aca="false">CHOOSE(Premissas!$B$6,Cenários!BC20,Cenários!BC64,Cenários!BC108)</f>
        <v>972613.281343487</v>
      </c>
      <c r="BD10" s="68" t="n">
        <f aca="false">CHOOSE(Premissas!$B$6,Cenários!BD20,Cenários!BD64,Cenários!BD108)</f>
        <v>1002875.11036039</v>
      </c>
      <c r="BE10" s="68" t="n">
        <f aca="false">CHOOSE(Premissas!$B$6,Cenários!BE20,Cenários!BE64,Cenários!BE108)</f>
        <v>1031328.84267502</v>
      </c>
      <c r="BF10" s="68" t="n">
        <f aca="false">CHOOSE(Premissas!$B$6,Cenários!BF20,Cenários!BF64,Cenários!BF108)</f>
        <v>1058022.05977955</v>
      </c>
      <c r="BG10" s="68" t="n">
        <f aca="false">CHOOSE(Premissas!$B$6,Cenários!BG20,Cenários!BG64,Cenários!BG108)</f>
        <v>1083145.08764264</v>
      </c>
      <c r="BH10" s="68" t="n">
        <f aca="false">CHOOSE(Premissas!$B$6,Cenários!BH20,Cenários!BH64,Cenários!BH108)</f>
        <v>1106745.50775645</v>
      </c>
      <c r="BI10" s="68" t="n">
        <f aca="false">CHOOSE(Premissas!$B$6,Cenários!BI20,Cenários!BI64,Cenários!BI108)</f>
        <v>1128918.48310531</v>
      </c>
      <c r="BJ10" s="69" t="n">
        <f aca="false">SUM(B10:BI10)</f>
        <v>21445370.6007825</v>
      </c>
      <c r="BK10" s="70" t="n">
        <f aca="false">IFERROR(BJ10/BJ$14,0)</f>
        <v>0.317092676971642</v>
      </c>
    </row>
    <row r="11" customFormat="false" ht="15" hidden="false" customHeight="false" outlineLevel="0" collapsed="false">
      <c r="A11" s="12" t="s">
        <v>198</v>
      </c>
      <c r="B11" s="68" t="n">
        <f aca="false">CHOOSE(Premissas!$B$6,Cenários!B21,Cenários!B65,Cenários!B109)</f>
        <v>0</v>
      </c>
      <c r="C11" s="68" t="n">
        <f aca="false">CHOOSE(Premissas!$B$6,Cenários!C21,Cenários!C65,Cenários!C109)</f>
        <v>0</v>
      </c>
      <c r="D11" s="68" t="n">
        <f aca="false">CHOOSE(Premissas!$B$6,Cenários!D21,Cenários!D65,Cenários!D109)</f>
        <v>0</v>
      </c>
      <c r="E11" s="68" t="n">
        <f aca="false">CHOOSE(Premissas!$B$6,Cenários!E21,Cenários!E65,Cenários!E109)</f>
        <v>0</v>
      </c>
      <c r="F11" s="68" t="n">
        <f aca="false">CHOOSE(Premissas!$B$6,Cenários!F21,Cenários!F65,Cenários!F109)</f>
        <v>0</v>
      </c>
      <c r="G11" s="68" t="n">
        <f aca="false">CHOOSE(Premissas!$B$6,Cenários!G21,Cenários!G65,Cenários!G109)</f>
        <v>0</v>
      </c>
      <c r="H11" s="68" t="n">
        <f aca="false">CHOOSE(Premissas!$B$6,Cenários!H21,Cenários!H65,Cenários!H109)</f>
        <v>0</v>
      </c>
      <c r="I11" s="68" t="n">
        <f aca="false">CHOOSE(Premissas!$B$6,Cenários!I21,Cenários!I65,Cenários!I109)</f>
        <v>0</v>
      </c>
      <c r="J11" s="68" t="n">
        <f aca="false">CHOOSE(Premissas!$B$6,Cenários!J21,Cenários!J65,Cenários!J109)</f>
        <v>0</v>
      </c>
      <c r="K11" s="68" t="n">
        <f aca="false">CHOOSE(Premissas!$B$6,Cenários!K21,Cenários!K65,Cenários!K109)</f>
        <v>3595.5</v>
      </c>
      <c r="L11" s="68" t="n">
        <f aca="false">CHOOSE(Premissas!$B$6,Cenários!L21,Cenários!L65,Cenários!L109)</f>
        <v>6871.4</v>
      </c>
      <c r="M11" s="68" t="n">
        <f aca="false">CHOOSE(Premissas!$B$6,Cenários!M21,Cenários!M65,Cenários!M109)</f>
        <v>9987.5</v>
      </c>
      <c r="N11" s="68" t="n">
        <f aca="false">CHOOSE(Premissas!$B$6,Cenários!N21,Cenários!N65,Cenários!N109)</f>
        <v>18786.4875</v>
      </c>
      <c r="O11" s="68" t="n">
        <f aca="false">CHOOSE(Premissas!$B$6,Cenários!O21,Cenários!O65,Cenários!O109)</f>
        <v>23462.2355</v>
      </c>
      <c r="P11" s="68" t="n">
        <f aca="false">CHOOSE(Premissas!$B$6,Cenários!P21,Cenários!P65,Cenários!P109)</f>
        <v>27720.506</v>
      </c>
      <c r="Q11" s="68" t="n">
        <f aca="false">CHOOSE(Premissas!$B$6,Cenários!Q21,Cenários!Q65,Cenários!Q109)</f>
        <v>31811.7855</v>
      </c>
      <c r="R11" s="68" t="n">
        <f aca="false">CHOOSE(Premissas!$B$6,Cenários!R21,Cenários!R65,Cenários!R109)</f>
        <v>35402.092</v>
      </c>
      <c r="S11" s="68" t="n">
        <f aca="false">CHOOSE(Premissas!$B$6,Cenários!S21,Cenários!S65,Cenários!S109)</f>
        <v>38825.4075</v>
      </c>
      <c r="T11" s="68" t="n">
        <f aca="false">CHOOSE(Premissas!$B$6,Cenários!T21,Cenários!T65,Cenários!T109)</f>
        <v>41998.2365</v>
      </c>
      <c r="U11" s="68" t="n">
        <f aca="false">CHOOSE(Premissas!$B$6,Cenários!U21,Cenários!U65,Cenários!U109)</f>
        <v>44837.0835</v>
      </c>
      <c r="V11" s="68" t="n">
        <f aca="false">CHOOSE(Premissas!$B$6,Cenários!V21,Cenários!V65,Cenários!V109)</f>
        <v>47592.435</v>
      </c>
      <c r="W11" s="68" t="n">
        <f aca="false">CHOOSE(Premissas!$B$6,Cenários!W21,Cenários!W65,Cenários!W109)</f>
        <v>50013.8045</v>
      </c>
      <c r="X11" s="68" t="n">
        <f aca="false">CHOOSE(Premissas!$B$6,Cenários!X21,Cenários!X65,Cenários!X109)</f>
        <v>52351.6785</v>
      </c>
      <c r="Y11" s="68" t="n">
        <f aca="false">CHOOSE(Premissas!$B$6,Cenários!Y21,Cenários!Y65,Cenários!Y109)</f>
        <v>54606.057</v>
      </c>
      <c r="Z11" s="68" t="n">
        <f aca="false">CHOOSE(Premissas!$B$6,Cenários!Z21,Cenários!Z65,Cenários!Z109)</f>
        <v>95890.8244525</v>
      </c>
      <c r="AA11" s="68" t="n">
        <f aca="false">CHOOSE(Premissas!$B$6,Cenários!AA21,Cenários!AA65,Cenários!AA109)</f>
        <v>108106.2161025</v>
      </c>
      <c r="AB11" s="68" t="n">
        <f aca="false">CHOOSE(Premissas!$B$6,Cenários!AB21,Cenários!AB65,Cenários!AB109)</f>
        <v>119361.82698</v>
      </c>
      <c r="AC11" s="68" t="n">
        <f aca="false">CHOOSE(Premissas!$B$6,Cenários!AC21,Cenários!AC65,Cenários!AC109)</f>
        <v>129832.16268</v>
      </c>
      <c r="AD11" s="68" t="n">
        <f aca="false">CHOOSE(Premissas!$B$6,Cenários!AD21,Cenários!AD65,Cenários!AD109)</f>
        <v>139517.2232025</v>
      </c>
      <c r="AE11" s="68" t="n">
        <f aca="false">CHOOSE(Premissas!$B$6,Cenários!AE21,Cenários!AE65,Cenários!AE109)</f>
        <v>148591.5141425</v>
      </c>
      <c r="AF11" s="68" t="n">
        <f aca="false">CHOOSE(Premissas!$B$6,Cenários!AF21,Cenários!AF65,Cenários!AF109)</f>
        <v>157055.0355</v>
      </c>
      <c r="AG11" s="68" t="n">
        <f aca="false">CHOOSE(Premissas!$B$6,Cenários!AG21,Cenários!AG65,Cenários!AG109)</f>
        <v>164995.0400725</v>
      </c>
      <c r="AH11" s="68" t="n">
        <f aca="false">CHOOSE(Premissas!$B$6,Cenários!AH21,Cenários!AH65,Cenários!AH109)</f>
        <v>172324.2750625</v>
      </c>
      <c r="AI11" s="68" t="n">
        <f aca="false">CHOOSE(Premissas!$B$6,Cenários!AI21,Cenários!AI65,Cenários!AI109)</f>
        <v>179042.74047</v>
      </c>
      <c r="AJ11" s="68" t="n">
        <f aca="false">CHOOSE(Premissas!$B$6,Cenários!AJ21,Cenários!AJ65,Cenários!AJ109)</f>
        <v>185324.94189</v>
      </c>
      <c r="AK11" s="68" t="n">
        <f aca="false">CHOOSE(Premissas!$B$6,Cenários!AK21,Cenários!AK65,Cenários!AK109)</f>
        <v>191258.13212</v>
      </c>
      <c r="AL11" s="68" t="n">
        <f aca="false">CHOOSE(Premissas!$B$6,Cenários!AL21,Cenários!AL65,Cenários!AL109)</f>
        <v>294508.730041625</v>
      </c>
      <c r="AM11" s="68" t="n">
        <f aca="false">CHOOSE(Premissas!$B$6,Cenários!AM21,Cenários!AM65,Cenários!AM109)</f>
        <v>316847.627521562</v>
      </c>
      <c r="AN11" s="68" t="n">
        <f aca="false">CHOOSE(Premissas!$B$6,Cenários!AN21,Cenários!AN65,Cenários!AN109)</f>
        <v>337727.6582273</v>
      </c>
      <c r="AO11" s="68" t="n">
        <f aca="false">CHOOSE(Premissas!$B$6,Cenários!AO21,Cenários!AO65,Cenários!AO109)</f>
        <v>357240.001332225</v>
      </c>
      <c r="AP11" s="68" t="n">
        <f aca="false">CHOOSE(Premissas!$B$6,Cenários!AP21,Cenários!AP65,Cenários!AP109)</f>
        <v>375475.836009725</v>
      </c>
      <c r="AQ11" s="68" t="n">
        <f aca="false">CHOOSE(Premissas!$B$6,Cenários!AQ21,Cenários!AQ65,Cenários!AQ109)</f>
        <v>392617.520606575</v>
      </c>
      <c r="AR11" s="68" t="n">
        <f aca="false">CHOOSE(Premissas!$B$6,Cenários!AR21,Cenários!AR65,Cenários!AR109)</f>
        <v>408573.875949387</v>
      </c>
      <c r="AS11" s="68" t="n">
        <f aca="false">CHOOSE(Premissas!$B$6,Cenários!AS21,Cenários!AS65,Cenários!AS109)</f>
        <v>423527.260384937</v>
      </c>
      <c r="AT11" s="68" t="n">
        <f aca="false">CHOOSE(Premissas!$B$6,Cenários!AT21,Cenários!AT65,Cenários!AT109)</f>
        <v>437386.494739838</v>
      </c>
      <c r="AU11" s="68" t="n">
        <f aca="false">CHOOSE(Premissas!$B$6,Cenários!AU21,Cenários!AU65,Cenários!AU109)</f>
        <v>450516.295707637</v>
      </c>
      <c r="AV11" s="68" t="n">
        <f aca="false">CHOOSE(Premissas!$B$6,Cenários!AV21,Cenários!AV65,Cenários!AV109)</f>
        <v>462734.304941562</v>
      </c>
      <c r="AW11" s="68" t="n">
        <f aca="false">CHOOSE(Premissas!$B$6,Cenários!AW21,Cenários!AW65,Cenários!AW109)</f>
        <v>474131.701615</v>
      </c>
      <c r="AX11" s="68" t="n">
        <f aca="false">CHOOSE(Premissas!$B$6,Cenários!AX21,Cenários!AX65,Cenários!AX109)</f>
        <v>677933.110491405</v>
      </c>
      <c r="AY11" s="68" t="n">
        <f aca="false">CHOOSE(Premissas!$B$6,Cenários!AY21,Cenários!AY65,Cenários!AY109)</f>
        <v>713282.820117872</v>
      </c>
      <c r="AZ11" s="68" t="n">
        <f aca="false">CHOOSE(Premissas!$B$6,Cenários!AZ21,Cenários!AZ65,Cenários!AZ109)</f>
        <v>746536.32054816</v>
      </c>
      <c r="BA11" s="68" t="n">
        <f aca="false">CHOOSE(Premissas!$B$6,Cenários!BA21,Cenários!BA65,Cenários!BA109)</f>
        <v>777788.89401846</v>
      </c>
      <c r="BB11" s="68" t="n">
        <f aca="false">CHOOSE(Premissas!$B$6,Cenários!BB21,Cenários!BB65,Cenários!BB109)</f>
        <v>807135.82276496</v>
      </c>
      <c r="BC11" s="68" t="n">
        <f aca="false">CHOOSE(Premissas!$B$6,Cenários!BC21,Cenários!BC65,Cenários!BC109)</f>
        <v>834767.671260042</v>
      </c>
      <c r="BD11" s="68" t="n">
        <f aca="false">CHOOSE(Premissas!$B$6,Cenários!BD21,Cenários!BD65,Cenários!BD109)</f>
        <v>860684.439503705</v>
      </c>
      <c r="BE11" s="68" t="n">
        <f aca="false">CHOOSE(Premissas!$B$6,Cenários!BE21,Cenários!BE65,Cenários!BE109)</f>
        <v>885076.691968329</v>
      </c>
      <c r="BF11" s="68" t="n">
        <f aca="false">CHOOSE(Premissas!$B$6,Cenários!BF21,Cenários!BF65,Cenários!BF109)</f>
        <v>908039.710890104</v>
      </c>
      <c r="BG11" s="68" t="n">
        <f aca="false">CHOOSE(Premissas!$B$6,Cenários!BG21,Cenários!BG65,Cenários!BG109)</f>
        <v>929573.49626903</v>
      </c>
      <c r="BH11" s="68" t="n">
        <f aca="false">CHOOSE(Premissas!$B$6,Cenários!BH21,Cenários!BH65,Cenários!BH109)</f>
        <v>949773.330341297</v>
      </c>
      <c r="BI11" s="68" t="n">
        <f aca="false">CHOOSE(Premissas!$B$6,Cenários!BI21,Cenários!BI65,Cenários!BI109)</f>
        <v>968925.059815474</v>
      </c>
      <c r="BJ11" s="69" t="n">
        <f aca="false">SUM(B11:BI11)</f>
        <v>17069966.8167412</v>
      </c>
      <c r="BK11" s="70" t="n">
        <f aca="false">IFERROR(BJ11/BJ$14,0)</f>
        <v>0.252397665421555</v>
      </c>
    </row>
    <row r="12" customFormat="false" ht="15" hidden="false" customHeight="false" outlineLevel="0" collapsed="false">
      <c r="A12" s="12" t="s">
        <v>296</v>
      </c>
      <c r="B12" s="68" t="n">
        <f aca="false">CHOOSE(Premissas!$B$6,Cenários!B23,Cenários!B67,Cenários!B111)</f>
        <v>0</v>
      </c>
      <c r="C12" s="68" t="n">
        <f aca="false">CHOOSE(Premissas!$B$6,Cenários!C23,Cenários!C67,Cenários!C111)</f>
        <v>0</v>
      </c>
      <c r="D12" s="68" t="n">
        <f aca="false">CHOOSE(Premissas!$B$6,Cenários!D23,Cenários!D67,Cenários!D111)</f>
        <v>0</v>
      </c>
      <c r="E12" s="68" t="n">
        <f aca="false">CHOOSE(Premissas!$B$6,Cenários!E23,Cenários!E67,Cenários!E111)</f>
        <v>0</v>
      </c>
      <c r="F12" s="68" t="n">
        <f aca="false">CHOOSE(Premissas!$B$6,Cenários!F23,Cenários!F67,Cenários!F111)</f>
        <v>0</v>
      </c>
      <c r="G12" s="68" t="n">
        <f aca="false">CHOOSE(Premissas!$B$6,Cenários!G23,Cenários!G67,Cenários!G111)</f>
        <v>0</v>
      </c>
      <c r="H12" s="68" t="n">
        <f aca="false">CHOOSE(Premissas!$B$6,Cenários!H23,Cenários!H67,Cenários!H111)</f>
        <v>0</v>
      </c>
      <c r="I12" s="68" t="n">
        <f aca="false">CHOOSE(Premissas!$B$6,Cenários!I23,Cenários!I67,Cenários!I111)</f>
        <v>0</v>
      </c>
      <c r="J12" s="68" t="n">
        <f aca="false">CHOOSE(Premissas!$B$6,Cenários!J23,Cenários!J67,Cenários!J111)</f>
        <v>0</v>
      </c>
      <c r="K12" s="68" t="n">
        <f aca="false">CHOOSE(Premissas!$B$6,Cenários!K23,Cenários!K67,Cenários!K111)</f>
        <v>0</v>
      </c>
      <c r="L12" s="68" t="n">
        <f aca="false">CHOOSE(Premissas!$B$6,Cenários!L23,Cenários!L67,Cenários!L111)</f>
        <v>0</v>
      </c>
      <c r="M12" s="68" t="n">
        <f aca="false">CHOOSE(Premissas!$B$6,Cenários!M23,Cenários!M67,Cenários!M111)</f>
        <v>0</v>
      </c>
      <c r="N12" s="68" t="n">
        <f aca="false">CHOOSE(Premissas!$B$6,Cenários!N23,Cenários!N67,Cenários!N111)</f>
        <v>3586.61373</v>
      </c>
      <c r="O12" s="68" t="n">
        <f aca="false">CHOOSE(Premissas!$B$6,Cenários!O23,Cenários!O67,Cenários!O111)</f>
        <v>4472.61770025</v>
      </c>
      <c r="P12" s="68" t="n">
        <f aca="false">CHOOSE(Premissas!$B$6,Cenários!P23,Cenários!P67,Cenários!P111)</f>
        <v>5292.17137273125</v>
      </c>
      <c r="Q12" s="68" t="n">
        <f aca="false">CHOOSE(Premissas!$B$6,Cenários!Q23,Cenários!Q67,Cenários!Q111)</f>
        <v>6050.25851977641</v>
      </c>
      <c r="R12" s="68" t="n">
        <f aca="false">CHOOSE(Premissas!$B$6,Cenários!R23,Cenários!R67,Cenários!R111)</f>
        <v>6751.48913079318</v>
      </c>
      <c r="S12" s="68" t="n">
        <f aca="false">CHOOSE(Premissas!$B$6,Cenários!S23,Cenários!S67,Cenários!S111)</f>
        <v>7400.12744598369</v>
      </c>
      <c r="T12" s="68" t="n">
        <f aca="false">CHOOSE(Premissas!$B$6,Cenários!T23,Cenários!T67,Cenários!T111)</f>
        <v>8000.11788753491</v>
      </c>
      <c r="U12" s="68" t="n">
        <f aca="false">CHOOSE(Premissas!$B$6,Cenários!U23,Cenários!U67,Cenários!U111)</f>
        <v>8555.1090459698</v>
      </c>
      <c r="V12" s="68" t="n">
        <f aca="false">CHOOSE(Premissas!$B$6,Cenários!V23,Cenários!V67,Cenários!V111)</f>
        <v>9068.47586752206</v>
      </c>
      <c r="W12" s="68" t="n">
        <f aca="false">CHOOSE(Premissas!$B$6,Cenários!W23,Cenários!W67,Cenários!W111)</f>
        <v>9543.34017745791</v>
      </c>
      <c r="X12" s="68" t="n">
        <f aca="false">CHOOSE(Premissas!$B$6,Cenários!X23,Cenários!X67,Cenários!X111)</f>
        <v>9982.58966414856</v>
      </c>
      <c r="Y12" s="68" t="n">
        <f aca="false">CHOOSE(Premissas!$B$6,Cenários!Y23,Cenários!Y67,Cenários!Y111)</f>
        <v>10388.8954393374</v>
      </c>
      <c r="Z12" s="68" t="n">
        <f aca="false">CHOOSE(Premissas!$B$6,Cenários!Z23,Cenários!Z67,Cenários!Z111)</f>
        <v>20040.287930973</v>
      </c>
      <c r="AA12" s="68" t="n">
        <f aca="false">CHOOSE(Premissas!$B$6,Cenários!AA23,Cenários!AA67,Cenários!AA111)</f>
        <v>22574.9677758049</v>
      </c>
      <c r="AB12" s="68" t="n">
        <f aca="false">CHOOSE(Premissas!$B$6,Cenários!AB23,Cenários!AB67,Cenários!AB111)</f>
        <v>24932.2200314985</v>
      </c>
      <c r="AC12" s="68" t="n">
        <f aca="false">CHOOSE(Premissas!$B$6,Cenários!AC23,Cenários!AC67,Cenários!AC111)</f>
        <v>27124.4646292937</v>
      </c>
      <c r="AD12" s="68" t="n">
        <f aca="false">CHOOSE(Premissas!$B$6,Cenários!AD23,Cenários!AD67,Cenários!AD111)</f>
        <v>29163.2521052431</v>
      </c>
      <c r="AE12" s="68" t="n">
        <f aca="false">CHOOSE(Premissas!$B$6,Cenários!AE23,Cenários!AE67,Cenários!AE111)</f>
        <v>31059.3244578761</v>
      </c>
      <c r="AF12" s="68" t="n">
        <f aca="false">CHOOSE(Premissas!$B$6,Cenários!AF23,Cenários!AF67,Cenários!AF111)</f>
        <v>32822.6717458248</v>
      </c>
      <c r="AG12" s="68" t="n">
        <f aca="false">CHOOSE(Premissas!$B$6,Cenários!AG23,Cenários!AG67,Cenários!AG111)</f>
        <v>34462.584723617</v>
      </c>
      <c r="AH12" s="68" t="n">
        <f aca="false">CHOOSE(Premissas!$B$6,Cenários!AH23,Cenários!AH67,Cenários!AH111)</f>
        <v>35987.7037929638</v>
      </c>
      <c r="AI12" s="68" t="n">
        <f aca="false">CHOOSE(Premissas!$B$6,Cenários!AI23,Cenários!AI67,Cenários!AI111)</f>
        <v>37406.0645274564</v>
      </c>
      <c r="AJ12" s="68" t="n">
        <f aca="false">CHOOSE(Premissas!$B$6,Cenários!AJ23,Cenários!AJ67,Cenários!AJ111)</f>
        <v>38725.1400105344</v>
      </c>
      <c r="AK12" s="68" t="n">
        <f aca="false">CHOOSE(Premissas!$B$6,Cenários!AK23,Cenários!AK67,Cenários!AK111)</f>
        <v>39951.880209797</v>
      </c>
      <c r="AL12" s="68" t="n">
        <f aca="false">CHOOSE(Premissas!$B$6,Cenários!AL23,Cenários!AL67,Cenários!AL111)</f>
        <v>69568.0127938563</v>
      </c>
      <c r="AM12" s="68" t="n">
        <f aca="false">CHOOSE(Premissas!$B$6,Cenários!AM23,Cenários!AM67,Cenários!AM111)</f>
        <v>74846.0919622557</v>
      </c>
      <c r="AN12" s="68" t="n">
        <f aca="false">CHOOSE(Premissas!$B$6,Cenários!AN23,Cenários!AN67,Cenários!AN111)</f>
        <v>79781.0959847091</v>
      </c>
      <c r="AO12" s="68" t="n">
        <f aca="false">CHOOSE(Premissas!$B$6,Cenários!AO23,Cenários!AO67,Cenários!AO111)</f>
        <v>84395.324745703</v>
      </c>
      <c r="AP12" s="68" t="n">
        <f aca="false">CHOOSE(Premissas!$B$6,Cenários!AP23,Cenários!AP67,Cenários!AP111)</f>
        <v>88709.6286372323</v>
      </c>
      <c r="AQ12" s="68" t="n">
        <f aca="false">CHOOSE(Premissas!$B$6,Cenários!AQ23,Cenários!AQ67,Cenários!AQ111)</f>
        <v>92743.5027758122</v>
      </c>
      <c r="AR12" s="68" t="n">
        <f aca="false">CHOOSE(Premissas!$B$6,Cenários!AR23,Cenários!AR67,Cenários!AR111)</f>
        <v>96515.1750953844</v>
      </c>
      <c r="AS12" s="68" t="n">
        <f aca="false">CHOOSE(Premissas!$B$6,Cenários!AS23,Cenários!AS67,Cenários!AS111)</f>
        <v>100041.688714184</v>
      </c>
      <c r="AT12" s="68" t="n">
        <f aca="false">CHOOSE(Premissas!$B$6,Cenários!AT23,Cenários!AT67,Cenários!AT111)</f>
        <v>103338.978947762</v>
      </c>
      <c r="AU12" s="68" t="n">
        <f aca="false">CHOOSE(Premissas!$B$6,Cenários!AU23,Cenários!AU67,Cenários!AU111)</f>
        <v>106421.945316158</v>
      </c>
      <c r="AV12" s="68" t="n">
        <f aca="false">CHOOSE(Premissas!$B$6,Cenários!AV23,Cenários!AV67,Cenários!AV111)</f>
        <v>109304.518870608</v>
      </c>
      <c r="AW12" s="68" t="n">
        <f aca="false">CHOOSE(Premissas!$B$6,Cenários!AW23,Cenários!AW67,Cenários!AW111)</f>
        <v>111999.725144018</v>
      </c>
      <c r="AX12" s="68" t="n">
        <f aca="false">CHOOSE(Premissas!$B$6,Cenários!AX23,Cenários!AX67,Cenários!AX111)</f>
        <v>148224.677044221</v>
      </c>
      <c r="AY12" s="68" t="n">
        <f aca="false">CHOOSE(Premissas!$B$6,Cenários!AY23,Cenários!AY67,Cenários!AY111)</f>
        <v>155956.196421568</v>
      </c>
      <c r="AZ12" s="68" t="n">
        <f aca="false">CHOOSE(Premissas!$B$6,Cenários!AZ23,Cenários!AZ67,Cenários!AZ111)</f>
        <v>163223.824636274</v>
      </c>
      <c r="BA12" s="68" t="n">
        <f aca="false">CHOOSE(Premissas!$B$6,Cenários!BA23,Cenários!BA67,Cenários!BA111)</f>
        <v>170055.395158098</v>
      </c>
      <c r="BB12" s="68" t="n">
        <f aca="false">CHOOSE(Premissas!$B$6,Cenários!BB23,Cenários!BB67,Cenários!BB111)</f>
        <v>176477.071448612</v>
      </c>
      <c r="BC12" s="68" t="n">
        <f aca="false">CHOOSE(Premissas!$B$6,Cenários!BC23,Cenários!BC67,Cenários!BC111)</f>
        <v>182513.447161695</v>
      </c>
      <c r="BD12" s="68" t="n">
        <f aca="false">CHOOSE(Premissas!$B$6,Cenários!BD23,Cenários!BD67,Cenários!BD111)</f>
        <v>188187.640331993</v>
      </c>
      <c r="BE12" s="68" t="n">
        <f aca="false">CHOOSE(Premissas!$B$6,Cenários!BE23,Cenários!BE67,Cenários!BE111)</f>
        <v>193521.381912074</v>
      </c>
      <c r="BF12" s="68" t="n">
        <f aca="false">CHOOSE(Premissas!$B$6,Cenários!BF23,Cenários!BF67,Cenários!BF111)</f>
        <v>198535.098997349</v>
      </c>
      <c r="BG12" s="68" t="n">
        <f aca="false">CHOOSE(Premissas!$B$6,Cenários!BG23,Cenários!BG67,Cenários!BG111)</f>
        <v>203247.993057508</v>
      </c>
      <c r="BH12" s="68" t="n">
        <f aca="false">CHOOSE(Premissas!$B$6,Cenários!BH23,Cenários!BH67,Cenários!BH111)</f>
        <v>207678.113474058</v>
      </c>
      <c r="BI12" s="68" t="n">
        <f aca="false">CHOOSE(Premissas!$B$6,Cenários!BI23,Cenários!BI67,Cenários!BI111)</f>
        <v>211842.426665614</v>
      </c>
      <c r="BJ12" s="69" t="n">
        <f aca="false">SUM(B12:BI12)</f>
        <v>3780471.32321914</v>
      </c>
      <c r="BK12" s="70" t="n">
        <f aca="false">IFERROR(BJ12/BJ$14,0)</f>
        <v>0.0558983005894213</v>
      </c>
    </row>
    <row r="13" customFormat="false" ht="15" hidden="false" customHeight="false" outlineLevel="0" collapsed="false">
      <c r="A13" s="12" t="s">
        <v>297</v>
      </c>
      <c r="B13" s="68" t="n">
        <f aca="false">CHOOSE(Premissas!$B$6,Cenários!B24,Cenários!B68,Cenários!B112)</f>
        <v>0</v>
      </c>
      <c r="C13" s="68" t="n">
        <f aca="false">CHOOSE(Premissas!$B$6,Cenários!C24,Cenários!C68,Cenários!C112)</f>
        <v>0</v>
      </c>
      <c r="D13" s="68" t="n">
        <f aca="false">CHOOSE(Premissas!$B$6,Cenários!D24,Cenários!D68,Cenários!D112)</f>
        <v>0</v>
      </c>
      <c r="E13" s="68" t="n">
        <f aca="false">CHOOSE(Premissas!$B$6,Cenários!E24,Cenários!E68,Cenários!E112)</f>
        <v>0</v>
      </c>
      <c r="F13" s="68" t="n">
        <f aca="false">CHOOSE(Premissas!$B$6,Cenários!F24,Cenários!F68,Cenários!F112)</f>
        <v>0</v>
      </c>
      <c r="G13" s="68" t="n">
        <f aca="false">CHOOSE(Premissas!$B$6,Cenários!G24,Cenários!G68,Cenários!G112)</f>
        <v>0</v>
      </c>
      <c r="H13" s="68" t="n">
        <f aca="false">CHOOSE(Premissas!$B$6,Cenários!H24,Cenários!H68,Cenários!H112)</f>
        <v>0</v>
      </c>
      <c r="I13" s="68" t="n">
        <f aca="false">CHOOSE(Premissas!$B$6,Cenários!I24,Cenários!I68,Cenários!I112)</f>
        <v>0</v>
      </c>
      <c r="J13" s="68" t="n">
        <f aca="false">CHOOSE(Premissas!$B$6,Cenários!J24,Cenários!J68,Cenários!J112)</f>
        <v>0</v>
      </c>
      <c r="K13" s="68" t="n">
        <f aca="false">CHOOSE(Premissas!$B$6,Cenários!K24,Cenários!K68,Cenários!K112)</f>
        <v>0</v>
      </c>
      <c r="L13" s="68" t="n">
        <f aca="false">CHOOSE(Premissas!$B$6,Cenários!L24,Cenários!L68,Cenários!L112)</f>
        <v>0</v>
      </c>
      <c r="M13" s="68" t="n">
        <f aca="false">CHOOSE(Premissas!$B$6,Cenários!M24,Cenários!M68,Cenários!M112)</f>
        <v>0</v>
      </c>
      <c r="N13" s="68" t="n">
        <f aca="false">CHOOSE(Premissas!$B$6,Cenários!N24,Cenários!N68,Cenários!N112)</f>
        <v>0</v>
      </c>
      <c r="O13" s="68" t="n">
        <f aca="false">CHOOSE(Premissas!$B$6,Cenários!O24,Cenários!O68,Cenários!O112)</f>
        <v>0</v>
      </c>
      <c r="P13" s="68" t="n">
        <f aca="false">CHOOSE(Premissas!$B$6,Cenários!P24,Cenários!P68,Cenários!P112)</f>
        <v>0</v>
      </c>
      <c r="Q13" s="68" t="n">
        <f aca="false">CHOOSE(Premissas!$B$6,Cenários!Q24,Cenários!Q68,Cenários!Q112)</f>
        <v>0</v>
      </c>
      <c r="R13" s="68" t="n">
        <f aca="false">CHOOSE(Premissas!$B$6,Cenários!R24,Cenários!R68,Cenários!R112)</f>
        <v>0</v>
      </c>
      <c r="S13" s="68" t="n">
        <f aca="false">CHOOSE(Premissas!$B$6,Cenários!S24,Cenários!S68,Cenários!S112)</f>
        <v>0</v>
      </c>
      <c r="T13" s="68" t="n">
        <f aca="false">CHOOSE(Premissas!$B$6,Cenários!T24,Cenários!T68,Cenários!T112)</f>
        <v>0</v>
      </c>
      <c r="U13" s="68" t="n">
        <f aca="false">CHOOSE(Premissas!$B$6,Cenários!U24,Cenários!U68,Cenários!U112)</f>
        <v>0</v>
      </c>
      <c r="V13" s="68" t="n">
        <f aca="false">CHOOSE(Premissas!$B$6,Cenários!V24,Cenários!V68,Cenários!V112)</f>
        <v>0</v>
      </c>
      <c r="W13" s="68" t="n">
        <f aca="false">CHOOSE(Premissas!$B$6,Cenários!W24,Cenários!W68,Cenários!W112)</f>
        <v>0</v>
      </c>
      <c r="X13" s="68" t="n">
        <f aca="false">CHOOSE(Premissas!$B$6,Cenários!X24,Cenários!X68,Cenários!X112)</f>
        <v>0</v>
      </c>
      <c r="Y13" s="68" t="n">
        <f aca="false">CHOOSE(Premissas!$B$6,Cenários!Y24,Cenários!Y68,Cenários!Y112)</f>
        <v>0</v>
      </c>
      <c r="Z13" s="68" t="n">
        <f aca="false">CHOOSE(Premissas!$B$6,Cenários!Z24,Cenários!Z68,Cenários!Z112)</f>
        <v>0</v>
      </c>
      <c r="AA13" s="68" t="n">
        <f aca="false">CHOOSE(Premissas!$B$6,Cenários!AA24,Cenários!AA68,Cenários!AA112)</f>
        <v>0</v>
      </c>
      <c r="AB13" s="68" t="n">
        <f aca="false">CHOOSE(Premissas!$B$6,Cenários!AB24,Cenários!AB68,Cenários!AB112)</f>
        <v>0</v>
      </c>
      <c r="AC13" s="68" t="n">
        <f aca="false">CHOOSE(Premissas!$B$6,Cenários!AC24,Cenários!AC68,Cenários!AC112)</f>
        <v>0</v>
      </c>
      <c r="AD13" s="68" t="n">
        <f aca="false">CHOOSE(Premissas!$B$6,Cenários!AD24,Cenários!AD68,Cenários!AD112)</f>
        <v>0</v>
      </c>
      <c r="AE13" s="68" t="n">
        <f aca="false">CHOOSE(Premissas!$B$6,Cenários!AE24,Cenários!AE68,Cenários!AE112)</f>
        <v>0</v>
      </c>
      <c r="AF13" s="68" t="n">
        <f aca="false">CHOOSE(Premissas!$B$6,Cenários!AF24,Cenários!AF68,Cenários!AF112)</f>
        <v>0</v>
      </c>
      <c r="AG13" s="68" t="n">
        <f aca="false">CHOOSE(Premissas!$B$6,Cenários!AG24,Cenários!AG68,Cenários!AG112)</f>
        <v>0</v>
      </c>
      <c r="AH13" s="68" t="n">
        <f aca="false">CHOOSE(Premissas!$B$6,Cenários!AH24,Cenários!AH68,Cenários!AH112)</f>
        <v>0</v>
      </c>
      <c r="AI13" s="68" t="n">
        <f aca="false">CHOOSE(Premissas!$B$6,Cenários!AI24,Cenários!AI68,Cenários!AI112)</f>
        <v>0</v>
      </c>
      <c r="AJ13" s="68" t="n">
        <f aca="false">CHOOSE(Premissas!$B$6,Cenários!AJ24,Cenários!AJ68,Cenários!AJ112)</f>
        <v>0</v>
      </c>
      <c r="AK13" s="68" t="n">
        <f aca="false">CHOOSE(Premissas!$B$6,Cenários!AK24,Cenários!AK68,Cenários!AK112)</f>
        <v>0</v>
      </c>
      <c r="AL13" s="68" t="n">
        <f aca="false">CHOOSE(Premissas!$B$6,Cenários!AL24,Cenários!AL68,Cenários!AL112)</f>
        <v>0</v>
      </c>
      <c r="AM13" s="68" t="n">
        <f aca="false">CHOOSE(Premissas!$B$6,Cenários!AM24,Cenários!AM68,Cenários!AM112)</f>
        <v>0</v>
      </c>
      <c r="AN13" s="68" t="n">
        <f aca="false">CHOOSE(Premissas!$B$6,Cenários!AN24,Cenários!AN68,Cenários!AN112)</f>
        <v>0</v>
      </c>
      <c r="AO13" s="68" t="n">
        <f aca="false">CHOOSE(Premissas!$B$6,Cenários!AO24,Cenários!AO68,Cenários!AO112)</f>
        <v>0</v>
      </c>
      <c r="AP13" s="68" t="n">
        <f aca="false">CHOOSE(Premissas!$B$6,Cenários!AP24,Cenários!AP68,Cenários!AP112)</f>
        <v>0</v>
      </c>
      <c r="AQ13" s="68" t="n">
        <f aca="false">CHOOSE(Premissas!$B$6,Cenários!AQ24,Cenários!AQ68,Cenários!AQ112)</f>
        <v>0</v>
      </c>
      <c r="AR13" s="68" t="n">
        <f aca="false">CHOOSE(Premissas!$B$6,Cenários!AR24,Cenários!AR68,Cenários!AR112)</f>
        <v>0</v>
      </c>
      <c r="AS13" s="68" t="n">
        <f aca="false">CHOOSE(Premissas!$B$6,Cenários!AS24,Cenários!AS68,Cenários!AS112)</f>
        <v>0</v>
      </c>
      <c r="AT13" s="68" t="n">
        <f aca="false">CHOOSE(Premissas!$B$6,Cenários!AT24,Cenários!AT68,Cenários!AT112)</f>
        <v>0</v>
      </c>
      <c r="AU13" s="68" t="n">
        <f aca="false">CHOOSE(Premissas!$B$6,Cenários!AU24,Cenários!AU68,Cenários!AU112)</f>
        <v>0</v>
      </c>
      <c r="AV13" s="68" t="n">
        <f aca="false">CHOOSE(Premissas!$B$6,Cenários!AV24,Cenários!AV68,Cenários!AV112)</f>
        <v>0</v>
      </c>
      <c r="AW13" s="68" t="n">
        <f aca="false">CHOOSE(Premissas!$B$6,Cenários!AW24,Cenários!AW68,Cenários!AW112)</f>
        <v>0</v>
      </c>
      <c r="AX13" s="68" t="n">
        <f aca="false">CHOOSE(Premissas!$B$6,Cenários!AX24,Cenários!AX68,Cenários!AX112)</f>
        <v>0</v>
      </c>
      <c r="AY13" s="68" t="n">
        <f aca="false">CHOOSE(Premissas!$B$6,Cenários!AY24,Cenários!AY68,Cenários!AY112)</f>
        <v>0</v>
      </c>
      <c r="AZ13" s="68" t="n">
        <f aca="false">CHOOSE(Premissas!$B$6,Cenários!AZ24,Cenários!AZ68,Cenários!AZ112)</f>
        <v>0</v>
      </c>
      <c r="BA13" s="68" t="n">
        <f aca="false">CHOOSE(Premissas!$B$6,Cenários!BA24,Cenários!BA68,Cenários!BA112)</f>
        <v>0</v>
      </c>
      <c r="BB13" s="68" t="n">
        <f aca="false">CHOOSE(Premissas!$B$6,Cenários!BB24,Cenários!BB68,Cenários!BB112)</f>
        <v>0</v>
      </c>
      <c r="BC13" s="68" t="n">
        <f aca="false">CHOOSE(Premissas!$B$6,Cenários!BC24,Cenários!BC68,Cenários!BC112)</f>
        <v>0</v>
      </c>
      <c r="BD13" s="68" t="n">
        <f aca="false">CHOOSE(Premissas!$B$6,Cenários!BD24,Cenários!BD68,Cenários!BD112)</f>
        <v>0</v>
      </c>
      <c r="BE13" s="68" t="n">
        <f aca="false">CHOOSE(Premissas!$B$6,Cenários!BE24,Cenários!BE68,Cenários!BE112)</f>
        <v>0</v>
      </c>
      <c r="BF13" s="68" t="n">
        <f aca="false">CHOOSE(Premissas!$B$6,Cenários!BF24,Cenários!BF68,Cenários!BF112)</f>
        <v>0</v>
      </c>
      <c r="BG13" s="68" t="n">
        <f aca="false">CHOOSE(Premissas!$B$6,Cenários!BG24,Cenários!BG68,Cenários!BG112)</f>
        <v>0</v>
      </c>
      <c r="BH13" s="68" t="n">
        <f aca="false">CHOOSE(Premissas!$B$6,Cenários!BH24,Cenários!BH68,Cenários!BH112)</f>
        <v>0</v>
      </c>
      <c r="BI13" s="68" t="n">
        <f aca="false">CHOOSE(Premissas!$B$6,Cenários!BI24,Cenários!BI68,Cenários!BI112)</f>
        <v>0</v>
      </c>
      <c r="BJ13" s="69" t="n">
        <f aca="false">SUM(B13:BI13)</f>
        <v>0</v>
      </c>
      <c r="BK13" s="70" t="n">
        <f aca="false">IFERROR(BJ13/BJ$14,0)</f>
        <v>0</v>
      </c>
    </row>
    <row r="14" customFormat="false" ht="15" hidden="false" customHeight="false" outlineLevel="0" collapsed="false">
      <c r="A14" s="34" t="s">
        <v>298</v>
      </c>
      <c r="B14" s="69" t="n">
        <f aca="false">SUM(B9:B13)</f>
        <v>0</v>
      </c>
      <c r="C14" s="69" t="n">
        <f aca="false">SUM(C9:C13)</f>
        <v>0</v>
      </c>
      <c r="D14" s="69" t="n">
        <f aca="false">SUM(D9:D13)</f>
        <v>0</v>
      </c>
      <c r="E14" s="69" t="n">
        <f aca="false">SUM(E9:E13)</f>
        <v>0</v>
      </c>
      <c r="F14" s="69" t="n">
        <f aca="false">SUM(F9:F13)</f>
        <v>0</v>
      </c>
      <c r="G14" s="69" t="n">
        <f aca="false">SUM(G9:G13)</f>
        <v>0</v>
      </c>
      <c r="H14" s="69" t="n">
        <f aca="false">SUM(H9:H13)</f>
        <v>0</v>
      </c>
      <c r="I14" s="69" t="n">
        <f aca="false">SUM(I9:I13)</f>
        <v>0</v>
      </c>
      <c r="J14" s="69" t="n">
        <f aca="false">SUM(J9:J13)</f>
        <v>0</v>
      </c>
      <c r="K14" s="69" t="n">
        <f aca="false">SUM(K9:K13)</f>
        <v>24329.5</v>
      </c>
      <c r="L14" s="69" t="n">
        <f aca="false">SUM(L9:L13)</f>
        <v>46706.2</v>
      </c>
      <c r="M14" s="69" t="n">
        <f aca="false">SUM(M9:M13)</f>
        <v>67349.6</v>
      </c>
      <c r="N14" s="69" t="n">
        <f aca="false">SUM(N9:N13)</f>
        <v>113107.10723</v>
      </c>
      <c r="O14" s="69" t="n">
        <f aca="false">SUM(O9:O13)</f>
        <v>141086.93070025</v>
      </c>
      <c r="P14" s="69" t="n">
        <f aca="false">SUM(P9:P13)</f>
        <v>166896.823372731</v>
      </c>
      <c r="Q14" s="69" t="n">
        <f aca="false">SUM(Q9:Q13)</f>
        <v>190875.437519776</v>
      </c>
      <c r="R14" s="69" t="n">
        <f aca="false">SUM(R9:R13)</f>
        <v>212943.260630793</v>
      </c>
      <c r="S14" s="69" t="n">
        <f aca="false">SUM(S9:S13)</f>
        <v>233438.538945984</v>
      </c>
      <c r="T14" s="69" t="n">
        <f aca="false">SUM(T9:T13)</f>
        <v>252364.903387535</v>
      </c>
      <c r="U14" s="69" t="n">
        <f aca="false">SUM(U9:U13)</f>
        <v>269809.08004597</v>
      </c>
      <c r="V14" s="69" t="n">
        <f aca="false">SUM(V9:V13)</f>
        <v>286045.725867522</v>
      </c>
      <c r="W14" s="69" t="n">
        <f aca="false">SUM(W9:W13)</f>
        <v>300994.049177458</v>
      </c>
      <c r="X14" s="69" t="n">
        <f aca="false">SUM(X9:X13)</f>
        <v>314865.728664149</v>
      </c>
      <c r="Y14" s="69" t="n">
        <f aca="false">SUM(Y9:Y13)</f>
        <v>327767.517439337</v>
      </c>
      <c r="Z14" s="69" t="n">
        <f aca="false">SUM(Z9:Z13)</f>
        <v>462709.875675973</v>
      </c>
      <c r="AA14" s="69" t="n">
        <f aca="false">SUM(AA9:AA13)</f>
        <v>521294.049075805</v>
      </c>
      <c r="AB14" s="69" t="n">
        <f aca="false">SUM(AB9:AB13)</f>
        <v>575695.465591498</v>
      </c>
      <c r="AC14" s="69" t="n">
        <f aca="false">SUM(AC9:AC13)</f>
        <v>626318.582129294</v>
      </c>
      <c r="AD14" s="69" t="n">
        <f aca="false">SUM(AD9:AD13)</f>
        <v>673349.018010243</v>
      </c>
      <c r="AE14" s="69" t="n">
        <f aca="false">SUM(AE9:AE13)</f>
        <v>717124.249112876</v>
      </c>
      <c r="AF14" s="69" t="n">
        <f aca="false">SUM(AF9:AF13)</f>
        <v>757850.065578325</v>
      </c>
      <c r="AG14" s="69" t="n">
        <f aca="false">SUM(AG9:AG13)</f>
        <v>795753.507946117</v>
      </c>
      <c r="AH14" s="69" t="n">
        <f aca="false">SUM(AH9:AH13)</f>
        <v>830995.335700464</v>
      </c>
      <c r="AI14" s="69" t="n">
        <f aca="false">SUM(AI9:AI13)</f>
        <v>863714.081402456</v>
      </c>
      <c r="AJ14" s="69" t="n">
        <f aca="false">SUM(AJ9:AJ13)</f>
        <v>894135.186325534</v>
      </c>
      <c r="AK14" s="69" t="n">
        <f aca="false">SUM(AK9:AK13)</f>
        <v>922526.922019797</v>
      </c>
      <c r="AL14" s="69" t="n">
        <f aca="false">SUM(AL9:AL13)</f>
        <v>1215880.91113422</v>
      </c>
      <c r="AM14" s="69" t="n">
        <f aca="false">SUM(AM9:AM13)</f>
        <v>1308132.85240288</v>
      </c>
      <c r="AN14" s="69" t="n">
        <f aca="false">SUM(AN9:AN13)</f>
        <v>1394376.9698811</v>
      </c>
      <c r="AO14" s="69" t="n">
        <f aca="false">SUM(AO9:AO13)</f>
        <v>1475022.1905365</v>
      </c>
      <c r="AP14" s="69" t="n">
        <f aca="false">SUM(AP9:AP13)</f>
        <v>1550407.97834319</v>
      </c>
      <c r="AQ14" s="69" t="n">
        <f aca="false">SUM(AQ9:AQ13)</f>
        <v>1620917.97452817</v>
      </c>
      <c r="AR14" s="69" t="n">
        <f aca="false">SUM(AR9:AR13)</f>
        <v>1686865.85493515</v>
      </c>
      <c r="AS14" s="69" t="n">
        <f aca="false">SUM(AS9:AS13)</f>
        <v>1748496.32532428</v>
      </c>
      <c r="AT14" s="69" t="n">
        <f aca="false">SUM(AT9:AT13)</f>
        <v>1806075.35050912</v>
      </c>
      <c r="AU14" s="69" t="n">
        <f aca="false">SUM(AU9:AU13)</f>
        <v>1860005.14179253</v>
      </c>
      <c r="AV14" s="69" t="n">
        <f aca="false">SUM(AV9:AV13)</f>
        <v>1910412.83390534</v>
      </c>
      <c r="AW14" s="69" t="n">
        <f aca="false">SUM(AW9:AW13)</f>
        <v>1957493.58249402</v>
      </c>
      <c r="AX14" s="69" t="n">
        <f aca="false">SUM(AX9:AX13)</f>
        <v>2460269.00726857</v>
      </c>
      <c r="AY14" s="69" t="n">
        <f aca="false">SUM(AY9:AY13)</f>
        <v>2588577.03636999</v>
      </c>
      <c r="AZ14" s="69" t="n">
        <f aca="false">SUM(AZ9:AZ13)</f>
        <v>2709240.30430324</v>
      </c>
      <c r="BA14" s="69" t="n">
        <f aca="false">SUM(BA9:BA13)</f>
        <v>2822619.59573139</v>
      </c>
      <c r="BB14" s="69" t="n">
        <f aca="false">SUM(BB9:BB13)</f>
        <v>2929192.68091005</v>
      </c>
      <c r="BC14" s="69" t="n">
        <f aca="false">SUM(BC9:BC13)</f>
        <v>3029388.65580244</v>
      </c>
      <c r="BD14" s="69" t="n">
        <f aca="false">SUM(BD9:BD13)</f>
        <v>3123563.23188093</v>
      </c>
      <c r="BE14" s="69" t="n">
        <f aca="false">SUM(BE9:BE13)</f>
        <v>3212118.79203538</v>
      </c>
      <c r="BF14" s="69" t="n">
        <f aca="false">SUM(BF9:BF13)</f>
        <v>3295337.28269035</v>
      </c>
      <c r="BG14" s="69" t="n">
        <f aca="false">SUM(BG9:BG13)</f>
        <v>3373546.88688492</v>
      </c>
      <c r="BH14" s="69" t="n">
        <f aca="false">SUM(BH9:BH13)</f>
        <v>3447027.17332974</v>
      </c>
      <c r="BI14" s="69" t="n">
        <f aca="false">SUM(BI9:BI13)</f>
        <v>3516223.58037662</v>
      </c>
      <c r="BJ14" s="69" t="n">
        <f aca="false">SUM(B14:BI14)</f>
        <v>67631238.93492</v>
      </c>
    </row>
    <row r="16" customFormat="false" ht="18" hidden="false" customHeight="true" outlineLevel="0" collapsed="false">
      <c r="A16" s="10" t="s">
        <v>299</v>
      </c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/>
      <c r="AO16" s="11"/>
      <c r="AP16" s="11"/>
      <c r="AQ16" s="11"/>
      <c r="AR16" s="11"/>
      <c r="AS16" s="11"/>
      <c r="AT16" s="11"/>
      <c r="AU16" s="11"/>
      <c r="AV16" s="11"/>
      <c r="AW16" s="11"/>
      <c r="AX16" s="11"/>
      <c r="AY16" s="11"/>
      <c r="AZ16" s="11"/>
      <c r="BA16" s="11"/>
      <c r="BB16" s="11"/>
      <c r="BC16" s="11"/>
      <c r="BD16" s="11"/>
      <c r="BE16" s="11"/>
      <c r="BF16" s="11"/>
      <c r="BG16" s="11"/>
      <c r="BH16" s="11"/>
      <c r="BI16" s="11"/>
      <c r="BJ16" s="11"/>
      <c r="BK16" s="11"/>
    </row>
    <row r="17" customFormat="false" ht="15" hidden="false" customHeight="false" outlineLevel="0" collapsed="false">
      <c r="A17" s="12" t="s">
        <v>236</v>
      </c>
      <c r="B17" s="68" t="n">
        <f aca="false">CHOOSE(Premissas!$B$6,Cenários!B28,Cenários!B72,Cenários!B116)</f>
        <v>-0</v>
      </c>
      <c r="C17" s="68" t="n">
        <f aca="false">CHOOSE(Premissas!$B$6,Cenários!C28,Cenários!C72,Cenários!C116)</f>
        <v>-0</v>
      </c>
      <c r="D17" s="68" t="n">
        <f aca="false">CHOOSE(Premissas!$B$6,Cenários!D28,Cenários!D72,Cenários!D116)</f>
        <v>-0</v>
      </c>
      <c r="E17" s="68" t="n">
        <f aca="false">CHOOSE(Premissas!$B$6,Cenários!E28,Cenários!E72,Cenários!E116)</f>
        <v>-0</v>
      </c>
      <c r="F17" s="68" t="n">
        <f aca="false">CHOOSE(Premissas!$B$6,Cenários!F28,Cenários!F72,Cenários!F116)</f>
        <v>-0</v>
      </c>
      <c r="G17" s="68" t="n">
        <f aca="false">CHOOSE(Premissas!$B$6,Cenários!G28,Cenários!G72,Cenários!G116)</f>
        <v>-0</v>
      </c>
      <c r="H17" s="68" t="n">
        <f aca="false">CHOOSE(Premissas!$B$6,Cenários!H28,Cenários!H72,Cenários!H116)</f>
        <v>-0</v>
      </c>
      <c r="I17" s="68" t="n">
        <f aca="false">CHOOSE(Premissas!$B$6,Cenários!I28,Cenários!I72,Cenários!I116)</f>
        <v>-0</v>
      </c>
      <c r="J17" s="68" t="n">
        <f aca="false">CHOOSE(Premissas!$B$6,Cenários!J28,Cenários!J72,Cenários!J116)</f>
        <v>-0</v>
      </c>
      <c r="K17" s="68" t="n">
        <f aca="false">CHOOSE(Premissas!$B$6,Cenários!K28,Cenários!K72,Cenários!K116)</f>
        <v>-1459.77</v>
      </c>
      <c r="L17" s="68" t="n">
        <f aca="false">CHOOSE(Premissas!$B$6,Cenários!L28,Cenários!L72,Cenários!L116)</f>
        <v>-2802.372</v>
      </c>
      <c r="M17" s="68" t="n">
        <f aca="false">CHOOSE(Premissas!$B$6,Cenários!M28,Cenários!M72,Cenários!M116)</f>
        <v>-4040.976</v>
      </c>
      <c r="N17" s="68" t="n">
        <f aca="false">CHOOSE(Premissas!$B$6,Cenários!N28,Cenários!N72,Cenários!N116)</f>
        <v>-6786.4264338</v>
      </c>
      <c r="O17" s="68" t="n">
        <f aca="false">CHOOSE(Premissas!$B$6,Cenários!O28,Cenários!O72,Cenários!O116)</f>
        <v>-10550.7877668639</v>
      </c>
      <c r="P17" s="68" t="n">
        <f aca="false">CHOOSE(Premissas!$B$6,Cenários!P28,Cenários!P72,Cenários!P116)</f>
        <v>-15031.7973019962</v>
      </c>
      <c r="Q17" s="68" t="n">
        <f aca="false">CHOOSE(Premissas!$B$6,Cenários!Q28,Cenários!Q72,Cenários!Q116)</f>
        <v>-19749.9781955806</v>
      </c>
      <c r="R17" s="68" t="n">
        <f aca="false">CHOOSE(Premissas!$B$6,Cenários!R28,Cenários!R72,Cenários!R116)</f>
        <v>-23956.5995341074</v>
      </c>
      <c r="S17" s="68" t="n">
        <f aca="false">CHOOSE(Premissas!$B$6,Cenários!S28,Cenários!S72,Cenários!S116)</f>
        <v>-28713.4030986709</v>
      </c>
      <c r="T17" s="68" t="n">
        <f aca="false">CHOOSE(Premissas!$B$6,Cenários!T28,Cenários!T72,Cenários!T116)</f>
        <v>-32862.6879225577</v>
      </c>
      <c r="U17" s="68" t="n">
        <f aca="false">CHOOSE(Premissas!$B$6,Cenários!U28,Cenários!U72,Cenários!U116)</f>
        <v>-36533.6051212599</v>
      </c>
      <c r="V17" s="68" t="n">
        <f aca="false">CHOOSE(Premissas!$B$6,Cenários!V28,Cenários!V72,Cenários!V116)</f>
        <v>-39836.4150456644</v>
      </c>
      <c r="W17" s="68" t="n">
        <f aca="false">CHOOSE(Premissas!$B$6,Cenários!W28,Cenários!W72,Cenários!W116)</f>
        <v>-44347.0162580703</v>
      </c>
      <c r="X17" s="68" t="n">
        <f aca="false">CHOOSE(Premissas!$B$6,Cenários!X28,Cenários!X72,Cenários!X116)</f>
        <v>-48783.3457936913</v>
      </c>
      <c r="Y17" s="68" t="n">
        <f aca="false">CHOOSE(Premissas!$B$6,Cenários!Y28,Cenários!Y72,Cenários!Y116)</f>
        <v>-52680.4690533654</v>
      </c>
      <c r="Z17" s="68" t="n">
        <f aca="false">CHOOSE(Premissas!$B$6,Cenários!Z28,Cenários!Z72,Cenários!Z116)</f>
        <v>-76481.94483168</v>
      </c>
      <c r="AA17" s="68" t="n">
        <f aca="false">CHOOSE(Premissas!$B$6,Cenários!AA28,Cenários!AA72,Cenários!AA116)</f>
        <v>-88744.0370182663</v>
      </c>
      <c r="AB17" s="68" t="n">
        <f aca="false">CHOOSE(Premissas!$B$6,Cenários!AB28,Cenários!AB72,Cenários!AB116)</f>
        <v>-100463.766321148</v>
      </c>
      <c r="AC17" s="68" t="n">
        <f aca="false">CHOOSE(Premissas!$B$6,Cenários!AC28,Cenários!AC72,Cenários!AC116)</f>
        <v>-103906.042778343</v>
      </c>
      <c r="AD17" s="68" t="n">
        <f aca="false">CHOOSE(Premissas!$B$6,Cenários!AD28,Cenários!AD72,Cenários!AD116)</f>
        <v>-122682.912279678</v>
      </c>
      <c r="AE17" s="68" t="n">
        <f aca="false">CHOOSE(Premissas!$B$6,Cenários!AE28,Cenários!AE72,Cenários!AE116)</f>
        <v>-117106.389880133</v>
      </c>
      <c r="AF17" s="68" t="n">
        <f aca="false">CHOOSE(Premissas!$B$6,Cenários!AF28,Cenários!AF72,Cenários!AF116)</f>
        <v>-123756.91570894</v>
      </c>
      <c r="AG17" s="68" t="n">
        <f aca="false">CHOOSE(Premissas!$B$6,Cenários!AG28,Cenários!AG72,Cenários!AG116)</f>
        <v>-129946.547847601</v>
      </c>
      <c r="AH17" s="68" t="n">
        <f aca="false">CHOOSE(Premissas!$B$6,Cenários!AH28,Cenários!AH72,Cenários!AH116)</f>
        <v>-135701.538319886</v>
      </c>
      <c r="AI17" s="68" t="n">
        <f aca="false">CHOOSE(Premissas!$B$6,Cenários!AI28,Cenários!AI72,Cenários!AI116)</f>
        <v>-141044.509493021</v>
      </c>
      <c r="AJ17" s="68" t="n">
        <f aca="false">CHOOSE(Premissas!$B$6,Cenários!AJ28,Cenários!AJ72,Cenários!AJ116)</f>
        <v>-146012.27592696</v>
      </c>
      <c r="AK17" s="68" t="n">
        <f aca="false">CHOOSE(Premissas!$B$6,Cenários!AK28,Cenários!AK72,Cenários!AK116)</f>
        <v>-150648.646365833</v>
      </c>
      <c r="AL17" s="68" t="n">
        <f aca="false">CHOOSE(Premissas!$B$6,Cenários!AL28,Cenários!AL72,Cenários!AL116)</f>
        <v>-198553.352788218</v>
      </c>
      <c r="AM17" s="68" t="n">
        <f aca="false">CHOOSE(Premissas!$B$6,Cenários!AM28,Cenários!AM72,Cenários!AM116)</f>
        <v>-213618.09479739</v>
      </c>
      <c r="AN17" s="68" t="n">
        <f aca="false">CHOOSE(Premissas!$B$6,Cenários!AN28,Cenários!AN72,Cenários!AN116)</f>
        <v>-227701.759181583</v>
      </c>
      <c r="AO17" s="68" t="n">
        <f aca="false">CHOOSE(Premissas!$B$6,Cenários!AO28,Cenários!AO72,Cenários!AO116)</f>
        <v>-240871.123714611</v>
      </c>
      <c r="AP17" s="68" t="n">
        <f aca="false">CHOOSE(Premissas!$B$6,Cenários!AP28,Cenários!AP72,Cenários!AP116)</f>
        <v>-253181.622863444</v>
      </c>
      <c r="AQ17" s="68" t="n">
        <f aca="false">CHOOSE(Premissas!$B$6,Cenários!AQ28,Cenários!AQ72,Cenários!AQ116)</f>
        <v>-264695.905240451</v>
      </c>
      <c r="AR17" s="68" t="n">
        <f aca="false">CHOOSE(Premissas!$B$6,Cenários!AR28,Cenários!AR72,Cenários!AR116)</f>
        <v>-275465.194110909</v>
      </c>
      <c r="AS17" s="68" t="n">
        <f aca="false">CHOOSE(Premissas!$B$6,Cenários!AS28,Cenários!AS72,Cenários!AS116)</f>
        <v>-285529.449925456</v>
      </c>
      <c r="AT17" s="68" t="n">
        <f aca="false">CHOOSE(Premissas!$B$6,Cenários!AT28,Cenários!AT72,Cenários!AT116)</f>
        <v>-294932.10473814</v>
      </c>
      <c r="AU17" s="68" t="n">
        <f aca="false">CHOOSE(Premissas!$B$6,Cenários!AU28,Cenários!AU72,Cenários!AU116)</f>
        <v>-303738.839654721</v>
      </c>
      <c r="AV17" s="68" t="n">
        <f aca="false">CHOOSE(Premissas!$B$6,Cenários!AV28,Cenários!AV72,Cenários!AV116)</f>
        <v>-311970.415776743</v>
      </c>
      <c r="AW17" s="68" t="n">
        <f aca="false">CHOOSE(Premissas!$B$6,Cenários!AW28,Cenários!AW72,Cenários!AW116)</f>
        <v>-319658.702021273</v>
      </c>
      <c r="AX17" s="68" t="n">
        <f aca="false">CHOOSE(Premissas!$B$6,Cenários!AX28,Cenários!AX72,Cenários!AX116)</f>
        <v>-401761.928886957</v>
      </c>
      <c r="AY17" s="68" t="n">
        <f aca="false">CHOOSE(Premissas!$B$6,Cenários!AY28,Cenários!AY72,Cenários!AY116)</f>
        <v>-422714.630039219</v>
      </c>
      <c r="AZ17" s="68" t="n">
        <f aca="false">CHOOSE(Premissas!$B$6,Cenários!AZ28,Cenários!AZ72,Cenários!AZ116)</f>
        <v>-442418.94169272</v>
      </c>
      <c r="BA17" s="68" t="n">
        <f aca="false">CHOOSE(Premissas!$B$6,Cenários!BA28,Cenários!BA72,Cenários!BA116)</f>
        <v>-460933.779982936</v>
      </c>
      <c r="BB17" s="68" t="n">
        <f aca="false">CHOOSE(Premissas!$B$6,Cenários!BB28,Cenários!BB72,Cenários!BB116)</f>
        <v>-478337.164792611</v>
      </c>
      <c r="BC17" s="68" t="n">
        <f aca="false">CHOOSE(Premissas!$B$6,Cenários!BC28,Cenários!BC72,Cenários!BC116)</f>
        <v>-494699.167492539</v>
      </c>
      <c r="BD17" s="68" t="n">
        <f aca="false">CHOOSE(Premissas!$B$6,Cenários!BD28,Cenários!BD72,Cenários!BD116)</f>
        <v>-510077.875766155</v>
      </c>
      <c r="BE17" s="68" t="n">
        <f aca="false">CHOOSE(Premissas!$B$6,Cenários!BE28,Cenários!BE72,Cenários!BE116)</f>
        <v>-524538.998739378</v>
      </c>
      <c r="BF17" s="68" t="n">
        <f aca="false">CHOOSE(Premissas!$B$6,Cenários!BF28,Cenários!BF72,Cenários!BF116)</f>
        <v>-538128.578263333</v>
      </c>
      <c r="BG17" s="68" t="n">
        <f aca="false">CHOOSE(Premissas!$B$6,Cenários!BG28,Cenários!BG72,Cenários!BG116)</f>
        <v>-550900.206628308</v>
      </c>
      <c r="BH17" s="68" t="n">
        <f aca="false">CHOOSE(Premissas!$B$6,Cenários!BH28,Cenários!BH72,Cenários!BH116)</f>
        <v>-562899.537404747</v>
      </c>
      <c r="BI17" s="68" t="n">
        <f aca="false">CHOOSE(Premissas!$B$6,Cenários!BI28,Cenários!BI72,Cenários!BI116)</f>
        <v>-574199.310675503</v>
      </c>
      <c r="BJ17" s="69" t="n">
        <f aca="false">SUM(B17:BI17)</f>
        <v>-10956157.8614745</v>
      </c>
      <c r="BK17" s="70" t="n">
        <f aca="false">IFERROR(BJ17/BJ$14,0)</f>
        <v>-0.161998479312457</v>
      </c>
    </row>
    <row r="18" customFormat="false" ht="15" hidden="false" customHeight="false" outlineLevel="0" collapsed="false">
      <c r="A18" s="12" t="s">
        <v>204</v>
      </c>
      <c r="B18" s="68" t="n">
        <f aca="false">CHOOSE(Premissas!$B$6,Cenários!B29,Cenários!B73,Cenários!B117)</f>
        <v>-0</v>
      </c>
      <c r="C18" s="68" t="n">
        <f aca="false">CHOOSE(Premissas!$B$6,Cenários!C29,Cenários!C73,Cenários!C117)</f>
        <v>-0</v>
      </c>
      <c r="D18" s="68" t="n">
        <f aca="false">CHOOSE(Premissas!$B$6,Cenários!D29,Cenários!D73,Cenários!D117)</f>
        <v>-0</v>
      </c>
      <c r="E18" s="68" t="n">
        <f aca="false">CHOOSE(Premissas!$B$6,Cenários!E29,Cenários!E73,Cenários!E117)</f>
        <v>-0</v>
      </c>
      <c r="F18" s="68" t="n">
        <f aca="false">CHOOSE(Premissas!$B$6,Cenários!F29,Cenários!F73,Cenários!F117)</f>
        <v>-0</v>
      </c>
      <c r="G18" s="68" t="n">
        <f aca="false">CHOOSE(Premissas!$B$6,Cenários!G29,Cenários!G73,Cenários!G117)</f>
        <v>-0</v>
      </c>
      <c r="H18" s="68" t="n">
        <f aca="false">CHOOSE(Premissas!$B$6,Cenários!H29,Cenários!H73,Cenários!H117)</f>
        <v>-0</v>
      </c>
      <c r="I18" s="68" t="n">
        <f aca="false">CHOOSE(Premissas!$B$6,Cenários!I29,Cenários!I73,Cenários!I117)</f>
        <v>-0</v>
      </c>
      <c r="J18" s="68" t="n">
        <f aca="false">CHOOSE(Premissas!$B$6,Cenários!J29,Cenários!J73,Cenários!J117)</f>
        <v>-0</v>
      </c>
      <c r="K18" s="68" t="n">
        <f aca="false">CHOOSE(Premissas!$B$6,Cenários!K29,Cenários!K73,Cenários!K117)</f>
        <v>-3102.01125</v>
      </c>
      <c r="L18" s="68" t="n">
        <f aca="false">CHOOSE(Premissas!$B$6,Cenários!L29,Cenários!L73,Cenários!L117)</f>
        <v>-5955.0405</v>
      </c>
      <c r="M18" s="68" t="n">
        <f aca="false">CHOOSE(Premissas!$B$6,Cenários!M29,Cenários!M73,Cenários!M117)</f>
        <v>-8587.074</v>
      </c>
      <c r="N18" s="68" t="n">
        <f aca="false">CHOOSE(Premissas!$B$6,Cenários!N29,Cenários!N73,Cenários!N117)</f>
        <v>-13142.45922</v>
      </c>
      <c r="O18" s="68" t="n">
        <f aca="false">CHOOSE(Premissas!$B$6,Cenários!O29,Cenários!O73,Cenários!O117)</f>
        <v>-16393.71756</v>
      </c>
      <c r="P18" s="68" t="n">
        <f aca="false">CHOOSE(Premissas!$B$6,Cenários!P29,Cenários!P73,Cenários!P117)</f>
        <v>-19392.55824</v>
      </c>
      <c r="Q18" s="68" t="n">
        <f aca="false">CHOOSE(Premissas!$B$6,Cenários!Q29,Cenários!Q73,Cenários!Q117)</f>
        <v>-22179.02148</v>
      </c>
      <c r="R18" s="68" t="n">
        <f aca="false">CHOOSE(Premissas!$B$6,Cenários!R29,Cenários!R73,Cenários!R117)</f>
        <v>-24743.01258</v>
      </c>
      <c r="S18" s="68" t="n">
        <f aca="false">CHOOSE(Premissas!$B$6,Cenários!S29,Cenários!S73,Cenários!S117)</f>
        <v>-27124.60938</v>
      </c>
      <c r="T18" s="68" t="n">
        <f aca="false">CHOOSE(Premissas!$B$6,Cenários!T29,Cenários!T73,Cenários!T117)</f>
        <v>-29323.77426</v>
      </c>
      <c r="U18" s="68" t="n">
        <f aca="false">CHOOSE(Premissas!$B$6,Cenários!U29,Cenários!U73,Cenários!U117)</f>
        <v>-31350.47652</v>
      </c>
      <c r="V18" s="68" t="n">
        <f aca="false">CHOOSE(Premissas!$B$6,Cenários!V29,Cenários!V73,Cenários!V117)</f>
        <v>-33237.27</v>
      </c>
      <c r="W18" s="68" t="n">
        <f aca="false">CHOOSE(Premissas!$B$6,Cenários!W29,Cenários!W73,Cenários!W117)</f>
        <v>-34974.08508</v>
      </c>
      <c r="X18" s="68" t="n">
        <f aca="false">CHOOSE(Premissas!$B$6,Cenários!X29,Cenários!X73,Cenários!X117)</f>
        <v>-36585.97668</v>
      </c>
      <c r="Y18" s="68" t="n">
        <f aca="false">CHOOSE(Premissas!$B$6,Cenários!Y29,Cenários!Y73,Cenários!Y117)</f>
        <v>-38085.43464</v>
      </c>
      <c r="Z18" s="68" t="n">
        <f aca="false">CHOOSE(Premissas!$B$6,Cenários!Z29,Cenários!Z73,Cenários!Z117)</f>
        <v>-49800.3286213125</v>
      </c>
      <c r="AA18" s="68" t="n">
        <f aca="false">CHOOSE(Premissas!$B$6,Cenários!AA29,Cenários!AA73,Cenários!AA117)</f>
        <v>-56105.89664625</v>
      </c>
      <c r="AB18" s="68" t="n">
        <f aca="false">CHOOSE(Premissas!$B$6,Cenários!AB29,Cenários!AB73,Cenários!AB117)</f>
        <v>-61960.8651255</v>
      </c>
      <c r="AC18" s="68" t="n">
        <f aca="false">CHOOSE(Premissas!$B$6,Cenários!AC29,Cenários!AC73,Cenários!AC117)</f>
        <v>-67409.33821875</v>
      </c>
      <c r="AD18" s="68" t="n">
        <f aca="false">CHOOSE(Premissas!$B$6,Cenários!AD29,Cenários!AD73,Cenários!AD117)</f>
        <v>-72470.8986643125</v>
      </c>
      <c r="AE18" s="68" t="n">
        <f aca="false">CHOOSE(Premissas!$B$6,Cenários!AE29,Cenários!AE73,Cenários!AE117)</f>
        <v>-77182.3040236875</v>
      </c>
      <c r="AF18" s="68" t="n">
        <f aca="false">CHOOSE(Premissas!$B$6,Cenários!AF29,Cenários!AF73,Cenários!AF117)</f>
        <v>-81565.5818061562</v>
      </c>
      <c r="AG18" s="68" t="n">
        <f aca="false">CHOOSE(Premissas!$B$6,Cenários!AG29,Cenários!AG73,Cenários!AG117)</f>
        <v>-85645.2288625312</v>
      </c>
      <c r="AH18" s="68" t="n">
        <f aca="false">CHOOSE(Premissas!$B$6,Cenários!AH29,Cenários!AH73,Cenários!AH117)</f>
        <v>-89438.3585895937</v>
      </c>
      <c r="AI18" s="68" t="n">
        <f aca="false">CHOOSE(Premissas!$B$6,Cenários!AI29,Cenários!AI73,Cenários!AI117)</f>
        <v>-92959.6518984375</v>
      </c>
      <c r="AJ18" s="68" t="n">
        <f aca="false">CHOOSE(Premissas!$B$6,Cenários!AJ29,Cenários!AJ73,Cenários!AJ117)</f>
        <v>-96233.6302104375</v>
      </c>
      <c r="AK18" s="68" t="n">
        <f aca="false">CHOOSE(Premissas!$B$6,Cenários!AK29,Cenários!AK73,Cenários!AK117)</f>
        <v>-99289.692203625</v>
      </c>
      <c r="AL18" s="68" t="n">
        <f aca="false">CHOOSE(Premissas!$B$6,Cenários!AL29,Cenários!AL73,Cenários!AL117)</f>
        <v>-123801.793020759</v>
      </c>
      <c r="AM18" s="68" t="n">
        <f aca="false">CHOOSE(Premissas!$B$6,Cenários!AM29,Cenários!AM73,Cenários!AM117)</f>
        <v>-133194.970127587</v>
      </c>
      <c r="AN18" s="68" t="n">
        <f aca="false">CHOOSE(Premissas!$B$6,Cenários!AN29,Cenários!AN73,Cenários!AN117)</f>
        <v>-141976.35438081</v>
      </c>
      <c r="AO18" s="68" t="n">
        <f aca="false">CHOOSE(Premissas!$B$6,Cenários!AO29,Cenários!AO73,Cenários!AO117)</f>
        <v>-150187.701505406</v>
      </c>
      <c r="AP18" s="68" t="n">
        <f aca="false">CHOOSE(Premissas!$B$6,Cenários!AP29,Cenários!AP73,Cenários!AP117)</f>
        <v>-157863.421768244</v>
      </c>
      <c r="AQ18" s="68" t="n">
        <f aca="false">CHOOSE(Premissas!$B$6,Cenários!AQ29,Cenários!AQ73,Cenários!AQ117)</f>
        <v>-165042.842949255</v>
      </c>
      <c r="AR18" s="68" t="n">
        <f aca="false">CHOOSE(Premissas!$B$6,Cenários!AR29,Cenários!AR73,Cenários!AR117)</f>
        <v>-171757.873422694</v>
      </c>
      <c r="AS18" s="68" t="n">
        <f aca="false">CHOOSE(Premissas!$B$6,Cenários!AS29,Cenários!AS73,Cenários!AS117)</f>
        <v>-178033.100753891</v>
      </c>
      <c r="AT18" s="68" t="n">
        <f aca="false">CHOOSE(Premissas!$B$6,Cenários!AT29,Cenários!AT73,Cenários!AT117)</f>
        <v>-183895.528128627</v>
      </c>
      <c r="AU18" s="68" t="n">
        <f aca="false">CHOOSE(Premissas!$B$6,Cenários!AU29,Cenários!AU73,Cenários!AU117)</f>
        <v>-189386.985219448</v>
      </c>
      <c r="AV18" s="68" t="n">
        <f aca="false">CHOOSE(Premissas!$B$6,Cenários!AV29,Cenários!AV73,Cenários!AV117)</f>
        <v>-194519.698023752</v>
      </c>
      <c r="AW18" s="68" t="n">
        <f aca="false">CHOOSE(Premissas!$B$6,Cenários!AW29,Cenários!AW73,Cenários!AW117)</f>
        <v>-199313.3365938</v>
      </c>
      <c r="AX18" s="68" t="n">
        <f aca="false">CHOOSE(Premissas!$B$6,Cenários!AX29,Cenários!AX73,Cenários!AX117)</f>
        <v>-242764.654673556</v>
      </c>
      <c r="AY18" s="68" t="n">
        <f aca="false">CHOOSE(Premissas!$B$6,Cenários!AY29,Cenários!AY73,Cenários!AY117)</f>
        <v>-255425.188194584</v>
      </c>
      <c r="AZ18" s="68" t="n">
        <f aca="false">CHOOSE(Premissas!$B$6,Cenários!AZ29,Cenários!AZ73,Cenários!AZ117)</f>
        <v>-267331.730365032</v>
      </c>
      <c r="BA18" s="68" t="n">
        <f aca="false">CHOOSE(Premissas!$B$6,Cenários!BA29,Cenários!BA73,Cenários!BA117)</f>
        <v>-278519.241060195</v>
      </c>
      <c r="BB18" s="68" t="n">
        <f aca="false">CHOOSE(Premissas!$B$6,Cenários!BB29,Cenários!BB73,Cenários!BB117)</f>
        <v>-289035.138993451</v>
      </c>
      <c r="BC18" s="68" t="n">
        <f aca="false">CHOOSE(Premissas!$B$6,Cenários!BC29,Cenários!BC73,Cenários!BC117)</f>
        <v>-298921.896907279</v>
      </c>
      <c r="BD18" s="68" t="n">
        <f aca="false">CHOOSE(Premissas!$B$6,Cenários!BD29,Cenários!BD73,Cenários!BD117)</f>
        <v>-308214.437112638</v>
      </c>
      <c r="BE18" s="68" t="n">
        <f aca="false">CHOOSE(Premissas!$B$6,Cenários!BE29,Cenários!BE73,Cenários!BE117)</f>
        <v>-316952.728062947</v>
      </c>
      <c r="BF18" s="68" t="n">
        <f aca="false">CHOOSE(Premissas!$B$6,Cenários!BF29,Cenários!BF73,Cenários!BF117)</f>
        <v>-325164.229287765</v>
      </c>
      <c r="BG18" s="68" t="n">
        <f aca="false">CHOOSE(Premissas!$B$6,Cenários!BG29,Cenários!BG73,Cenários!BG117)</f>
        <v>-332881.383851879</v>
      </c>
      <c r="BH18" s="68" t="n">
        <f aca="false">CHOOSE(Premissas!$B$6,Cenários!BH29,Cenários!BH73,Cenários!BH117)</f>
        <v>-340131.651284847</v>
      </c>
      <c r="BI18" s="68" t="n">
        <f aca="false">CHOOSE(Premissas!$B$6,Cenários!BI29,Cenários!BI73,Cenários!BI117)</f>
        <v>-346960.021139656</v>
      </c>
      <c r="BJ18" s="69" t="n">
        <f aca="false">SUM(B18:BI18)</f>
        <v>-6865514.2030887</v>
      </c>
      <c r="BK18" s="70" t="n">
        <f aca="false">IFERROR(BJ18/BJ$14,0)</f>
        <v>-0.101513949932149</v>
      </c>
    </row>
    <row r="19" customFormat="false" ht="15" hidden="false" customHeight="false" outlineLevel="0" collapsed="false">
      <c r="A19" s="12" t="s">
        <v>206</v>
      </c>
      <c r="B19" s="68" t="n">
        <f aca="false">CHOOSE(Premissas!$B$6,Cenários!B30,Cenários!B74,Cenários!B118)</f>
        <v>-0</v>
      </c>
      <c r="C19" s="68" t="n">
        <f aca="false">CHOOSE(Premissas!$B$6,Cenários!C30,Cenários!C74,Cenários!C118)</f>
        <v>-0</v>
      </c>
      <c r="D19" s="68" t="n">
        <f aca="false">CHOOSE(Premissas!$B$6,Cenários!D30,Cenários!D74,Cenários!D118)</f>
        <v>-0</v>
      </c>
      <c r="E19" s="68" t="n">
        <f aca="false">CHOOSE(Premissas!$B$6,Cenários!E30,Cenários!E74,Cenários!E118)</f>
        <v>-0</v>
      </c>
      <c r="F19" s="68" t="n">
        <f aca="false">CHOOSE(Premissas!$B$6,Cenários!F30,Cenários!F74,Cenários!F118)</f>
        <v>-0</v>
      </c>
      <c r="G19" s="68" t="n">
        <f aca="false">CHOOSE(Premissas!$B$6,Cenários!G30,Cenários!G74,Cenários!G118)</f>
        <v>-0</v>
      </c>
      <c r="H19" s="68" t="n">
        <f aca="false">CHOOSE(Premissas!$B$6,Cenários!H30,Cenários!H74,Cenários!H118)</f>
        <v>-0</v>
      </c>
      <c r="I19" s="68" t="n">
        <f aca="false">CHOOSE(Premissas!$B$6,Cenários!I30,Cenários!I74,Cenários!I118)</f>
        <v>-0</v>
      </c>
      <c r="J19" s="68" t="n">
        <f aca="false">CHOOSE(Premissas!$B$6,Cenários!J30,Cenários!J74,Cenários!J118)</f>
        <v>-0</v>
      </c>
      <c r="K19" s="68" t="n">
        <f aca="false">CHOOSE(Premissas!$B$6,Cenários!K30,Cenários!K74,Cenários!K118)</f>
        <v>-164.224125</v>
      </c>
      <c r="L19" s="68" t="n">
        <f aca="false">CHOOSE(Premissas!$B$6,Cenários!L30,Cenários!L74,Cenários!L118)</f>
        <v>-315.26685</v>
      </c>
      <c r="M19" s="68" t="n">
        <f aca="false">CHOOSE(Premissas!$B$6,Cenários!M30,Cenários!M74,Cenários!M118)</f>
        <v>-454.6098</v>
      </c>
      <c r="N19" s="68" t="n">
        <f aca="false">CHOOSE(Premissas!$B$6,Cenários!N30,Cenários!N74,Cenários!N118)</f>
        <v>-1147.08205935</v>
      </c>
      <c r="O19" s="68" t="n">
        <f aca="false">CHOOSE(Premissas!$B$6,Cenários!O30,Cenários!O74,Cenários!O118)</f>
        <v>-1430.79661351125</v>
      </c>
      <c r="P19" s="68" t="n">
        <f aca="false">CHOOSE(Premissas!$B$6,Cenários!P30,Cenários!P74,Cenários!P118)</f>
        <v>-1692.58957977291</v>
      </c>
      <c r="Q19" s="68" t="n">
        <f aca="false">CHOOSE(Premissas!$B$6,Cenários!Q30,Cenários!Q74,Cenários!Q118)</f>
        <v>-1935.68824438994</v>
      </c>
      <c r="R19" s="68" t="n">
        <f aca="false">CHOOSE(Premissas!$B$6,Cenários!R30,Cenários!R74,Cenários!R118)</f>
        <v>-2159.54295438569</v>
      </c>
      <c r="S19" s="68" t="n">
        <f aca="false">CHOOSE(Premissas!$B$6,Cenários!S30,Cenários!S74,Cenários!S118)</f>
        <v>-2367.35143856927</v>
      </c>
      <c r="T19" s="68" t="n">
        <f aca="false">CHOOSE(Premissas!$B$6,Cenários!T30,Cenários!T74,Cenários!T118)</f>
        <v>-2559.28837443907</v>
      </c>
      <c r="U19" s="68" t="n">
        <f aca="false">CHOOSE(Premissas!$B$6,Cenários!U30,Cenários!U74,Cenários!U118)</f>
        <v>-2736.26564606864</v>
      </c>
      <c r="V19" s="68" t="n">
        <f aca="false">CHOOSE(Premissas!$B$6,Cenários!V30,Cenários!V74,Cenários!V118)</f>
        <v>-2900.87666403849</v>
      </c>
      <c r="W19" s="68" t="n">
        <f aca="false">CHOOSE(Premissas!$B$6,Cenários!W30,Cenários!W74,Cenários!W118)</f>
        <v>-3052.50668898561</v>
      </c>
      <c r="X19" s="68" t="n">
        <f aca="false">CHOOSE(Premissas!$B$6,Cenários!X30,Cenários!X74,Cenários!X118)</f>
        <v>-3193.16478588668</v>
      </c>
      <c r="Y19" s="68" t="n">
        <f aca="false">CHOOSE(Premissas!$B$6,Cenários!Y30,Cenários!Y74,Cenários!Y118)</f>
        <v>-3323.90789277018</v>
      </c>
      <c r="Z19" s="68" t="n">
        <f aca="false">CHOOSE(Premissas!$B$6,Cenários!Z30,Cenários!Z74,Cenários!Z118)</f>
        <v>-5881.84581902503</v>
      </c>
      <c r="AA19" s="68" t="n">
        <f aca="false">CHOOSE(Premissas!$B$6,Cenários!AA30,Cenários!AA74,Cenários!AA118)</f>
        <v>-6626.46321453622</v>
      </c>
      <c r="AB19" s="68" t="n">
        <f aca="false">CHOOSE(Premissas!$B$6,Cenários!AB30,Cenários!AB74,Cenários!AB118)</f>
        <v>-7318.03641396743</v>
      </c>
      <c r="AC19" s="68" t="n">
        <f aca="false">CHOOSE(Premissas!$B$6,Cenários!AC30,Cenários!AC74,Cenários!AC118)</f>
        <v>-7961.53473019321</v>
      </c>
      <c r="AD19" s="68" t="n">
        <f aca="false">CHOOSE(Premissas!$B$6,Cenários!AD30,Cenários!AD74,Cenários!AD118)</f>
        <v>-8559.43621116719</v>
      </c>
      <c r="AE19" s="68" t="n">
        <f aca="false">CHOOSE(Premissas!$B$6,Cenários!AE30,Cenários!AE74,Cenários!AE118)</f>
        <v>-9115.90000297317</v>
      </c>
      <c r="AF19" s="68" t="n">
        <f aca="false">CHOOSE(Premissas!$B$6,Cenários!AF30,Cenários!AF74,Cenários!AF118)</f>
        <v>-9633.57840917774</v>
      </c>
      <c r="AG19" s="68" t="n">
        <f aca="false">CHOOSE(Premissas!$B$6,Cenários!AG30,Cenários!AG74,Cenários!AG118)</f>
        <v>-10115.3391988159</v>
      </c>
      <c r="AH19" s="68" t="n">
        <f aca="false">CHOOSE(Premissas!$B$6,Cenários!AH30,Cenários!AH74,Cenários!AH118)</f>
        <v>-10563.2825296427</v>
      </c>
      <c r="AI19" s="68" t="n">
        <f aca="false">CHOOSE(Premissas!$B$6,Cenários!AI30,Cenários!AI74,Cenários!AI118)</f>
        <v>-10979.2380935793</v>
      </c>
      <c r="AJ19" s="68" t="n">
        <f aca="false">CHOOSE(Premissas!$B$6,Cenários!AJ30,Cenários!AJ74,Cenários!AJ118)</f>
        <v>-11365.9943215178</v>
      </c>
      <c r="AK19" s="68" t="n">
        <f aca="false">CHOOSE(Premissas!$B$6,Cenários!AK30,Cenários!AK74,Cenários!AK118)</f>
        <v>-11726.8038298034</v>
      </c>
      <c r="AL19" s="68" t="n">
        <f aca="false">CHOOSE(Premissas!$B$6,Cenários!AL30,Cenários!AL74,Cenários!AL118)</f>
        <v>-17574.1030948121</v>
      </c>
      <c r="AM19" s="68" t="n">
        <f aca="false">CHOOSE(Premissas!$B$6,Cenários!AM30,Cenários!AM74,Cenários!AM118)</f>
        <v>-18907.4873198534</v>
      </c>
      <c r="AN19" s="68" t="n">
        <f aca="false">CHOOSE(Premissas!$B$6,Cenários!AN30,Cenários!AN74,Cenários!AN118)</f>
        <v>-20154.0573304064</v>
      </c>
      <c r="AO19" s="68" t="n">
        <f aca="false">CHOOSE(Premissas!$B$6,Cenários!AO30,Cenários!AO74,Cenários!AO118)</f>
        <v>-21319.6881225207</v>
      </c>
      <c r="AP19" s="68" t="n">
        <f aca="false">CHOOSE(Premissas!$B$6,Cenários!AP30,Cenários!AP74,Cenários!AP118)</f>
        <v>-22409.3324949706</v>
      </c>
      <c r="AQ19" s="68" t="n">
        <f aca="false">CHOOSE(Premissas!$B$6,Cenários!AQ30,Cenários!AQ74,Cenários!AQ118)</f>
        <v>-23428.4559689913</v>
      </c>
      <c r="AR19" s="68" t="n">
        <f aca="false">CHOOSE(Premissas!$B$6,Cenários!AR30,Cenários!AR74,Cenários!AR118)</f>
        <v>-24381.6014452733</v>
      </c>
      <c r="AS19" s="68" t="n">
        <f aca="false">CHOOSE(Premissas!$B$6,Cenários!AS30,Cenários!AS74,Cenários!AS118)</f>
        <v>-25272.4044134256</v>
      </c>
      <c r="AT19" s="68" t="n">
        <f aca="false">CHOOSE(Premissas!$B$6,Cenários!AT30,Cenários!AT74,Cenários!AT118)</f>
        <v>-26104.7323343225</v>
      </c>
      <c r="AU19" s="68" t="n">
        <f aca="false">CHOOSE(Premissas!$B$6,Cenários!AU30,Cenários!AU74,Cenários!AU118)</f>
        <v>-26884.1358148294</v>
      </c>
      <c r="AV19" s="68" t="n">
        <f aca="false">CHOOSE(Premissas!$B$6,Cenários!AV30,Cenários!AV74,Cenários!AV118)</f>
        <v>-27612.668118615</v>
      </c>
      <c r="AW19" s="68" t="n">
        <f aca="false">CHOOSE(Premissas!$B$6,Cenários!AW30,Cenários!AW74,Cenários!AW118)</f>
        <v>-28293.2102340908</v>
      </c>
      <c r="AX19" s="68" t="n">
        <f aca="false">CHOOSE(Premissas!$B$6,Cenários!AX30,Cenários!AX74,Cenários!AX118)</f>
        <v>-37882.7089250186</v>
      </c>
      <c r="AY19" s="68" t="n">
        <f aca="false">CHOOSE(Premissas!$B$6,Cenários!AY30,Cenários!AY74,Cenários!AY118)</f>
        <v>-39858.4101782742</v>
      </c>
      <c r="AZ19" s="68" t="n">
        <f aca="false">CHOOSE(Premissas!$B$6,Cenários!AZ30,Cenários!AZ74,Cenários!AZ118)</f>
        <v>-41716.2945841364</v>
      </c>
      <c r="BA19" s="68" t="n">
        <f aca="false">CHOOSE(Premissas!$B$6,Cenários!BA30,Cenários!BA74,Cenários!BA118)</f>
        <v>-43462.1094898538</v>
      </c>
      <c r="BB19" s="68" t="n">
        <f aca="false">CHOOSE(Premissas!$B$6,Cenários!BB30,Cenários!BB74,Cenários!BB118)</f>
        <v>-45103.128942917</v>
      </c>
      <c r="BC19" s="68" t="n">
        <f aca="false">CHOOSE(Premissas!$B$6,Cenários!BC30,Cenários!BC74,Cenários!BC118)</f>
        <v>-46645.9204389264</v>
      </c>
      <c r="BD19" s="68" t="n">
        <f aca="false">CHOOSE(Premissas!$B$6,Cenários!BD30,Cenários!BD74,Cenários!BD118)</f>
        <v>-48096.0143008503</v>
      </c>
      <c r="BE19" s="68" t="n">
        <f aca="false">CHOOSE(Premissas!$B$6,Cenários!BE30,Cenários!BE74,Cenários!BE118)</f>
        <v>-49459.527222708</v>
      </c>
      <c r="BF19" s="68" t="n">
        <f aca="false">CHOOSE(Premissas!$B$6,Cenários!BF30,Cenários!BF74,Cenários!BF118)</f>
        <v>-50740.9089347362</v>
      </c>
      <c r="BG19" s="68" t="n">
        <f aca="false">CHOOSE(Premissas!$B$6,Cenários!BG30,Cenários!BG74,Cenários!BG118)</f>
        <v>-51945.194754258</v>
      </c>
      <c r="BH19" s="68" t="n">
        <f aca="false">CHOOSE(Premissas!$B$6,Cenários!BH30,Cenários!BH74,Cenários!BH118)</f>
        <v>-53076.7274143843</v>
      </c>
      <c r="BI19" s="68" t="n">
        <f aca="false">CHOOSE(Premissas!$B$6,Cenários!BI30,Cenários!BI74,Cenários!BI118)</f>
        <v>-54142.0547750513</v>
      </c>
      <c r="BJ19" s="69" t="n">
        <f aca="false">SUM(B19:BI19)</f>
        <v>-983751.491144792</v>
      </c>
      <c r="BK19" s="70" t="n">
        <f aca="false">IFERROR(BJ19/BJ$14,0)</f>
        <v>-0.0145458150203552</v>
      </c>
    </row>
    <row r="20" customFormat="false" ht="15" hidden="false" customHeight="false" outlineLevel="0" collapsed="false">
      <c r="A20" s="34" t="s">
        <v>300</v>
      </c>
      <c r="B20" s="69" t="n">
        <f aca="false">B14+SUM(B17:B19)</f>
        <v>0</v>
      </c>
      <c r="C20" s="69" t="n">
        <f aca="false">C14+SUM(C17:C19)</f>
        <v>0</v>
      </c>
      <c r="D20" s="69" t="n">
        <f aca="false">D14+SUM(D17:D19)</f>
        <v>0</v>
      </c>
      <c r="E20" s="69" t="n">
        <f aca="false">E14+SUM(E17:E19)</f>
        <v>0</v>
      </c>
      <c r="F20" s="69" t="n">
        <f aca="false">F14+SUM(F17:F19)</f>
        <v>0</v>
      </c>
      <c r="G20" s="69" t="n">
        <f aca="false">G14+SUM(G17:G19)</f>
        <v>0</v>
      </c>
      <c r="H20" s="69" t="n">
        <f aca="false">H14+SUM(H17:H19)</f>
        <v>0</v>
      </c>
      <c r="I20" s="69" t="n">
        <f aca="false">I14+SUM(I17:I19)</f>
        <v>0</v>
      </c>
      <c r="J20" s="69" t="n">
        <f aca="false">J14+SUM(J17:J19)</f>
        <v>0</v>
      </c>
      <c r="K20" s="69" t="n">
        <f aca="false">K14+SUM(K17:K19)</f>
        <v>19603.494625</v>
      </c>
      <c r="L20" s="69" t="n">
        <f aca="false">L14+SUM(L17:L19)</f>
        <v>37633.52065</v>
      </c>
      <c r="M20" s="69" t="n">
        <f aca="false">M14+SUM(M17:M19)</f>
        <v>54266.9402</v>
      </c>
      <c r="N20" s="69" t="n">
        <f aca="false">N14+SUM(N17:N19)</f>
        <v>92031.13951685</v>
      </c>
      <c r="O20" s="69" t="n">
        <f aca="false">O14+SUM(O17:O19)</f>
        <v>112711.628759875</v>
      </c>
      <c r="P20" s="69" t="n">
        <f aca="false">P14+SUM(P17:P19)</f>
        <v>130779.878250962</v>
      </c>
      <c r="Q20" s="69" t="n">
        <f aca="false">Q14+SUM(Q17:Q19)</f>
        <v>147010.749599806</v>
      </c>
      <c r="R20" s="69" t="n">
        <f aca="false">R14+SUM(R17:R19)</f>
        <v>162084.1055623</v>
      </c>
      <c r="S20" s="69" t="n">
        <f aca="false">S14+SUM(S17:S19)</f>
        <v>175233.175028744</v>
      </c>
      <c r="T20" s="69" t="n">
        <f aca="false">T14+SUM(T17:T19)</f>
        <v>187619.152830538</v>
      </c>
      <c r="U20" s="69" t="n">
        <f aca="false">U14+SUM(U17:U19)</f>
        <v>199188.732758641</v>
      </c>
      <c r="V20" s="69" t="n">
        <f aca="false">V14+SUM(V17:V19)</f>
        <v>210071.164157819</v>
      </c>
      <c r="W20" s="69" t="n">
        <f aca="false">W14+SUM(W17:W19)</f>
        <v>218620.441150402</v>
      </c>
      <c r="X20" s="69" t="n">
        <f aca="false">X14+SUM(X17:X19)</f>
        <v>226303.241404571</v>
      </c>
      <c r="Y20" s="69" t="n">
        <f aca="false">Y14+SUM(Y17:Y19)</f>
        <v>233677.705853202</v>
      </c>
      <c r="Z20" s="69" t="n">
        <f aca="false">Z14+SUM(Z17:Z19)</f>
        <v>330545.756403955</v>
      </c>
      <c r="AA20" s="69" t="n">
        <f aca="false">AA14+SUM(AA17:AA19)</f>
        <v>369817.652196752</v>
      </c>
      <c r="AB20" s="69" t="n">
        <f aca="false">AB14+SUM(AB17:AB19)</f>
        <v>405952.797730883</v>
      </c>
      <c r="AC20" s="69" t="n">
        <f aca="false">AC14+SUM(AC17:AC19)</f>
        <v>447041.666402007</v>
      </c>
      <c r="AD20" s="69" t="n">
        <f aca="false">AD14+SUM(AD17:AD19)</f>
        <v>469635.770855085</v>
      </c>
      <c r="AE20" s="69" t="n">
        <f aca="false">AE14+SUM(AE17:AE19)</f>
        <v>513719.655206083</v>
      </c>
      <c r="AF20" s="69" t="n">
        <f aca="false">AF14+SUM(AF17:AF19)</f>
        <v>542893.98965405</v>
      </c>
      <c r="AG20" s="69" t="n">
        <f aca="false">AG14+SUM(AG17:AG19)</f>
        <v>570046.392037169</v>
      </c>
      <c r="AH20" s="69" t="n">
        <f aca="false">AH14+SUM(AH17:AH19)</f>
        <v>595292.156261342</v>
      </c>
      <c r="AI20" s="69" t="n">
        <f aca="false">AI14+SUM(AI17:AI19)</f>
        <v>618730.681917418</v>
      </c>
      <c r="AJ20" s="69" t="n">
        <f aca="false">AJ14+SUM(AJ17:AJ19)</f>
        <v>640523.285866619</v>
      </c>
      <c r="AK20" s="69" t="n">
        <f aca="false">AK14+SUM(AK17:AK19)</f>
        <v>660861.779620536</v>
      </c>
      <c r="AL20" s="69" t="n">
        <f aca="false">AL14+SUM(AL17:AL19)</f>
        <v>875951.66223043</v>
      </c>
      <c r="AM20" s="69" t="n">
        <f aca="false">AM14+SUM(AM17:AM19)</f>
        <v>942412.300158049</v>
      </c>
      <c r="AN20" s="69" t="n">
        <f aca="false">AN14+SUM(AN17:AN19)</f>
        <v>1004544.7989883</v>
      </c>
      <c r="AO20" s="69" t="n">
        <f aca="false">AO14+SUM(AO17:AO19)</f>
        <v>1062643.67719396</v>
      </c>
      <c r="AP20" s="69" t="n">
        <f aca="false">AP14+SUM(AP17:AP19)</f>
        <v>1116953.60121654</v>
      </c>
      <c r="AQ20" s="69" t="n">
        <f aca="false">AQ14+SUM(AQ17:AQ19)</f>
        <v>1167750.77036948</v>
      </c>
      <c r="AR20" s="69" t="n">
        <f aca="false">AR14+SUM(AR17:AR19)</f>
        <v>1215261.18595627</v>
      </c>
      <c r="AS20" s="69" t="n">
        <f aca="false">AS14+SUM(AS17:AS19)</f>
        <v>1259661.37023151</v>
      </c>
      <c r="AT20" s="69" t="n">
        <f aca="false">AT14+SUM(AT17:AT19)</f>
        <v>1301142.98530803</v>
      </c>
      <c r="AU20" s="69" t="n">
        <f aca="false">AU14+SUM(AU17:AU19)</f>
        <v>1339995.18110353</v>
      </c>
      <c r="AV20" s="69" t="n">
        <f aca="false">AV14+SUM(AV17:AV19)</f>
        <v>1376310.05198624</v>
      </c>
      <c r="AW20" s="69" t="n">
        <f aca="false">AW14+SUM(AW17:AW19)</f>
        <v>1410228.33364485</v>
      </c>
      <c r="AX20" s="69" t="n">
        <f aca="false">AX14+SUM(AX17:AX19)</f>
        <v>1777859.71478303</v>
      </c>
      <c r="AY20" s="69" t="n">
        <f aca="false">AY14+SUM(AY17:AY19)</f>
        <v>1870578.80795791</v>
      </c>
      <c r="AZ20" s="69" t="n">
        <f aca="false">AZ14+SUM(AZ17:AZ19)</f>
        <v>1957773.33766136</v>
      </c>
      <c r="BA20" s="69" t="n">
        <f aca="false">BA14+SUM(BA17:BA19)</f>
        <v>2039704.4651984</v>
      </c>
      <c r="BB20" s="69" t="n">
        <f aca="false">BB14+SUM(BB17:BB19)</f>
        <v>2116717.24818107</v>
      </c>
      <c r="BC20" s="69" t="n">
        <f aca="false">BC14+SUM(BC17:BC19)</f>
        <v>2189121.6709637</v>
      </c>
      <c r="BD20" s="69" t="n">
        <f aca="false">BD14+SUM(BD17:BD19)</f>
        <v>2257174.90470128</v>
      </c>
      <c r="BE20" s="69" t="n">
        <f aca="false">BE14+SUM(BE17:BE19)</f>
        <v>2321167.53801035</v>
      </c>
      <c r="BF20" s="69" t="n">
        <f aca="false">BF14+SUM(BF17:BF19)</f>
        <v>2381303.56620451</v>
      </c>
      <c r="BG20" s="69" t="n">
        <f aca="false">BG14+SUM(BG17:BG19)</f>
        <v>2437820.10165048</v>
      </c>
      <c r="BH20" s="69" t="n">
        <f aca="false">BH14+SUM(BH17:BH19)</f>
        <v>2490919.25722576</v>
      </c>
      <c r="BI20" s="69" t="n">
        <f aca="false">BI14+SUM(BI17:BI19)</f>
        <v>2540922.19378641</v>
      </c>
      <c r="BJ20" s="69" t="n">
        <f aca="false">SUM(B20:BI20)</f>
        <v>48825815.3792121</v>
      </c>
      <c r="BK20" s="70" t="n">
        <f aca="false">IFERROR(BJ20/BJ$14,0)</f>
        <v>0.721941755735039</v>
      </c>
    </row>
    <row r="21" customFormat="false" ht="15" hidden="false" customHeight="false" outlineLevel="0" collapsed="false">
      <c r="A21" s="76" t="s">
        <v>301</v>
      </c>
      <c r="B21" s="92" t="n">
        <f aca="false">CHOOSE(Premissas!$B$6,Cenários!B27,Cenários!B71,Cenários!B115)</f>
        <v>0.06</v>
      </c>
      <c r="C21" s="92" t="n">
        <f aca="false">CHOOSE(Premissas!$B$6,Cenários!C27,Cenários!C71,Cenários!C115)</f>
        <v>0.06</v>
      </c>
      <c r="D21" s="92" t="n">
        <f aca="false">CHOOSE(Premissas!$B$6,Cenários!D27,Cenários!D71,Cenários!D115)</f>
        <v>0.06</v>
      </c>
      <c r="E21" s="92" t="n">
        <f aca="false">CHOOSE(Premissas!$B$6,Cenários!E27,Cenários!E71,Cenários!E115)</f>
        <v>0.06</v>
      </c>
      <c r="F21" s="92" t="n">
        <f aca="false">CHOOSE(Premissas!$B$6,Cenários!F27,Cenários!F71,Cenários!F115)</f>
        <v>0.06</v>
      </c>
      <c r="G21" s="92" t="n">
        <f aca="false">CHOOSE(Premissas!$B$6,Cenários!G27,Cenários!G71,Cenários!G115)</f>
        <v>0.06</v>
      </c>
      <c r="H21" s="92" t="n">
        <f aca="false">CHOOSE(Premissas!$B$6,Cenários!H27,Cenários!H71,Cenários!H115)</f>
        <v>0.06</v>
      </c>
      <c r="I21" s="92" t="n">
        <f aca="false">CHOOSE(Premissas!$B$6,Cenários!I27,Cenários!I71,Cenários!I115)</f>
        <v>0.06</v>
      </c>
      <c r="J21" s="92" t="n">
        <f aca="false">CHOOSE(Premissas!$B$6,Cenários!J27,Cenários!J71,Cenários!J115)</f>
        <v>0.06</v>
      </c>
      <c r="K21" s="92" t="n">
        <f aca="false">CHOOSE(Premissas!$B$6,Cenários!K27,Cenários!K71,Cenários!K115)</f>
        <v>0.06</v>
      </c>
      <c r="L21" s="92" t="n">
        <f aca="false">CHOOSE(Premissas!$B$6,Cenários!L27,Cenários!L71,Cenários!L115)</f>
        <v>0.06</v>
      </c>
      <c r="M21" s="92" t="n">
        <f aca="false">CHOOSE(Premissas!$B$6,Cenários!M27,Cenários!M71,Cenários!M115)</f>
        <v>0.06</v>
      </c>
      <c r="N21" s="92" t="n">
        <f aca="false">CHOOSE(Premissas!$B$6,Cenários!N27,Cenários!N71,Cenários!N115)</f>
        <v>0.06</v>
      </c>
      <c r="O21" s="92" t="n">
        <f aca="false">CHOOSE(Premissas!$B$6,Cenários!O27,Cenários!O71,Cenários!O115)</f>
        <v>0.0747821765949383</v>
      </c>
      <c r="P21" s="92" t="n">
        <f aca="false">CHOOSE(Premissas!$B$6,Cenários!P27,Cenários!P71,Cenários!P115)</f>
        <v>0.0900664074859332</v>
      </c>
      <c r="Q21" s="92" t="n">
        <f aca="false">CHOOSE(Premissas!$B$6,Cenários!Q27,Cenários!Q71,Cenários!Q115)</f>
        <v>0.103470506484284</v>
      </c>
      <c r="R21" s="92" t="n">
        <f aca="false">CHOOSE(Premissas!$B$6,Cenários!R27,Cenários!R71,Cenários!R115)</f>
        <v>0.11250226686274</v>
      </c>
      <c r="S21" s="92" t="n">
        <f aca="false">CHOOSE(Premissas!$B$6,Cenários!S27,Cenários!S71,Cenários!S115)</f>
        <v>0.123001982570303</v>
      </c>
      <c r="T21" s="92" t="n">
        <f aca="false">CHOOSE(Premissas!$B$6,Cenários!T27,Cenários!T71,Cenários!T115)</f>
        <v>0.130218930926751</v>
      </c>
      <c r="U21" s="92" t="n">
        <f aca="false">CHOOSE(Premissas!$B$6,Cenários!U27,Cenários!U71,Cenários!U115)</f>
        <v>0.135405395233679</v>
      </c>
      <c r="V21" s="92" t="n">
        <f aca="false">CHOOSE(Premissas!$B$6,Cenários!V27,Cenários!V71,Cenários!V115)</f>
        <v>0.139265898572154</v>
      </c>
      <c r="W21" s="92" t="n">
        <f aca="false">CHOOSE(Premissas!$B$6,Cenários!W27,Cenários!W71,Cenários!W115)</f>
        <v>0.147335192769623</v>
      </c>
      <c r="X21" s="92" t="n">
        <f aca="false">CHOOSE(Premissas!$B$6,Cenários!X27,Cenários!X71,Cenários!X115)</f>
        <v>0.154933806231183</v>
      </c>
      <c r="Y21" s="92" t="n">
        <f aca="false">CHOOSE(Premissas!$B$6,Cenários!Y27,Cenários!Y71,Cenários!Y115)</f>
        <v>0.160725106212257</v>
      </c>
      <c r="Z21" s="92" t="n">
        <f aca="false">CHOOSE(Premissas!$B$6,Cenários!Z27,Cenários!Z71,Cenários!Z115)</f>
        <v>0.165291360423089</v>
      </c>
      <c r="AA21" s="92" t="n">
        <f aca="false">CHOOSE(Premissas!$B$6,Cenários!AA27,Cenários!AA71,Cenários!AA115)</f>
        <v>0.170237962960827</v>
      </c>
      <c r="AB21" s="92" t="n">
        <f aca="false">CHOOSE(Premissas!$B$6,Cenários!AB27,Cenários!AB71,Cenários!AB115)</f>
        <v>0.174508524603241</v>
      </c>
      <c r="AC21" s="92" t="n">
        <f aca="false">CHOOSE(Premissas!$B$6,Cenários!AC27,Cenários!AC71,Cenários!AC115)</f>
        <v>0.165899664712316</v>
      </c>
      <c r="AD21" s="92" t="n">
        <f aca="false">CHOOSE(Premissas!$B$6,Cenários!AD27,Cenários!AD71,Cenários!AD115)</f>
        <v>0.182198100833663</v>
      </c>
      <c r="AE21" s="92" t="n">
        <f aca="false">CHOOSE(Premissas!$B$6,Cenários!AE27,Cenários!AE71,Cenários!AE115)</f>
        <v>0.1633</v>
      </c>
      <c r="AF21" s="92" t="n">
        <f aca="false">CHOOSE(Premissas!$B$6,Cenários!AF27,Cenários!AF71,Cenários!AF115)</f>
        <v>0.1633</v>
      </c>
      <c r="AG21" s="92" t="n">
        <f aca="false">CHOOSE(Premissas!$B$6,Cenários!AG27,Cenários!AG71,Cenários!AG115)</f>
        <v>0.1633</v>
      </c>
      <c r="AH21" s="92" t="n">
        <f aca="false">CHOOSE(Premissas!$B$6,Cenários!AH27,Cenários!AH71,Cenários!AH115)</f>
        <v>0.1633</v>
      </c>
      <c r="AI21" s="92" t="n">
        <f aca="false">CHOOSE(Premissas!$B$6,Cenários!AI27,Cenários!AI71,Cenários!AI115)</f>
        <v>0.1633</v>
      </c>
      <c r="AJ21" s="92" t="n">
        <f aca="false">CHOOSE(Premissas!$B$6,Cenários!AJ27,Cenários!AJ71,Cenários!AJ115)</f>
        <v>0.1633</v>
      </c>
      <c r="AK21" s="92" t="n">
        <f aca="false">CHOOSE(Premissas!$B$6,Cenários!AK27,Cenários!AK71,Cenários!AK115)</f>
        <v>0.1633</v>
      </c>
      <c r="AL21" s="92" t="n">
        <f aca="false">CHOOSE(Premissas!$B$6,Cenários!AL27,Cenários!AL71,Cenários!AL115)</f>
        <v>0.1633</v>
      </c>
      <c r="AM21" s="92" t="n">
        <f aca="false">CHOOSE(Premissas!$B$6,Cenários!AM27,Cenários!AM71,Cenários!AM115)</f>
        <v>0.1633</v>
      </c>
      <c r="AN21" s="92" t="n">
        <f aca="false">CHOOSE(Premissas!$B$6,Cenários!AN27,Cenários!AN71,Cenários!AN115)</f>
        <v>0.1633</v>
      </c>
      <c r="AO21" s="92" t="n">
        <f aca="false">CHOOSE(Premissas!$B$6,Cenários!AO27,Cenários!AO71,Cenários!AO115)</f>
        <v>0.1633</v>
      </c>
      <c r="AP21" s="92" t="n">
        <f aca="false">CHOOSE(Premissas!$B$6,Cenários!AP27,Cenários!AP71,Cenários!AP115)</f>
        <v>0.1633</v>
      </c>
      <c r="AQ21" s="92" t="n">
        <f aca="false">CHOOSE(Premissas!$B$6,Cenários!AQ27,Cenários!AQ71,Cenários!AQ115)</f>
        <v>0.1633</v>
      </c>
      <c r="AR21" s="92" t="n">
        <f aca="false">CHOOSE(Premissas!$B$6,Cenários!AR27,Cenários!AR71,Cenários!AR115)</f>
        <v>0.1633</v>
      </c>
      <c r="AS21" s="92" t="n">
        <f aca="false">CHOOSE(Premissas!$B$6,Cenários!AS27,Cenários!AS71,Cenários!AS115)</f>
        <v>0.1633</v>
      </c>
      <c r="AT21" s="92" t="n">
        <f aca="false">CHOOSE(Premissas!$B$6,Cenários!AT27,Cenários!AT71,Cenários!AT115)</f>
        <v>0.1633</v>
      </c>
      <c r="AU21" s="92" t="n">
        <f aca="false">CHOOSE(Premissas!$B$6,Cenários!AU27,Cenários!AU71,Cenários!AU115)</f>
        <v>0.1633</v>
      </c>
      <c r="AV21" s="92" t="n">
        <f aca="false">CHOOSE(Premissas!$B$6,Cenários!AV27,Cenários!AV71,Cenários!AV115)</f>
        <v>0.1633</v>
      </c>
      <c r="AW21" s="92" t="n">
        <f aca="false">CHOOSE(Premissas!$B$6,Cenários!AW27,Cenários!AW71,Cenários!AW115)</f>
        <v>0.1633</v>
      </c>
      <c r="AX21" s="92" t="n">
        <f aca="false">CHOOSE(Premissas!$B$6,Cenários!AX27,Cenários!AX71,Cenários!AX115)</f>
        <v>0.1633</v>
      </c>
      <c r="AY21" s="92" t="n">
        <f aca="false">CHOOSE(Premissas!$B$6,Cenários!AY27,Cenários!AY71,Cenários!AY115)</f>
        <v>0.1633</v>
      </c>
      <c r="AZ21" s="92" t="n">
        <f aca="false">CHOOSE(Premissas!$B$6,Cenários!AZ27,Cenários!AZ71,Cenários!AZ115)</f>
        <v>0.1633</v>
      </c>
      <c r="BA21" s="92" t="n">
        <f aca="false">CHOOSE(Premissas!$B$6,Cenários!BA27,Cenários!BA71,Cenários!BA115)</f>
        <v>0.1633</v>
      </c>
      <c r="BB21" s="92" t="n">
        <f aca="false">CHOOSE(Premissas!$B$6,Cenários!BB27,Cenários!BB71,Cenários!BB115)</f>
        <v>0.1633</v>
      </c>
      <c r="BC21" s="92" t="n">
        <f aca="false">CHOOSE(Premissas!$B$6,Cenários!BC27,Cenários!BC71,Cenários!BC115)</f>
        <v>0.1633</v>
      </c>
      <c r="BD21" s="92" t="n">
        <f aca="false">CHOOSE(Premissas!$B$6,Cenários!BD27,Cenários!BD71,Cenários!BD115)</f>
        <v>0.1633</v>
      </c>
      <c r="BE21" s="92" t="n">
        <f aca="false">CHOOSE(Premissas!$B$6,Cenários!BE27,Cenários!BE71,Cenários!BE115)</f>
        <v>0.1633</v>
      </c>
      <c r="BF21" s="92" t="n">
        <f aca="false">CHOOSE(Premissas!$B$6,Cenários!BF27,Cenários!BF71,Cenários!BF115)</f>
        <v>0.1633</v>
      </c>
      <c r="BG21" s="92" t="n">
        <f aca="false">CHOOSE(Premissas!$B$6,Cenários!BG27,Cenários!BG71,Cenários!BG115)</f>
        <v>0.1633</v>
      </c>
      <c r="BH21" s="92" t="n">
        <f aca="false">CHOOSE(Premissas!$B$6,Cenários!BH27,Cenários!BH71,Cenários!BH115)</f>
        <v>0.1633</v>
      </c>
      <c r="BI21" s="92" t="n">
        <f aca="false">CHOOSE(Premissas!$B$6,Cenários!BI27,Cenários!BI71,Cenários!BI115)</f>
        <v>0.1633</v>
      </c>
      <c r="BK21" s="14" t="s">
        <v>302</v>
      </c>
    </row>
    <row r="23" customFormat="false" ht="18" hidden="false" customHeight="true" outlineLevel="0" collapsed="false">
      <c r="A23" s="10" t="s">
        <v>303</v>
      </c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AL23" s="11"/>
      <c r="AM23" s="11"/>
      <c r="AN23" s="11"/>
      <c r="AO23" s="11"/>
      <c r="AP23" s="11"/>
      <c r="AQ23" s="11"/>
      <c r="AR23" s="11"/>
      <c r="AS23" s="11"/>
      <c r="AT23" s="11"/>
      <c r="AU23" s="11"/>
      <c r="AV23" s="11"/>
      <c r="AW23" s="11"/>
      <c r="AX23" s="11"/>
      <c r="AY23" s="11"/>
      <c r="AZ23" s="11"/>
      <c r="BA23" s="11"/>
      <c r="BB23" s="11"/>
      <c r="BC23" s="11"/>
      <c r="BD23" s="11"/>
      <c r="BE23" s="11"/>
      <c r="BF23" s="11"/>
      <c r="BG23" s="11"/>
      <c r="BH23" s="11"/>
      <c r="BI23" s="11"/>
      <c r="BJ23" s="11"/>
      <c r="BK23" s="11"/>
    </row>
    <row r="24" customFormat="false" ht="15" hidden="false" customHeight="false" outlineLevel="0" collapsed="false">
      <c r="A24" s="93" t="s">
        <v>193</v>
      </c>
      <c r="B24" s="35" t="n">
        <v>2026</v>
      </c>
      <c r="C24" s="35" t="n">
        <v>2027</v>
      </c>
      <c r="D24" s="35" t="n">
        <v>2028</v>
      </c>
      <c r="E24" s="35" t="n">
        <v>2029</v>
      </c>
      <c r="F24" s="35" t="n">
        <v>2030</v>
      </c>
      <c r="G24" s="78" t="s">
        <v>190</v>
      </c>
    </row>
    <row r="25" customFormat="false" ht="15" hidden="false" customHeight="false" outlineLevel="0" collapsed="false">
      <c r="A25" s="16" t="s">
        <v>304</v>
      </c>
      <c r="B25" s="75" t="n">
        <f aca="false">SUMIFS($B$14:$BI$14,$B$6:$BI$6,B$24)</f>
        <v>138385.3</v>
      </c>
      <c r="C25" s="75" t="n">
        <f aca="false">SUMIFS($B$14:$BI$14,$B$6:$BI$6,C$24)</f>
        <v>2810195.10298151</v>
      </c>
      <c r="D25" s="75" t="n">
        <f aca="false">SUMIFS($B$14:$BI$14,$B$6:$BI$6,D$24)</f>
        <v>8641466.33856838</v>
      </c>
      <c r="E25" s="75" t="n">
        <f aca="false">SUMIFS($B$14:$BI$14,$B$6:$BI$6,E$24)</f>
        <v>19534087.9657865</v>
      </c>
      <c r="F25" s="75" t="n">
        <f aca="false">SUMIFS($B$14:$BI$14,$B$6:$BI$6,F$24)</f>
        <v>36507104.2275836</v>
      </c>
      <c r="G25" s="69" t="n">
        <f aca="false">SUM(B25:F25)</f>
        <v>67631238.93492</v>
      </c>
    </row>
    <row r="26" customFormat="false" ht="15" hidden="false" customHeight="false" outlineLevel="0" collapsed="false">
      <c r="A26" s="12" t="s">
        <v>305</v>
      </c>
      <c r="B26" s="84" t="n">
        <f aca="false">SUMIFS($B$20:$BI$20,$B$6:$BI$6,B$24)</f>
        <v>111503.955475</v>
      </c>
      <c r="C26" s="84" t="n">
        <f aca="false">SUMIFS($B$20:$BI$20,$B$6:$BI$6,C$24)</f>
        <v>2095331.11487371</v>
      </c>
      <c r="D26" s="84" t="n">
        <f aca="false">SUMIFS($B$20:$BI$20,$B$6:$BI$6,D$24)</f>
        <v>6165061.5841519</v>
      </c>
      <c r="E26" s="84" t="n">
        <f aca="false">SUMIFS($B$20:$BI$20,$B$6:$BI$6,E$24)</f>
        <v>14072855.9183872</v>
      </c>
      <c r="F26" s="84" t="n">
        <f aca="false">SUMIFS($B$20:$BI$20,$B$6:$BI$6,F$24)</f>
        <v>26381062.8063243</v>
      </c>
      <c r="G26" s="69" t="n">
        <f aca="false">SUM(B26:F26)</f>
        <v>48825815.3792121</v>
      </c>
    </row>
    <row r="27" customFormat="false" ht="15" hidden="false" customHeight="false" outlineLevel="0" collapsed="false">
      <c r="A27" s="12" t="s">
        <v>306</v>
      </c>
      <c r="B27" s="84" t="n">
        <f aca="false">SUMIFS($B$17:$BI$17,$B$6:$BI$6,B$24)</f>
        <v>-8303.118</v>
      </c>
      <c r="C27" s="84" t="n">
        <f aca="false">SUMIFS($B$17:$BI$17,$B$6:$BI$6,C$24)</f>
        <v>-359832.531525628</v>
      </c>
      <c r="D27" s="84" t="n">
        <f aca="false">SUMIFS($B$17:$BI$17,$B$6:$BI$6,D$24)</f>
        <v>-1436495.52677149</v>
      </c>
      <c r="E27" s="84" t="n">
        <f aca="false">SUMIFS($B$17:$BI$17,$B$6:$BI$6,E$24)</f>
        <v>-3189916.56481294</v>
      </c>
      <c r="F27" s="84" t="n">
        <f aca="false">SUMIFS($B$17:$BI$17,$B$6:$BI$6,F$24)</f>
        <v>-5961610.12036441</v>
      </c>
      <c r="G27" s="69" t="n">
        <f aca="false">SUM(B27:F27)</f>
        <v>-10956157.8614745</v>
      </c>
    </row>
    <row r="28" customFormat="false" ht="15" hidden="false" customHeight="false" outlineLevel="0" collapsed="false">
      <c r="A28" s="12" t="s">
        <v>307</v>
      </c>
      <c r="B28" s="84" t="n">
        <f aca="false">SUMIFS($B$18:$BI$18,$B$6:$BI$6,B$24)</f>
        <v>-17644.12575</v>
      </c>
      <c r="C28" s="84" t="n">
        <f aca="false">SUMIFS($B$18:$BI$18,$B$6:$BI$6,C$24)</f>
        <v>-326532.39564</v>
      </c>
      <c r="D28" s="84" t="n">
        <f aca="false">SUMIFS($B$18:$BI$18,$B$6:$BI$6,D$24)</f>
        <v>-930061.774870594</v>
      </c>
      <c r="E28" s="84" t="n">
        <f aca="false">SUMIFS($B$18:$BI$18,$B$6:$BI$6,E$24)</f>
        <v>-1988973.60589427</v>
      </c>
      <c r="F28" s="84" t="n">
        <f aca="false">SUMIFS($B$18:$BI$18,$B$6:$BI$6,F$24)</f>
        <v>-3602302.30093383</v>
      </c>
      <c r="G28" s="69" t="n">
        <f aca="false">SUM(B28:F28)</f>
        <v>-6865514.2030887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5C8A"/>
    <pageSetUpPr fitToPage="false"/>
  </sheetPr>
  <dimension ref="A1:BK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8" topLeftCell="B9" activePane="bottomRight" state="frozen"/>
      <selection pane="topLeft" activeCell="A1" activeCellId="0" sqref="A1"/>
      <selection pane="topRight" activeCell="B1" activeCellId="0" sqref="B1"/>
      <selection pane="bottomLeft" activeCell="A9" activeCellId="0" sqref="A9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61" min="2" style="0" width="11"/>
    <col collapsed="false" customWidth="true" hidden="false" outlineLevel="0" max="62" min="62" style="0" width="15"/>
    <col collapsed="false" customWidth="true" hidden="false" outlineLevel="0" max="63" min="63" style="0" width="34"/>
  </cols>
  <sheetData>
    <row r="1" customFormat="false" ht="25.5" hidden="false" customHeight="true" outlineLevel="0" collapsed="false">
      <c r="A1" s="1" t="s">
        <v>308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</row>
    <row r="2" customFormat="false" ht="15.75" hidden="false" customHeight="true" outlineLevel="0" collapsed="false">
      <c r="A2" s="58" t="str">
        <f aca="false">" Cenário ativo: "&amp;Premissas!B7&amp;"  ·  todas as linhas recalculam ao trocar o cenário."</f>
        <v> Cenário ativo: PROVÁVEL  ·  todas as linhas recalculam ao trocar o cenário.</v>
      </c>
    </row>
    <row r="4" customFormat="false" ht="15" hidden="false" customHeight="false" outlineLevel="0" collapsed="false">
      <c r="A4" s="59" t="s">
        <v>189</v>
      </c>
      <c r="B4" s="60" t="n">
        <v>46023</v>
      </c>
      <c r="C4" s="60" t="n">
        <v>46054</v>
      </c>
      <c r="D4" s="60" t="n">
        <v>46082</v>
      </c>
      <c r="E4" s="60" t="n">
        <v>46113</v>
      </c>
      <c r="F4" s="60" t="n">
        <v>46143</v>
      </c>
      <c r="G4" s="60" t="n">
        <v>46174</v>
      </c>
      <c r="H4" s="60" t="n">
        <v>46204</v>
      </c>
      <c r="I4" s="60" t="n">
        <v>46235</v>
      </c>
      <c r="J4" s="60" t="n">
        <v>46266</v>
      </c>
      <c r="K4" s="60" t="n">
        <v>46296</v>
      </c>
      <c r="L4" s="60" t="n">
        <v>46327</v>
      </c>
      <c r="M4" s="60" t="n">
        <v>46357</v>
      </c>
      <c r="N4" s="60" t="n">
        <v>46388</v>
      </c>
      <c r="O4" s="60" t="n">
        <v>46419</v>
      </c>
      <c r="P4" s="60" t="n">
        <v>46447</v>
      </c>
      <c r="Q4" s="60" t="n">
        <v>46478</v>
      </c>
      <c r="R4" s="60" t="n">
        <v>46508</v>
      </c>
      <c r="S4" s="60" t="n">
        <v>46539</v>
      </c>
      <c r="T4" s="60" t="n">
        <v>46569</v>
      </c>
      <c r="U4" s="60" t="n">
        <v>46600</v>
      </c>
      <c r="V4" s="60" t="n">
        <v>46631</v>
      </c>
      <c r="W4" s="60" t="n">
        <v>46661</v>
      </c>
      <c r="X4" s="60" t="n">
        <v>46692</v>
      </c>
      <c r="Y4" s="60" t="n">
        <v>46722</v>
      </c>
      <c r="Z4" s="60" t="n">
        <v>46753</v>
      </c>
      <c r="AA4" s="60" t="n">
        <v>46784</v>
      </c>
      <c r="AB4" s="60" t="n">
        <v>46813</v>
      </c>
      <c r="AC4" s="60" t="n">
        <v>46844</v>
      </c>
      <c r="AD4" s="60" t="n">
        <v>46874</v>
      </c>
      <c r="AE4" s="60" t="n">
        <v>46905</v>
      </c>
      <c r="AF4" s="60" t="n">
        <v>46935</v>
      </c>
      <c r="AG4" s="60" t="n">
        <v>46966</v>
      </c>
      <c r="AH4" s="60" t="n">
        <v>46997</v>
      </c>
      <c r="AI4" s="60" t="n">
        <v>47027</v>
      </c>
      <c r="AJ4" s="60" t="n">
        <v>47058</v>
      </c>
      <c r="AK4" s="60" t="n">
        <v>47088</v>
      </c>
      <c r="AL4" s="60" t="n">
        <v>47119</v>
      </c>
      <c r="AM4" s="60" t="n">
        <v>47150</v>
      </c>
      <c r="AN4" s="60" t="n">
        <v>47178</v>
      </c>
      <c r="AO4" s="60" t="n">
        <v>47209</v>
      </c>
      <c r="AP4" s="60" t="n">
        <v>47239</v>
      </c>
      <c r="AQ4" s="60" t="n">
        <v>47270</v>
      </c>
      <c r="AR4" s="60" t="n">
        <v>47300</v>
      </c>
      <c r="AS4" s="60" t="n">
        <v>47331</v>
      </c>
      <c r="AT4" s="60" t="n">
        <v>47362</v>
      </c>
      <c r="AU4" s="60" t="n">
        <v>47392</v>
      </c>
      <c r="AV4" s="60" t="n">
        <v>47423</v>
      </c>
      <c r="AW4" s="60" t="n">
        <v>47453</v>
      </c>
      <c r="AX4" s="60" t="n">
        <v>47484</v>
      </c>
      <c r="AY4" s="60" t="n">
        <v>47515</v>
      </c>
      <c r="AZ4" s="60" t="n">
        <v>47543</v>
      </c>
      <c r="BA4" s="60" t="n">
        <v>47574</v>
      </c>
      <c r="BB4" s="60" t="n">
        <v>47604</v>
      </c>
      <c r="BC4" s="60" t="n">
        <v>47635</v>
      </c>
      <c r="BD4" s="60" t="n">
        <v>47665</v>
      </c>
      <c r="BE4" s="60" t="n">
        <v>47696</v>
      </c>
      <c r="BF4" s="60" t="n">
        <v>47727</v>
      </c>
      <c r="BG4" s="60" t="n">
        <v>47757</v>
      </c>
      <c r="BH4" s="60" t="n">
        <v>47788</v>
      </c>
      <c r="BI4" s="60" t="n">
        <v>47818</v>
      </c>
      <c r="BJ4" s="61" t="s">
        <v>190</v>
      </c>
      <c r="BK4" s="61" t="s">
        <v>191</v>
      </c>
    </row>
    <row r="5" customFormat="false" ht="15" hidden="false" customHeight="false" outlineLevel="0" collapsed="false">
      <c r="A5" s="62" t="s">
        <v>192</v>
      </c>
      <c r="B5" s="63" t="n">
        <v>1</v>
      </c>
      <c r="C5" s="63" t="n">
        <v>2</v>
      </c>
      <c r="D5" s="63" t="n">
        <v>3</v>
      </c>
      <c r="E5" s="63" t="n">
        <v>4</v>
      </c>
      <c r="F5" s="63" t="n">
        <v>5</v>
      </c>
      <c r="G5" s="63" t="n">
        <v>6</v>
      </c>
      <c r="H5" s="63" t="n">
        <v>7</v>
      </c>
      <c r="I5" s="63" t="n">
        <v>8</v>
      </c>
      <c r="J5" s="63" t="n">
        <v>9</v>
      </c>
      <c r="K5" s="63" t="n">
        <v>10</v>
      </c>
      <c r="L5" s="63" t="n">
        <v>11</v>
      </c>
      <c r="M5" s="63" t="n">
        <v>12</v>
      </c>
      <c r="N5" s="63" t="n">
        <v>13</v>
      </c>
      <c r="O5" s="63" t="n">
        <v>14</v>
      </c>
      <c r="P5" s="63" t="n">
        <v>15</v>
      </c>
      <c r="Q5" s="63" t="n">
        <v>16</v>
      </c>
      <c r="R5" s="63" t="n">
        <v>17</v>
      </c>
      <c r="S5" s="63" t="n">
        <v>18</v>
      </c>
      <c r="T5" s="63" t="n">
        <v>19</v>
      </c>
      <c r="U5" s="63" t="n">
        <v>20</v>
      </c>
      <c r="V5" s="63" t="n">
        <v>21</v>
      </c>
      <c r="W5" s="63" t="n">
        <v>22</v>
      </c>
      <c r="X5" s="63" t="n">
        <v>23</v>
      </c>
      <c r="Y5" s="63" t="n">
        <v>24</v>
      </c>
      <c r="Z5" s="63" t="n">
        <v>25</v>
      </c>
      <c r="AA5" s="63" t="n">
        <v>26</v>
      </c>
      <c r="AB5" s="63" t="n">
        <v>27</v>
      </c>
      <c r="AC5" s="63" t="n">
        <v>28</v>
      </c>
      <c r="AD5" s="63" t="n">
        <v>29</v>
      </c>
      <c r="AE5" s="63" t="n">
        <v>30</v>
      </c>
      <c r="AF5" s="63" t="n">
        <v>31</v>
      </c>
      <c r="AG5" s="63" t="n">
        <v>32</v>
      </c>
      <c r="AH5" s="63" t="n">
        <v>33</v>
      </c>
      <c r="AI5" s="63" t="n">
        <v>34</v>
      </c>
      <c r="AJ5" s="63" t="n">
        <v>35</v>
      </c>
      <c r="AK5" s="63" t="n">
        <v>36</v>
      </c>
      <c r="AL5" s="63" t="n">
        <v>37</v>
      </c>
      <c r="AM5" s="63" t="n">
        <v>38</v>
      </c>
      <c r="AN5" s="63" t="n">
        <v>39</v>
      </c>
      <c r="AO5" s="63" t="n">
        <v>40</v>
      </c>
      <c r="AP5" s="63" t="n">
        <v>41</v>
      </c>
      <c r="AQ5" s="63" t="n">
        <v>42</v>
      </c>
      <c r="AR5" s="63" t="n">
        <v>43</v>
      </c>
      <c r="AS5" s="63" t="n">
        <v>44</v>
      </c>
      <c r="AT5" s="63" t="n">
        <v>45</v>
      </c>
      <c r="AU5" s="63" t="n">
        <v>46</v>
      </c>
      <c r="AV5" s="63" t="n">
        <v>47</v>
      </c>
      <c r="AW5" s="63" t="n">
        <v>48</v>
      </c>
      <c r="AX5" s="63" t="n">
        <v>49</v>
      </c>
      <c r="AY5" s="63" t="n">
        <v>50</v>
      </c>
      <c r="AZ5" s="63" t="n">
        <v>51</v>
      </c>
      <c r="BA5" s="63" t="n">
        <v>52</v>
      </c>
      <c r="BB5" s="63" t="n">
        <v>53</v>
      </c>
      <c r="BC5" s="63" t="n">
        <v>54</v>
      </c>
      <c r="BD5" s="63" t="n">
        <v>55</v>
      </c>
      <c r="BE5" s="63" t="n">
        <v>56</v>
      </c>
      <c r="BF5" s="63" t="n">
        <v>57</v>
      </c>
      <c r="BG5" s="63" t="n">
        <v>58</v>
      </c>
      <c r="BH5" s="63" t="n">
        <v>59</v>
      </c>
      <c r="BI5" s="63" t="n">
        <v>60</v>
      </c>
    </row>
    <row r="6" customFormat="false" ht="15" hidden="false" customHeight="false" outlineLevel="0" collapsed="false">
      <c r="A6" s="62" t="s">
        <v>193</v>
      </c>
      <c r="B6" s="64" t="n">
        <f aca="false">YEAR(B4)</f>
        <v>2026</v>
      </c>
      <c r="C6" s="64" t="n">
        <f aca="false">YEAR(C4)</f>
        <v>2026</v>
      </c>
      <c r="D6" s="64" t="n">
        <f aca="false">YEAR(D4)</f>
        <v>2026</v>
      </c>
      <c r="E6" s="64" t="n">
        <f aca="false">YEAR(E4)</f>
        <v>2026</v>
      </c>
      <c r="F6" s="64" t="n">
        <f aca="false">YEAR(F4)</f>
        <v>2026</v>
      </c>
      <c r="G6" s="64" t="n">
        <f aca="false">YEAR(G4)</f>
        <v>2026</v>
      </c>
      <c r="H6" s="64" t="n">
        <f aca="false">YEAR(H4)</f>
        <v>2026</v>
      </c>
      <c r="I6" s="64" t="n">
        <f aca="false">YEAR(I4)</f>
        <v>2026</v>
      </c>
      <c r="J6" s="64" t="n">
        <f aca="false">YEAR(J4)</f>
        <v>2026</v>
      </c>
      <c r="K6" s="64" t="n">
        <f aca="false">YEAR(K4)</f>
        <v>2026</v>
      </c>
      <c r="L6" s="64" t="n">
        <f aca="false">YEAR(L4)</f>
        <v>2026</v>
      </c>
      <c r="M6" s="64" t="n">
        <f aca="false">YEAR(M4)</f>
        <v>2026</v>
      </c>
      <c r="N6" s="64" t="n">
        <f aca="false">YEAR(N4)</f>
        <v>2027</v>
      </c>
      <c r="O6" s="64" t="n">
        <f aca="false">YEAR(O4)</f>
        <v>2027</v>
      </c>
      <c r="P6" s="64" t="n">
        <f aca="false">YEAR(P4)</f>
        <v>2027</v>
      </c>
      <c r="Q6" s="64" t="n">
        <f aca="false">YEAR(Q4)</f>
        <v>2027</v>
      </c>
      <c r="R6" s="64" t="n">
        <f aca="false">YEAR(R4)</f>
        <v>2027</v>
      </c>
      <c r="S6" s="64" t="n">
        <f aca="false">YEAR(S4)</f>
        <v>2027</v>
      </c>
      <c r="T6" s="64" t="n">
        <f aca="false">YEAR(T4)</f>
        <v>2027</v>
      </c>
      <c r="U6" s="64" t="n">
        <f aca="false">YEAR(U4)</f>
        <v>2027</v>
      </c>
      <c r="V6" s="64" t="n">
        <f aca="false">YEAR(V4)</f>
        <v>2027</v>
      </c>
      <c r="W6" s="64" t="n">
        <f aca="false">YEAR(W4)</f>
        <v>2027</v>
      </c>
      <c r="X6" s="64" t="n">
        <f aca="false">YEAR(X4)</f>
        <v>2027</v>
      </c>
      <c r="Y6" s="64" t="n">
        <f aca="false">YEAR(Y4)</f>
        <v>2027</v>
      </c>
      <c r="Z6" s="64" t="n">
        <f aca="false">YEAR(Z4)</f>
        <v>2028</v>
      </c>
      <c r="AA6" s="64" t="n">
        <f aca="false">YEAR(AA4)</f>
        <v>2028</v>
      </c>
      <c r="AB6" s="64" t="n">
        <f aca="false">YEAR(AB4)</f>
        <v>2028</v>
      </c>
      <c r="AC6" s="64" t="n">
        <f aca="false">YEAR(AC4)</f>
        <v>2028</v>
      </c>
      <c r="AD6" s="64" t="n">
        <f aca="false">YEAR(AD4)</f>
        <v>2028</v>
      </c>
      <c r="AE6" s="64" t="n">
        <f aca="false">YEAR(AE4)</f>
        <v>2028</v>
      </c>
      <c r="AF6" s="64" t="n">
        <f aca="false">YEAR(AF4)</f>
        <v>2028</v>
      </c>
      <c r="AG6" s="64" t="n">
        <f aca="false">YEAR(AG4)</f>
        <v>2028</v>
      </c>
      <c r="AH6" s="64" t="n">
        <f aca="false">YEAR(AH4)</f>
        <v>2028</v>
      </c>
      <c r="AI6" s="64" t="n">
        <f aca="false">YEAR(AI4)</f>
        <v>2028</v>
      </c>
      <c r="AJ6" s="64" t="n">
        <f aca="false">YEAR(AJ4)</f>
        <v>2028</v>
      </c>
      <c r="AK6" s="64" t="n">
        <f aca="false">YEAR(AK4)</f>
        <v>2028</v>
      </c>
      <c r="AL6" s="64" t="n">
        <f aca="false">YEAR(AL4)</f>
        <v>2029</v>
      </c>
      <c r="AM6" s="64" t="n">
        <f aca="false">YEAR(AM4)</f>
        <v>2029</v>
      </c>
      <c r="AN6" s="64" t="n">
        <f aca="false">YEAR(AN4)</f>
        <v>2029</v>
      </c>
      <c r="AO6" s="64" t="n">
        <f aca="false">YEAR(AO4)</f>
        <v>2029</v>
      </c>
      <c r="AP6" s="64" t="n">
        <f aca="false">YEAR(AP4)</f>
        <v>2029</v>
      </c>
      <c r="AQ6" s="64" t="n">
        <f aca="false">YEAR(AQ4)</f>
        <v>2029</v>
      </c>
      <c r="AR6" s="64" t="n">
        <f aca="false">YEAR(AR4)</f>
        <v>2029</v>
      </c>
      <c r="AS6" s="64" t="n">
        <f aca="false">YEAR(AS4)</f>
        <v>2029</v>
      </c>
      <c r="AT6" s="64" t="n">
        <f aca="false">YEAR(AT4)</f>
        <v>2029</v>
      </c>
      <c r="AU6" s="64" t="n">
        <f aca="false">YEAR(AU4)</f>
        <v>2029</v>
      </c>
      <c r="AV6" s="64" t="n">
        <f aca="false">YEAR(AV4)</f>
        <v>2029</v>
      </c>
      <c r="AW6" s="64" t="n">
        <f aca="false">YEAR(AW4)</f>
        <v>2029</v>
      </c>
      <c r="AX6" s="64" t="n">
        <f aca="false">YEAR(AX4)</f>
        <v>2030</v>
      </c>
      <c r="AY6" s="64" t="n">
        <f aca="false">YEAR(AY4)</f>
        <v>2030</v>
      </c>
      <c r="AZ6" s="64" t="n">
        <f aca="false">YEAR(AZ4)</f>
        <v>2030</v>
      </c>
      <c r="BA6" s="64" t="n">
        <f aca="false">YEAR(BA4)</f>
        <v>2030</v>
      </c>
      <c r="BB6" s="64" t="n">
        <f aca="false">YEAR(BB4)</f>
        <v>2030</v>
      </c>
      <c r="BC6" s="64" t="n">
        <f aca="false">YEAR(BC4)</f>
        <v>2030</v>
      </c>
      <c r="BD6" s="64" t="n">
        <f aca="false">YEAR(BD4)</f>
        <v>2030</v>
      </c>
      <c r="BE6" s="64" t="n">
        <f aca="false">YEAR(BE4)</f>
        <v>2030</v>
      </c>
      <c r="BF6" s="64" t="n">
        <f aca="false">YEAR(BF4)</f>
        <v>2030</v>
      </c>
      <c r="BG6" s="64" t="n">
        <f aca="false">YEAR(BG4)</f>
        <v>2030</v>
      </c>
      <c r="BH6" s="64" t="n">
        <f aca="false">YEAR(BH4)</f>
        <v>2030</v>
      </c>
      <c r="BI6" s="64" t="n">
        <f aca="false">YEAR(BI4)</f>
        <v>2030</v>
      </c>
    </row>
    <row r="7" customFormat="false" ht="15" hidden="false" customHeight="false" outlineLevel="0" collapsed="false">
      <c r="A7" s="65" t="s">
        <v>194</v>
      </c>
      <c r="B7" s="66" t="n">
        <f aca="false">MATCH(B6,Premissas!$C$5:$G$5,0)</f>
        <v>1</v>
      </c>
      <c r="C7" s="66" t="n">
        <f aca="false">MATCH(C6,Premissas!$C$5:$G$5,0)</f>
        <v>1</v>
      </c>
      <c r="D7" s="66" t="n">
        <f aca="false">MATCH(D6,Premissas!$C$5:$G$5,0)</f>
        <v>1</v>
      </c>
      <c r="E7" s="66" t="n">
        <f aca="false">MATCH(E6,Premissas!$C$5:$G$5,0)</f>
        <v>1</v>
      </c>
      <c r="F7" s="66" t="n">
        <f aca="false">MATCH(F6,Premissas!$C$5:$G$5,0)</f>
        <v>1</v>
      </c>
      <c r="G7" s="66" t="n">
        <f aca="false">MATCH(G6,Premissas!$C$5:$G$5,0)</f>
        <v>1</v>
      </c>
      <c r="H7" s="66" t="n">
        <f aca="false">MATCH(H6,Premissas!$C$5:$G$5,0)</f>
        <v>1</v>
      </c>
      <c r="I7" s="66" t="n">
        <f aca="false">MATCH(I6,Premissas!$C$5:$G$5,0)</f>
        <v>1</v>
      </c>
      <c r="J7" s="66" t="n">
        <f aca="false">MATCH(J6,Premissas!$C$5:$G$5,0)</f>
        <v>1</v>
      </c>
      <c r="K7" s="66" t="n">
        <f aca="false">MATCH(K6,Premissas!$C$5:$G$5,0)</f>
        <v>1</v>
      </c>
      <c r="L7" s="66" t="n">
        <f aca="false">MATCH(L6,Premissas!$C$5:$G$5,0)</f>
        <v>1</v>
      </c>
      <c r="M7" s="66" t="n">
        <f aca="false">MATCH(M6,Premissas!$C$5:$G$5,0)</f>
        <v>1</v>
      </c>
      <c r="N7" s="66" t="n">
        <f aca="false">MATCH(N6,Premissas!$C$5:$G$5,0)</f>
        <v>2</v>
      </c>
      <c r="O7" s="66" t="n">
        <f aca="false">MATCH(O6,Premissas!$C$5:$G$5,0)</f>
        <v>2</v>
      </c>
      <c r="P7" s="66" t="n">
        <f aca="false">MATCH(P6,Premissas!$C$5:$G$5,0)</f>
        <v>2</v>
      </c>
      <c r="Q7" s="66" t="n">
        <f aca="false">MATCH(Q6,Premissas!$C$5:$G$5,0)</f>
        <v>2</v>
      </c>
      <c r="R7" s="66" t="n">
        <f aca="false">MATCH(R6,Premissas!$C$5:$G$5,0)</f>
        <v>2</v>
      </c>
      <c r="S7" s="66" t="n">
        <f aca="false">MATCH(S6,Premissas!$C$5:$G$5,0)</f>
        <v>2</v>
      </c>
      <c r="T7" s="66" t="n">
        <f aca="false">MATCH(T6,Premissas!$C$5:$G$5,0)</f>
        <v>2</v>
      </c>
      <c r="U7" s="66" t="n">
        <f aca="false">MATCH(U6,Premissas!$C$5:$G$5,0)</f>
        <v>2</v>
      </c>
      <c r="V7" s="66" t="n">
        <f aca="false">MATCH(V6,Premissas!$C$5:$G$5,0)</f>
        <v>2</v>
      </c>
      <c r="W7" s="66" t="n">
        <f aca="false">MATCH(W6,Premissas!$C$5:$G$5,0)</f>
        <v>2</v>
      </c>
      <c r="X7" s="66" t="n">
        <f aca="false">MATCH(X6,Premissas!$C$5:$G$5,0)</f>
        <v>2</v>
      </c>
      <c r="Y7" s="66" t="n">
        <f aca="false">MATCH(Y6,Premissas!$C$5:$G$5,0)</f>
        <v>2</v>
      </c>
      <c r="Z7" s="66" t="n">
        <f aca="false">MATCH(Z6,Premissas!$C$5:$G$5,0)</f>
        <v>3</v>
      </c>
      <c r="AA7" s="66" t="n">
        <f aca="false">MATCH(AA6,Premissas!$C$5:$G$5,0)</f>
        <v>3</v>
      </c>
      <c r="AB7" s="66" t="n">
        <f aca="false">MATCH(AB6,Premissas!$C$5:$G$5,0)</f>
        <v>3</v>
      </c>
      <c r="AC7" s="66" t="n">
        <f aca="false">MATCH(AC6,Premissas!$C$5:$G$5,0)</f>
        <v>3</v>
      </c>
      <c r="AD7" s="66" t="n">
        <f aca="false">MATCH(AD6,Premissas!$C$5:$G$5,0)</f>
        <v>3</v>
      </c>
      <c r="AE7" s="66" t="n">
        <f aca="false">MATCH(AE6,Premissas!$C$5:$G$5,0)</f>
        <v>3</v>
      </c>
      <c r="AF7" s="66" t="n">
        <f aca="false">MATCH(AF6,Premissas!$C$5:$G$5,0)</f>
        <v>3</v>
      </c>
      <c r="AG7" s="66" t="n">
        <f aca="false">MATCH(AG6,Premissas!$C$5:$G$5,0)</f>
        <v>3</v>
      </c>
      <c r="AH7" s="66" t="n">
        <f aca="false">MATCH(AH6,Premissas!$C$5:$G$5,0)</f>
        <v>3</v>
      </c>
      <c r="AI7" s="66" t="n">
        <f aca="false">MATCH(AI6,Premissas!$C$5:$G$5,0)</f>
        <v>3</v>
      </c>
      <c r="AJ7" s="66" t="n">
        <f aca="false">MATCH(AJ6,Premissas!$C$5:$G$5,0)</f>
        <v>3</v>
      </c>
      <c r="AK7" s="66" t="n">
        <f aca="false">MATCH(AK6,Premissas!$C$5:$G$5,0)</f>
        <v>3</v>
      </c>
      <c r="AL7" s="66" t="n">
        <f aca="false">MATCH(AL6,Premissas!$C$5:$G$5,0)</f>
        <v>4</v>
      </c>
      <c r="AM7" s="66" t="n">
        <f aca="false">MATCH(AM6,Premissas!$C$5:$G$5,0)</f>
        <v>4</v>
      </c>
      <c r="AN7" s="66" t="n">
        <f aca="false">MATCH(AN6,Premissas!$C$5:$G$5,0)</f>
        <v>4</v>
      </c>
      <c r="AO7" s="66" t="n">
        <f aca="false">MATCH(AO6,Premissas!$C$5:$G$5,0)</f>
        <v>4</v>
      </c>
      <c r="AP7" s="66" t="n">
        <f aca="false">MATCH(AP6,Premissas!$C$5:$G$5,0)</f>
        <v>4</v>
      </c>
      <c r="AQ7" s="66" t="n">
        <f aca="false">MATCH(AQ6,Premissas!$C$5:$G$5,0)</f>
        <v>4</v>
      </c>
      <c r="AR7" s="66" t="n">
        <f aca="false">MATCH(AR6,Premissas!$C$5:$G$5,0)</f>
        <v>4</v>
      </c>
      <c r="AS7" s="66" t="n">
        <f aca="false">MATCH(AS6,Premissas!$C$5:$G$5,0)</f>
        <v>4</v>
      </c>
      <c r="AT7" s="66" t="n">
        <f aca="false">MATCH(AT6,Premissas!$C$5:$G$5,0)</f>
        <v>4</v>
      </c>
      <c r="AU7" s="66" t="n">
        <f aca="false">MATCH(AU6,Premissas!$C$5:$G$5,0)</f>
        <v>4</v>
      </c>
      <c r="AV7" s="66" t="n">
        <f aca="false">MATCH(AV6,Premissas!$C$5:$G$5,0)</f>
        <v>4</v>
      </c>
      <c r="AW7" s="66" t="n">
        <f aca="false">MATCH(AW6,Premissas!$C$5:$G$5,0)</f>
        <v>4</v>
      </c>
      <c r="AX7" s="66" t="n">
        <f aca="false">MATCH(AX6,Premissas!$C$5:$G$5,0)</f>
        <v>5</v>
      </c>
      <c r="AY7" s="66" t="n">
        <f aca="false">MATCH(AY6,Premissas!$C$5:$G$5,0)</f>
        <v>5</v>
      </c>
      <c r="AZ7" s="66" t="n">
        <f aca="false">MATCH(AZ6,Premissas!$C$5:$G$5,0)</f>
        <v>5</v>
      </c>
      <c r="BA7" s="66" t="n">
        <f aca="false">MATCH(BA6,Premissas!$C$5:$G$5,0)</f>
        <v>5</v>
      </c>
      <c r="BB7" s="66" t="n">
        <f aca="false">MATCH(BB6,Premissas!$C$5:$G$5,0)</f>
        <v>5</v>
      </c>
      <c r="BC7" s="66" t="n">
        <f aca="false">MATCH(BC6,Premissas!$C$5:$G$5,0)</f>
        <v>5</v>
      </c>
      <c r="BD7" s="66" t="n">
        <f aca="false">MATCH(BD6,Premissas!$C$5:$G$5,0)</f>
        <v>5</v>
      </c>
      <c r="BE7" s="66" t="n">
        <f aca="false">MATCH(BE6,Premissas!$C$5:$G$5,0)</f>
        <v>5</v>
      </c>
      <c r="BF7" s="66" t="n">
        <f aca="false">MATCH(BF6,Premissas!$C$5:$G$5,0)</f>
        <v>5</v>
      </c>
      <c r="BG7" s="66" t="n">
        <f aca="false">MATCH(BG6,Premissas!$C$5:$G$5,0)</f>
        <v>5</v>
      </c>
      <c r="BH7" s="66" t="n">
        <f aca="false">MATCH(BH6,Premissas!$C$5:$G$5,0)</f>
        <v>5</v>
      </c>
      <c r="BI7" s="66" t="n">
        <f aca="false">MATCH(BI6,Premissas!$C$5:$G$5,0)</f>
        <v>5</v>
      </c>
    </row>
    <row r="8" customFormat="false" ht="18" hidden="false" customHeight="true" outlineLevel="0" collapsed="false">
      <c r="A8" s="10" t="s">
        <v>309</v>
      </c>
      <c r="B8" s="11"/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  <c r="AO8" s="11"/>
      <c r="AP8" s="11"/>
      <c r="AQ8" s="11"/>
      <c r="AR8" s="11"/>
      <c r="AS8" s="11"/>
      <c r="AT8" s="11"/>
      <c r="AU8" s="11"/>
      <c r="AV8" s="11"/>
      <c r="AW8" s="11"/>
      <c r="AX8" s="11"/>
      <c r="AY8" s="11"/>
      <c r="AZ8" s="11"/>
      <c r="BA8" s="11"/>
      <c r="BB8" s="11"/>
      <c r="BC8" s="11"/>
      <c r="BD8" s="11"/>
      <c r="BE8" s="11"/>
      <c r="BF8" s="11"/>
      <c r="BG8" s="11"/>
      <c r="BH8" s="11"/>
      <c r="BI8" s="11"/>
      <c r="BJ8" s="11"/>
      <c r="BK8" s="11"/>
    </row>
    <row r="9" customFormat="false" ht="15" hidden="false" customHeight="false" outlineLevel="0" collapsed="false">
      <c r="A9" s="12" t="s">
        <v>310</v>
      </c>
      <c r="B9" s="94" t="n">
        <f aca="false">CHOOSE(Premissas!$B$6,Cenários!B10,Cenários!B54,Cenários!B98)</f>
        <v>0</v>
      </c>
      <c r="C9" s="94" t="n">
        <f aca="false">CHOOSE(Premissas!$B$6,Cenários!C10,Cenários!C54,Cenários!C98)</f>
        <v>0</v>
      </c>
      <c r="D9" s="94" t="n">
        <f aca="false">CHOOSE(Premissas!$B$6,Cenários!D10,Cenários!D54,Cenários!D98)</f>
        <v>0</v>
      </c>
      <c r="E9" s="94" t="n">
        <f aca="false">CHOOSE(Premissas!$B$6,Cenários!E10,Cenários!E54,Cenários!E98)</f>
        <v>0</v>
      </c>
      <c r="F9" s="94" t="n">
        <f aca="false">CHOOSE(Premissas!$B$6,Cenários!F10,Cenários!F54,Cenários!F98)</f>
        <v>0</v>
      </c>
      <c r="G9" s="94" t="n">
        <f aca="false">CHOOSE(Premissas!$B$6,Cenários!G10,Cenários!G54,Cenários!G98)</f>
        <v>0</v>
      </c>
      <c r="H9" s="94" t="n">
        <f aca="false">CHOOSE(Premissas!$B$6,Cenários!H10,Cenários!H54,Cenários!H98)</f>
        <v>0</v>
      </c>
      <c r="I9" s="94" t="n">
        <f aca="false">CHOOSE(Premissas!$B$6,Cenários!I10,Cenários!I54,Cenários!I98)</f>
        <v>0</v>
      </c>
      <c r="J9" s="94" t="n">
        <f aca="false">CHOOSE(Premissas!$B$6,Cenários!J10,Cenários!J54,Cenários!J98)</f>
        <v>0</v>
      </c>
      <c r="K9" s="94" t="n">
        <f aca="false">CHOOSE(Premissas!$B$6,Cenários!K10,Cenários!K54,Cenários!K98)</f>
        <v>18100</v>
      </c>
      <c r="L9" s="94" t="n">
        <f aca="false">CHOOSE(Premissas!$B$6,Cenários!L10,Cenários!L54,Cenários!L98)</f>
        <v>18100</v>
      </c>
      <c r="M9" s="94" t="n">
        <f aca="false">CHOOSE(Premissas!$B$6,Cenários!M10,Cenários!M54,Cenários!M98)</f>
        <v>18100</v>
      </c>
      <c r="N9" s="94" t="n">
        <f aca="false">CHOOSE(Premissas!$B$6,Cenários!N10,Cenários!N54,Cenários!N98)</f>
        <v>22000</v>
      </c>
      <c r="O9" s="94" t="n">
        <f aca="false">CHOOSE(Premissas!$B$6,Cenários!O10,Cenários!O54,Cenários!O98)</f>
        <v>22000</v>
      </c>
      <c r="P9" s="94" t="n">
        <f aca="false">CHOOSE(Premissas!$B$6,Cenários!P10,Cenários!P54,Cenários!P98)</f>
        <v>22000</v>
      </c>
      <c r="Q9" s="94" t="n">
        <f aca="false">CHOOSE(Premissas!$B$6,Cenários!Q10,Cenários!Q54,Cenários!Q98)</f>
        <v>22000</v>
      </c>
      <c r="R9" s="94" t="n">
        <f aca="false">CHOOSE(Premissas!$B$6,Cenários!R10,Cenários!R54,Cenários!R98)</f>
        <v>22000</v>
      </c>
      <c r="S9" s="94" t="n">
        <f aca="false">CHOOSE(Premissas!$B$6,Cenários!S10,Cenários!S54,Cenários!S98)</f>
        <v>22000</v>
      </c>
      <c r="T9" s="94" t="n">
        <f aca="false">CHOOSE(Premissas!$B$6,Cenários!T10,Cenários!T54,Cenários!T98)</f>
        <v>22000</v>
      </c>
      <c r="U9" s="94" t="n">
        <f aca="false">CHOOSE(Premissas!$B$6,Cenários!U10,Cenários!U54,Cenários!U98)</f>
        <v>22000</v>
      </c>
      <c r="V9" s="94" t="n">
        <f aca="false">CHOOSE(Premissas!$B$6,Cenários!V10,Cenários!V54,Cenários!V98)</f>
        <v>22000</v>
      </c>
      <c r="W9" s="94" t="n">
        <f aca="false">CHOOSE(Premissas!$B$6,Cenários!W10,Cenários!W54,Cenários!W98)</f>
        <v>22000</v>
      </c>
      <c r="X9" s="94" t="n">
        <f aca="false">CHOOSE(Premissas!$B$6,Cenários!X10,Cenários!X54,Cenários!X98)</f>
        <v>22000</v>
      </c>
      <c r="Y9" s="94" t="n">
        <f aca="false">CHOOSE(Premissas!$B$6,Cenários!Y10,Cenários!Y54,Cenários!Y98)</f>
        <v>22000</v>
      </c>
      <c r="Z9" s="94" t="n">
        <f aca="false">CHOOSE(Premissas!$B$6,Cenários!Z10,Cenários!Z54,Cenários!Z98)</f>
        <v>45000</v>
      </c>
      <c r="AA9" s="94" t="n">
        <f aca="false">CHOOSE(Premissas!$B$6,Cenários!AA10,Cenários!AA54,Cenários!AA98)</f>
        <v>45000</v>
      </c>
      <c r="AB9" s="94" t="n">
        <f aca="false">CHOOSE(Premissas!$B$6,Cenários!AB10,Cenários!AB54,Cenários!AB98)</f>
        <v>45000</v>
      </c>
      <c r="AC9" s="94" t="n">
        <f aca="false">CHOOSE(Premissas!$B$6,Cenários!AC10,Cenários!AC54,Cenários!AC98)</f>
        <v>45000</v>
      </c>
      <c r="AD9" s="94" t="n">
        <f aca="false">CHOOSE(Premissas!$B$6,Cenários!AD10,Cenários!AD54,Cenários!AD98)</f>
        <v>45000</v>
      </c>
      <c r="AE9" s="94" t="n">
        <f aca="false">CHOOSE(Premissas!$B$6,Cenários!AE10,Cenários!AE54,Cenários!AE98)</f>
        <v>45000</v>
      </c>
      <c r="AF9" s="94" t="n">
        <f aca="false">CHOOSE(Premissas!$B$6,Cenários!AF10,Cenários!AF54,Cenários!AF98)</f>
        <v>45000</v>
      </c>
      <c r="AG9" s="94" t="n">
        <f aca="false">CHOOSE(Premissas!$B$6,Cenários!AG10,Cenários!AG54,Cenários!AG98)</f>
        <v>45000</v>
      </c>
      <c r="AH9" s="94" t="n">
        <f aca="false">CHOOSE(Premissas!$B$6,Cenários!AH10,Cenários!AH54,Cenários!AH98)</f>
        <v>45000</v>
      </c>
      <c r="AI9" s="94" t="n">
        <f aca="false">CHOOSE(Premissas!$B$6,Cenários!AI10,Cenários!AI54,Cenários!AI98)</f>
        <v>45000</v>
      </c>
      <c r="AJ9" s="94" t="n">
        <f aca="false">CHOOSE(Premissas!$B$6,Cenários!AJ10,Cenários!AJ54,Cenários!AJ98)</f>
        <v>45000</v>
      </c>
      <c r="AK9" s="94" t="n">
        <f aca="false">CHOOSE(Premissas!$B$6,Cenários!AK10,Cenários!AK54,Cenários!AK98)</f>
        <v>45000</v>
      </c>
      <c r="AL9" s="94" t="n">
        <f aca="false">CHOOSE(Premissas!$B$6,Cenários!AL10,Cenários!AL54,Cenários!AL98)</f>
        <v>70000</v>
      </c>
      <c r="AM9" s="94" t="n">
        <f aca="false">CHOOSE(Premissas!$B$6,Cenários!AM10,Cenários!AM54,Cenários!AM98)</f>
        <v>70000</v>
      </c>
      <c r="AN9" s="94" t="n">
        <f aca="false">CHOOSE(Premissas!$B$6,Cenários!AN10,Cenários!AN54,Cenários!AN98)</f>
        <v>70000</v>
      </c>
      <c r="AO9" s="94" t="n">
        <f aca="false">CHOOSE(Premissas!$B$6,Cenários!AO10,Cenários!AO54,Cenários!AO98)</f>
        <v>70000</v>
      </c>
      <c r="AP9" s="94" t="n">
        <f aca="false">CHOOSE(Premissas!$B$6,Cenários!AP10,Cenários!AP54,Cenários!AP98)</f>
        <v>70000</v>
      </c>
      <c r="AQ9" s="94" t="n">
        <f aca="false">CHOOSE(Premissas!$B$6,Cenários!AQ10,Cenários!AQ54,Cenários!AQ98)</f>
        <v>70000</v>
      </c>
      <c r="AR9" s="94" t="n">
        <f aca="false">CHOOSE(Premissas!$B$6,Cenários!AR10,Cenários!AR54,Cenários!AR98)</f>
        <v>70000</v>
      </c>
      <c r="AS9" s="94" t="n">
        <f aca="false">CHOOSE(Premissas!$B$6,Cenários!AS10,Cenários!AS54,Cenários!AS98)</f>
        <v>70000</v>
      </c>
      <c r="AT9" s="94" t="n">
        <f aca="false">CHOOSE(Premissas!$B$6,Cenários!AT10,Cenários!AT54,Cenários!AT98)</f>
        <v>70000</v>
      </c>
      <c r="AU9" s="94" t="n">
        <f aca="false">CHOOSE(Premissas!$B$6,Cenários!AU10,Cenários!AU54,Cenários!AU98)</f>
        <v>70000</v>
      </c>
      <c r="AV9" s="94" t="n">
        <f aca="false">CHOOSE(Premissas!$B$6,Cenários!AV10,Cenários!AV54,Cenários!AV98)</f>
        <v>70000</v>
      </c>
      <c r="AW9" s="94" t="n">
        <f aca="false">CHOOSE(Premissas!$B$6,Cenários!AW10,Cenários!AW54,Cenários!AW98)</f>
        <v>70000</v>
      </c>
      <c r="AX9" s="94" t="n">
        <f aca="false">CHOOSE(Premissas!$B$6,Cenários!AX10,Cenários!AX54,Cenários!AX98)</f>
        <v>95000</v>
      </c>
      <c r="AY9" s="94" t="n">
        <f aca="false">CHOOSE(Premissas!$B$6,Cenários!AY10,Cenários!AY54,Cenários!AY98)</f>
        <v>95000</v>
      </c>
      <c r="AZ9" s="94" t="n">
        <f aca="false">CHOOSE(Premissas!$B$6,Cenários!AZ10,Cenários!AZ54,Cenários!AZ98)</f>
        <v>95000</v>
      </c>
      <c r="BA9" s="94" t="n">
        <f aca="false">CHOOSE(Premissas!$B$6,Cenários!BA10,Cenários!BA54,Cenários!BA98)</f>
        <v>95000</v>
      </c>
      <c r="BB9" s="94" t="n">
        <f aca="false">CHOOSE(Premissas!$B$6,Cenários!BB10,Cenários!BB54,Cenários!BB98)</f>
        <v>95000</v>
      </c>
      <c r="BC9" s="94" t="n">
        <f aca="false">CHOOSE(Premissas!$B$6,Cenários!BC10,Cenários!BC54,Cenários!BC98)</f>
        <v>95000</v>
      </c>
      <c r="BD9" s="94" t="n">
        <f aca="false">CHOOSE(Premissas!$B$6,Cenários!BD10,Cenários!BD54,Cenários!BD98)</f>
        <v>95000</v>
      </c>
      <c r="BE9" s="94" t="n">
        <f aca="false">CHOOSE(Premissas!$B$6,Cenários!BE10,Cenários!BE54,Cenários!BE98)</f>
        <v>95000</v>
      </c>
      <c r="BF9" s="94" t="n">
        <f aca="false">CHOOSE(Premissas!$B$6,Cenários!BF10,Cenários!BF54,Cenários!BF98)</f>
        <v>95000</v>
      </c>
      <c r="BG9" s="94" t="n">
        <f aca="false">CHOOSE(Premissas!$B$6,Cenários!BG10,Cenários!BG54,Cenários!BG98)</f>
        <v>95000</v>
      </c>
      <c r="BH9" s="94" t="n">
        <f aca="false">CHOOSE(Premissas!$B$6,Cenários!BH10,Cenários!BH54,Cenários!BH98)</f>
        <v>95000</v>
      </c>
      <c r="BI9" s="94" t="n">
        <f aca="false">CHOOSE(Premissas!$B$6,Cenários!BI10,Cenários!BI54,Cenários!BI98)</f>
        <v>95000</v>
      </c>
      <c r="BJ9" s="95" t="n">
        <f aca="false">SUM(B9:BI9)</f>
        <v>2838300</v>
      </c>
    </row>
    <row r="10" customFormat="false" ht="15" hidden="false" customHeight="false" outlineLevel="0" collapsed="false">
      <c r="A10" s="12" t="s">
        <v>311</v>
      </c>
      <c r="B10" s="94" t="n">
        <f aca="false">CHOOSE(Premissas!$B$6,Cenários!B11,Cenários!B55,Cenários!B99)</f>
        <v>0</v>
      </c>
      <c r="C10" s="94" t="n">
        <f aca="false">CHOOSE(Premissas!$B$6,Cenários!C11,Cenários!C55,Cenários!C99)</f>
        <v>0</v>
      </c>
      <c r="D10" s="94" t="n">
        <f aca="false">CHOOSE(Premissas!$B$6,Cenários!D11,Cenários!D55,Cenários!D99)</f>
        <v>0</v>
      </c>
      <c r="E10" s="94" t="n">
        <f aca="false">CHOOSE(Premissas!$B$6,Cenários!E11,Cenários!E55,Cenários!E99)</f>
        <v>0</v>
      </c>
      <c r="F10" s="94" t="n">
        <f aca="false">CHOOSE(Premissas!$B$6,Cenários!F11,Cenários!F55,Cenários!F99)</f>
        <v>0</v>
      </c>
      <c r="G10" s="94" t="n">
        <f aca="false">CHOOSE(Premissas!$B$6,Cenários!G11,Cenários!G55,Cenários!G99)</f>
        <v>0</v>
      </c>
      <c r="H10" s="94" t="n">
        <f aca="false">CHOOSE(Premissas!$B$6,Cenários!H11,Cenários!H55,Cenários!H99)</f>
        <v>0</v>
      </c>
      <c r="I10" s="94" t="n">
        <f aca="false">CHOOSE(Premissas!$B$6,Cenários!I11,Cenários!I55,Cenários!I99)</f>
        <v>0</v>
      </c>
      <c r="J10" s="94" t="n">
        <f aca="false">CHOOSE(Premissas!$B$6,Cenários!J11,Cenários!J55,Cenários!J99)</f>
        <v>0</v>
      </c>
      <c r="K10" s="94" t="n">
        <f aca="false">CHOOSE(Premissas!$B$6,Cenários!K11,Cenários!K55,Cenários!K99)</f>
        <v>0</v>
      </c>
      <c r="L10" s="94" t="n">
        <f aca="false">CHOOSE(Premissas!$B$6,Cenários!L11,Cenários!L55,Cenários!L99)</f>
        <v>18100</v>
      </c>
      <c r="M10" s="94" t="n">
        <f aca="false">CHOOSE(Premissas!$B$6,Cenários!M11,Cenários!M55,Cenários!M99)</f>
        <v>34752</v>
      </c>
      <c r="N10" s="94" t="n">
        <f aca="false">CHOOSE(Premissas!$B$6,Cenários!N11,Cenários!N55,Cenários!N99)</f>
        <v>50071.84</v>
      </c>
      <c r="O10" s="94" t="n">
        <f aca="false">CHOOSE(Premissas!$B$6,Cenários!O11,Cenários!O55,Cenários!O99)</f>
        <v>68316.452</v>
      </c>
      <c r="P10" s="94" t="n">
        <f aca="false">CHOOSE(Premissas!$B$6,Cenários!P11,Cenários!P55,Cenários!P99)</f>
        <v>85192.7181</v>
      </c>
      <c r="Q10" s="94" t="n">
        <f aca="false">CHOOSE(Premissas!$B$6,Cenários!Q11,Cenários!Q55,Cenários!Q99)</f>
        <v>100803.2642425</v>
      </c>
      <c r="R10" s="94" t="n">
        <f aca="false">CHOOSE(Premissas!$B$6,Cenários!R11,Cenários!R55,Cenários!R99)</f>
        <v>115243.019424313</v>
      </c>
      <c r="S10" s="94" t="n">
        <f aca="false">CHOOSE(Premissas!$B$6,Cenários!S11,Cenários!S55,Cenários!S99)</f>
        <v>128599.792967489</v>
      </c>
      <c r="T10" s="94" t="n">
        <f aca="false">CHOOSE(Premissas!$B$6,Cenários!T11,Cenários!T55,Cenários!T99)</f>
        <v>140954.808494927</v>
      </c>
      <c r="U10" s="94" t="n">
        <f aca="false">CHOOSE(Premissas!$B$6,Cenários!U11,Cenários!U55,Cenários!U99)</f>
        <v>152383.197857808</v>
      </c>
      <c r="V10" s="94" t="n">
        <f aca="false">CHOOSE(Premissas!$B$6,Cenários!V11,Cenários!V55,Cenários!V99)</f>
        <v>162954.458018472</v>
      </c>
      <c r="W10" s="94" t="n">
        <f aca="false">CHOOSE(Premissas!$B$6,Cenários!W11,Cenários!W55,Cenários!W99)</f>
        <v>172732.873667087</v>
      </c>
      <c r="X10" s="94" t="n">
        <f aca="false">CHOOSE(Premissas!$B$6,Cenários!X11,Cenários!X55,Cenários!X99)</f>
        <v>181777.908142055</v>
      </c>
      <c r="Y10" s="94" t="n">
        <f aca="false">CHOOSE(Premissas!$B$6,Cenários!Y11,Cenários!Y55,Cenários!Y99)</f>
        <v>190144.565031401</v>
      </c>
      <c r="Z10" s="94" t="n">
        <f aca="false">CHOOSE(Premissas!$B$6,Cenários!Z11,Cenários!Z55,Cenários!Z99)</f>
        <v>197883.722654046</v>
      </c>
      <c r="AA10" s="94" t="n">
        <f aca="false">CHOOSE(Premissas!$B$6,Cenários!AA11,Cenários!AA55,Cenários!AA99)</f>
        <v>229031.862068263</v>
      </c>
      <c r="AB10" s="94" t="n">
        <f aca="false">CHOOSE(Premissas!$B$6,Cenários!AB11,Cenários!AB55,Cenários!AB99)</f>
        <v>257999.631723484</v>
      </c>
      <c r="AC10" s="94" t="n">
        <f aca="false">CHOOSE(Premissas!$B$6,Cenários!AC11,Cenários!AC55,Cenários!AC99)</f>
        <v>284939.657502841</v>
      </c>
      <c r="AD10" s="94" t="n">
        <f aca="false">CHOOSE(Premissas!$B$6,Cenários!AD11,Cenários!AD55,Cenários!AD99)</f>
        <v>309993.881477642</v>
      </c>
      <c r="AE10" s="94" t="n">
        <f aca="false">CHOOSE(Premissas!$B$6,Cenários!AE11,Cenários!AE55,Cenários!AE99)</f>
        <v>333294.309774207</v>
      </c>
      <c r="AF10" s="94" t="n">
        <f aca="false">CHOOSE(Premissas!$B$6,Cenários!AF11,Cenários!AF55,Cenários!AF99)</f>
        <v>354963.708090012</v>
      </c>
      <c r="AG10" s="94" t="n">
        <f aca="false">CHOOSE(Premissas!$B$6,Cenários!AG11,Cenários!AG55,Cenários!AG99)</f>
        <v>375116.248523711</v>
      </c>
      <c r="AH10" s="94" t="n">
        <f aca="false">CHOOSE(Premissas!$B$6,Cenários!AH11,Cenários!AH55,Cenários!AH99)</f>
        <v>393858.111127052</v>
      </c>
      <c r="AI10" s="94" t="n">
        <f aca="false">CHOOSE(Premissas!$B$6,Cenários!AI11,Cenários!AI55,Cenários!AI99)</f>
        <v>411288.043348158</v>
      </c>
      <c r="AJ10" s="94" t="n">
        <f aca="false">CHOOSE(Premissas!$B$6,Cenários!AJ11,Cenários!AJ55,Cenários!AJ99)</f>
        <v>427497.880313787</v>
      </c>
      <c r="AK10" s="94" t="n">
        <f aca="false">CHOOSE(Premissas!$B$6,Cenários!AK11,Cenários!AK55,Cenários!AK99)</f>
        <v>442573.028691822</v>
      </c>
      <c r="AL10" s="94" t="n">
        <f aca="false">CHOOSE(Premissas!$B$6,Cenários!AL11,Cenários!AL55,Cenários!AL99)</f>
        <v>456592.916683394</v>
      </c>
      <c r="AM10" s="94" t="n">
        <f aca="false">CHOOSE(Premissas!$B$6,Cenários!AM11,Cenários!AM55,Cenários!AM99)</f>
        <v>496914.377098974</v>
      </c>
      <c r="AN10" s="94" t="n">
        <f aca="false">CHOOSE(Premissas!$B$6,Cenários!AN11,Cenários!AN55,Cenários!AN99)</f>
        <v>534614.942587541</v>
      </c>
      <c r="AO10" s="94" t="n">
        <f aca="false">CHOOSE(Premissas!$B$6,Cenários!AO11,Cenários!AO55,Cenários!AO99)</f>
        <v>569864.97131935</v>
      </c>
      <c r="AP10" s="94" t="n">
        <f aca="false">CHOOSE(Premissas!$B$6,Cenários!AP11,Cenários!AP55,Cenários!AP99)</f>
        <v>602823.748183593</v>
      </c>
      <c r="AQ10" s="94" t="n">
        <f aca="false">CHOOSE(Premissas!$B$6,Cenários!AQ11,Cenários!AQ55,Cenários!AQ99)</f>
        <v>633640.204551659</v>
      </c>
      <c r="AR10" s="94" t="n">
        <f aca="false">CHOOSE(Premissas!$B$6,Cenários!AR11,Cenários!AR55,Cenários!AR99)</f>
        <v>662453.591255801</v>
      </c>
      <c r="AS10" s="94" t="n">
        <f aca="false">CHOOSE(Premissas!$B$6,Cenários!AS11,Cenários!AS55,Cenários!AS99)</f>
        <v>689394.107824174</v>
      </c>
      <c r="AT10" s="94" t="n">
        <f aca="false">CHOOSE(Premissas!$B$6,Cenários!AT11,Cenários!AT55,Cenários!AT99)</f>
        <v>714583.490815603</v>
      </c>
      <c r="AU10" s="94" t="n">
        <f aca="false">CHOOSE(Premissas!$B$6,Cenários!AU11,Cenários!AU55,Cenários!AU99)</f>
        <v>738135.563912589</v>
      </c>
      <c r="AV10" s="94" t="n">
        <f aca="false">CHOOSE(Premissas!$B$6,Cenários!AV11,Cenários!AV55,Cenários!AV99)</f>
        <v>760156.752258271</v>
      </c>
      <c r="AW10" s="94" t="n">
        <f aca="false">CHOOSE(Premissas!$B$6,Cenários!AW11,Cenários!AW55,Cenários!AW99)</f>
        <v>780746.563361483</v>
      </c>
      <c r="AX10" s="94" t="n">
        <f aca="false">CHOOSE(Premissas!$B$6,Cenários!AX11,Cenários!AX55,Cenários!AX99)</f>
        <v>799998.036742987</v>
      </c>
      <c r="AY10" s="94" t="n">
        <f aca="false">CHOOSE(Premissas!$B$6,Cenários!AY11,Cenários!AY55,Cenários!AY99)</f>
        <v>846998.154538408</v>
      </c>
      <c r="AZ10" s="94" t="n">
        <f aca="false">CHOOSE(Premissas!$B$6,Cenários!AZ11,Cenários!AZ55,Cenários!AZ99)</f>
        <v>891178.265266103</v>
      </c>
      <c r="BA10" s="94" t="n">
        <f aca="false">CHOOSE(Premissas!$B$6,Cenários!BA11,Cenários!BA55,Cenários!BA99)</f>
        <v>932707.569350137</v>
      </c>
      <c r="BB10" s="94" t="n">
        <f aca="false">CHOOSE(Premissas!$B$6,Cenários!BB11,Cenários!BB55,Cenários!BB99)</f>
        <v>971745.115189129</v>
      </c>
      <c r="BC10" s="94" t="n">
        <f aca="false">CHOOSE(Premissas!$B$6,Cenários!BC11,Cenários!BC55,Cenários!BC99)</f>
        <v>1008440.40827778</v>
      </c>
      <c r="BD10" s="94" t="n">
        <f aca="false">CHOOSE(Premissas!$B$6,Cenários!BD11,Cenários!BD55,Cenários!BD99)</f>
        <v>1042933.98378111</v>
      </c>
      <c r="BE10" s="94" t="n">
        <f aca="false">CHOOSE(Premissas!$B$6,Cenários!BE11,Cenários!BE55,Cenários!BE99)</f>
        <v>1075357.94475425</v>
      </c>
      <c r="BF10" s="94" t="n">
        <f aca="false">CHOOSE(Premissas!$B$6,Cenários!BF11,Cenários!BF55,Cenários!BF99)</f>
        <v>1105836.46806899</v>
      </c>
      <c r="BG10" s="94" t="n">
        <f aca="false">CHOOSE(Premissas!$B$6,Cenários!BG11,Cenários!BG55,Cenários!BG99)</f>
        <v>1134486.27998485</v>
      </c>
      <c r="BH10" s="94" t="n">
        <f aca="false">CHOOSE(Premissas!$B$6,Cenários!BH11,Cenários!BH55,Cenários!BH99)</f>
        <v>1161417.10318576</v>
      </c>
      <c r="BI10" s="94" t="n">
        <f aca="false">CHOOSE(Premissas!$B$6,Cenários!BI11,Cenários!BI55,Cenários!BI99)</f>
        <v>1186732.07699462</v>
      </c>
      <c r="BJ10" s="95" t="n">
        <f aca="false">BI10</f>
        <v>1186732.07699462</v>
      </c>
      <c r="BK10" s="14" t="s">
        <v>312</v>
      </c>
    </row>
    <row r="11" customFormat="false" ht="15" hidden="false" customHeight="false" outlineLevel="0" collapsed="false">
      <c r="A11" s="12" t="s">
        <v>313</v>
      </c>
      <c r="B11" s="94" t="n">
        <f aca="false">CHOOSE(Premissas!$B$6,Cenários!B12,Cenários!B56,Cenários!B100)</f>
        <v>-0</v>
      </c>
      <c r="C11" s="94" t="n">
        <f aca="false">CHOOSE(Premissas!$B$6,Cenários!C12,Cenários!C56,Cenários!C100)</f>
        <v>-0</v>
      </c>
      <c r="D11" s="94" t="n">
        <f aca="false">CHOOSE(Premissas!$B$6,Cenários!D12,Cenários!D56,Cenários!D100)</f>
        <v>-0</v>
      </c>
      <c r="E11" s="94" t="n">
        <f aca="false">CHOOSE(Premissas!$B$6,Cenários!E12,Cenários!E56,Cenários!E100)</f>
        <v>-0</v>
      </c>
      <c r="F11" s="94" t="n">
        <f aca="false">CHOOSE(Premissas!$B$6,Cenários!F12,Cenários!F56,Cenários!F100)</f>
        <v>-0</v>
      </c>
      <c r="G11" s="94" t="n">
        <f aca="false">CHOOSE(Premissas!$B$6,Cenários!G12,Cenários!G56,Cenários!G100)</f>
        <v>-0</v>
      </c>
      <c r="H11" s="94" t="n">
        <f aca="false">CHOOSE(Premissas!$B$6,Cenários!H12,Cenários!H56,Cenários!H100)</f>
        <v>-0</v>
      </c>
      <c r="I11" s="94" t="n">
        <f aca="false">CHOOSE(Premissas!$B$6,Cenários!I12,Cenários!I56,Cenários!I100)</f>
        <v>-0</v>
      </c>
      <c r="J11" s="94" t="n">
        <f aca="false">CHOOSE(Premissas!$B$6,Cenários!J12,Cenários!J56,Cenários!J100)</f>
        <v>-0</v>
      </c>
      <c r="K11" s="94" t="n">
        <f aca="false">CHOOSE(Premissas!$B$6,Cenários!K12,Cenários!K56,Cenários!K100)</f>
        <v>-0</v>
      </c>
      <c r="L11" s="94" t="n">
        <f aca="false">CHOOSE(Premissas!$B$6,Cenários!L12,Cenários!L56,Cenários!L100)</f>
        <v>-1448</v>
      </c>
      <c r="M11" s="94" t="n">
        <f aca="false">CHOOSE(Premissas!$B$6,Cenários!M12,Cenários!M56,Cenários!M100)</f>
        <v>-2780.16</v>
      </c>
      <c r="N11" s="94" t="n">
        <f aca="false">CHOOSE(Premissas!$B$6,Cenários!N12,Cenários!N56,Cenários!N100)</f>
        <v>-3755.388</v>
      </c>
      <c r="O11" s="94" t="n">
        <f aca="false">CHOOSE(Premissas!$B$6,Cenários!O12,Cenários!O56,Cenários!O100)</f>
        <v>-5123.7339</v>
      </c>
      <c r="P11" s="94" t="n">
        <f aca="false">CHOOSE(Premissas!$B$6,Cenários!P12,Cenários!P56,Cenários!P100)</f>
        <v>-6389.4538575</v>
      </c>
      <c r="Q11" s="94" t="n">
        <f aca="false">CHOOSE(Premissas!$B$6,Cenários!Q12,Cenários!Q56,Cenários!Q100)</f>
        <v>-7560.2448181875</v>
      </c>
      <c r="R11" s="94" t="n">
        <f aca="false">CHOOSE(Premissas!$B$6,Cenários!R12,Cenários!R56,Cenários!R100)</f>
        <v>-8643.22645682344</v>
      </c>
      <c r="S11" s="94" t="n">
        <f aca="false">CHOOSE(Premissas!$B$6,Cenários!S12,Cenários!S56,Cenários!S100)</f>
        <v>-9644.98447256168</v>
      </c>
      <c r="T11" s="94" t="n">
        <f aca="false">CHOOSE(Premissas!$B$6,Cenários!T12,Cenários!T56,Cenários!T100)</f>
        <v>-10571.6106371196</v>
      </c>
      <c r="U11" s="94" t="n">
        <f aca="false">CHOOSE(Premissas!$B$6,Cenários!U12,Cenários!U56,Cenários!U100)</f>
        <v>-11428.7398393356</v>
      </c>
      <c r="V11" s="94" t="n">
        <f aca="false">CHOOSE(Premissas!$B$6,Cenários!V12,Cenários!V56,Cenários!V100)</f>
        <v>-12221.5843513854</v>
      </c>
      <c r="W11" s="94" t="n">
        <f aca="false">CHOOSE(Premissas!$B$6,Cenários!W12,Cenários!W56,Cenários!W100)</f>
        <v>-12954.9655250315</v>
      </c>
      <c r="X11" s="94" t="n">
        <f aca="false">CHOOSE(Premissas!$B$6,Cenários!X12,Cenários!X56,Cenários!X100)</f>
        <v>-13633.3431106541</v>
      </c>
      <c r="Y11" s="94" t="n">
        <f aca="false">CHOOSE(Premissas!$B$6,Cenários!Y12,Cenários!Y56,Cenários!Y100)</f>
        <v>-14260.8423773551</v>
      </c>
      <c r="Z11" s="94" t="n">
        <f aca="false">CHOOSE(Premissas!$B$6,Cenários!Z12,Cenários!Z56,Cenários!Z100)</f>
        <v>-13851.8605857832</v>
      </c>
      <c r="AA11" s="94" t="n">
        <f aca="false">CHOOSE(Premissas!$B$6,Cenários!AA12,Cenários!AA56,Cenários!AA100)</f>
        <v>-16032.2303447784</v>
      </c>
      <c r="AB11" s="94" t="n">
        <f aca="false">CHOOSE(Premissas!$B$6,Cenários!AB12,Cenários!AB56,Cenários!AB100)</f>
        <v>-18059.9742206439</v>
      </c>
      <c r="AC11" s="94" t="n">
        <f aca="false">CHOOSE(Premissas!$B$6,Cenários!AC12,Cenários!AC56,Cenários!AC100)</f>
        <v>-19945.7760251988</v>
      </c>
      <c r="AD11" s="94" t="n">
        <f aca="false">CHOOSE(Premissas!$B$6,Cenários!AD12,Cenários!AD56,Cenários!AD100)</f>
        <v>-21699.5717034349</v>
      </c>
      <c r="AE11" s="94" t="n">
        <f aca="false">CHOOSE(Premissas!$B$6,Cenários!AE12,Cenários!AE56,Cenários!AE100)</f>
        <v>-23330.6016841945</v>
      </c>
      <c r="AF11" s="94" t="n">
        <f aca="false">CHOOSE(Premissas!$B$6,Cenários!AF12,Cenários!AF56,Cenários!AF100)</f>
        <v>-24847.4595663009</v>
      </c>
      <c r="AG11" s="94" t="n">
        <f aca="false">CHOOSE(Premissas!$B$6,Cenários!AG12,Cenários!AG56,Cenários!AG100)</f>
        <v>-26258.1373966598</v>
      </c>
      <c r="AH11" s="94" t="n">
        <f aca="false">CHOOSE(Premissas!$B$6,Cenários!AH12,Cenários!AH56,Cenários!AH100)</f>
        <v>-27570.0677788936</v>
      </c>
      <c r="AI11" s="94" t="n">
        <f aca="false">CHOOSE(Premissas!$B$6,Cenários!AI12,Cenários!AI56,Cenários!AI100)</f>
        <v>-28790.1630343711</v>
      </c>
      <c r="AJ11" s="94" t="n">
        <f aca="false">CHOOSE(Premissas!$B$6,Cenários!AJ12,Cenários!AJ56,Cenários!AJ100)</f>
        <v>-29924.8516219651</v>
      </c>
      <c r="AK11" s="94" t="n">
        <f aca="false">CHOOSE(Premissas!$B$6,Cenários!AK12,Cenários!AK56,Cenários!AK100)</f>
        <v>-30980.1120084275</v>
      </c>
      <c r="AL11" s="94" t="n">
        <f aca="false">CHOOSE(Premissas!$B$6,Cenários!AL12,Cenários!AL56,Cenários!AL100)</f>
        <v>-29678.5395844206</v>
      </c>
      <c r="AM11" s="94" t="n">
        <f aca="false">CHOOSE(Premissas!$B$6,Cenários!AM12,Cenários!AM56,Cenários!AM100)</f>
        <v>-32299.4345114333</v>
      </c>
      <c r="AN11" s="94" t="n">
        <f aca="false">CHOOSE(Premissas!$B$6,Cenários!AN12,Cenários!AN56,Cenários!AN100)</f>
        <v>-34749.9712681901</v>
      </c>
      <c r="AO11" s="94" t="n">
        <f aca="false">CHOOSE(Premissas!$B$6,Cenários!AO12,Cenários!AO56,Cenários!AO100)</f>
        <v>-37041.2231357578</v>
      </c>
      <c r="AP11" s="94" t="n">
        <f aca="false">CHOOSE(Premissas!$B$6,Cenários!AP12,Cenários!AP56,Cenários!AP100)</f>
        <v>-39183.5436319335</v>
      </c>
      <c r="AQ11" s="94" t="n">
        <f aca="false">CHOOSE(Premissas!$B$6,Cenários!AQ12,Cenários!AQ56,Cenários!AQ100)</f>
        <v>-41186.6132958578</v>
      </c>
      <c r="AR11" s="94" t="n">
        <f aca="false">CHOOSE(Premissas!$B$6,Cenários!AR12,Cenários!AR56,Cenários!AR100)</f>
        <v>-43059.4834316271</v>
      </c>
      <c r="AS11" s="94" t="n">
        <f aca="false">CHOOSE(Premissas!$B$6,Cenários!AS12,Cenários!AS56,Cenários!AS100)</f>
        <v>-44810.6170085713</v>
      </c>
      <c r="AT11" s="94" t="n">
        <f aca="false">CHOOSE(Premissas!$B$6,Cenários!AT12,Cenários!AT56,Cenários!AT100)</f>
        <v>-46447.9269030142</v>
      </c>
      <c r="AU11" s="94" t="n">
        <f aca="false">CHOOSE(Premissas!$B$6,Cenários!AU12,Cenários!AU56,Cenários!AU100)</f>
        <v>-47978.8116543183</v>
      </c>
      <c r="AV11" s="94" t="n">
        <f aca="false">CHOOSE(Premissas!$B$6,Cenários!AV12,Cenários!AV56,Cenários!AV100)</f>
        <v>-49410.1888967876</v>
      </c>
      <c r="AW11" s="94" t="n">
        <f aca="false">CHOOSE(Premissas!$B$6,Cenários!AW12,Cenários!AW56,Cenários!AW100)</f>
        <v>-50748.5266184964</v>
      </c>
      <c r="AX11" s="94" t="n">
        <f aca="false">CHOOSE(Premissas!$B$6,Cenários!AX12,Cenários!AX56,Cenários!AX100)</f>
        <v>-47999.8822045792</v>
      </c>
      <c r="AY11" s="94" t="n">
        <f aca="false">CHOOSE(Premissas!$B$6,Cenários!AY12,Cenários!AY56,Cenários!AY100)</f>
        <v>-50819.8892723045</v>
      </c>
      <c r="AZ11" s="94" t="n">
        <f aca="false">CHOOSE(Premissas!$B$6,Cenários!AZ12,Cenários!AZ56,Cenários!AZ100)</f>
        <v>-53470.6959159662</v>
      </c>
      <c r="BA11" s="94" t="n">
        <f aca="false">CHOOSE(Premissas!$B$6,Cenários!BA12,Cenários!BA56,Cenários!BA100)</f>
        <v>-55962.4541610082</v>
      </c>
      <c r="BB11" s="94" t="n">
        <f aca="false">CHOOSE(Premissas!$B$6,Cenários!BB12,Cenários!BB56,Cenários!BB100)</f>
        <v>-58304.7069113477</v>
      </c>
      <c r="BC11" s="94" t="n">
        <f aca="false">CHOOSE(Premissas!$B$6,Cenários!BC12,Cenários!BC56,Cenários!BC100)</f>
        <v>-60506.4244966669</v>
      </c>
      <c r="BD11" s="94" t="n">
        <f aca="false">CHOOSE(Premissas!$B$6,Cenários!BD12,Cenários!BD56,Cenários!BD100)</f>
        <v>-62576.0390268668</v>
      </c>
      <c r="BE11" s="94" t="n">
        <f aca="false">CHOOSE(Premissas!$B$6,Cenários!BE12,Cenários!BE56,Cenários!BE100)</f>
        <v>-64521.4766852548</v>
      </c>
      <c r="BF11" s="94" t="n">
        <f aca="false">CHOOSE(Premissas!$B$6,Cenários!BF12,Cenários!BF56,Cenários!BF100)</f>
        <v>-66350.1880841395</v>
      </c>
      <c r="BG11" s="94" t="n">
        <f aca="false">CHOOSE(Premissas!$B$6,Cenários!BG12,Cenários!BG56,Cenários!BG100)</f>
        <v>-68069.1767990912</v>
      </c>
      <c r="BH11" s="94" t="n">
        <f aca="false">CHOOSE(Premissas!$B$6,Cenários!BH12,Cenários!BH56,Cenários!BH100)</f>
        <v>-69685.0261911457</v>
      </c>
      <c r="BI11" s="94" t="n">
        <f aca="false">CHOOSE(Premissas!$B$6,Cenários!BI12,Cenários!BI56,Cenários!BI100)</f>
        <v>-71203.924619677</v>
      </c>
      <c r="BJ11" s="95" t="n">
        <f aca="false">SUM(B11:BI11)</f>
        <v>-1627771.84762506</v>
      </c>
    </row>
    <row r="12" customFormat="false" ht="15" hidden="false" customHeight="false" outlineLevel="0" collapsed="false">
      <c r="A12" s="34" t="s">
        <v>314</v>
      </c>
      <c r="B12" s="96" t="n">
        <f aca="false">CHOOSE(Premissas!$B$6,Cenários!B13,Cenários!B57,Cenários!B101)</f>
        <v>0</v>
      </c>
      <c r="C12" s="96" t="n">
        <f aca="false">CHOOSE(Premissas!$B$6,Cenários!C13,Cenários!C57,Cenários!C101)</f>
        <v>0</v>
      </c>
      <c r="D12" s="96" t="n">
        <f aca="false">CHOOSE(Premissas!$B$6,Cenários!D13,Cenários!D57,Cenários!D101)</f>
        <v>0</v>
      </c>
      <c r="E12" s="96" t="n">
        <f aca="false">CHOOSE(Premissas!$B$6,Cenários!E13,Cenários!E57,Cenários!E101)</f>
        <v>0</v>
      </c>
      <c r="F12" s="96" t="n">
        <f aca="false">CHOOSE(Premissas!$B$6,Cenários!F13,Cenários!F57,Cenários!F101)</f>
        <v>0</v>
      </c>
      <c r="G12" s="96" t="n">
        <f aca="false">CHOOSE(Premissas!$B$6,Cenários!G13,Cenários!G57,Cenários!G101)</f>
        <v>0</v>
      </c>
      <c r="H12" s="96" t="n">
        <f aca="false">CHOOSE(Premissas!$B$6,Cenários!H13,Cenários!H57,Cenários!H101)</f>
        <v>0</v>
      </c>
      <c r="I12" s="96" t="n">
        <f aca="false">CHOOSE(Premissas!$B$6,Cenários!I13,Cenários!I57,Cenários!I101)</f>
        <v>0</v>
      </c>
      <c r="J12" s="96" t="n">
        <f aca="false">CHOOSE(Premissas!$B$6,Cenários!J13,Cenários!J57,Cenários!J101)</f>
        <v>0</v>
      </c>
      <c r="K12" s="96" t="n">
        <f aca="false">CHOOSE(Premissas!$B$6,Cenários!K13,Cenários!K57,Cenários!K101)</f>
        <v>18100</v>
      </c>
      <c r="L12" s="96" t="n">
        <f aca="false">CHOOSE(Premissas!$B$6,Cenários!L13,Cenários!L57,Cenários!L101)</f>
        <v>34752</v>
      </c>
      <c r="M12" s="96" t="n">
        <f aca="false">CHOOSE(Premissas!$B$6,Cenários!M13,Cenários!M57,Cenários!M101)</f>
        <v>50071.84</v>
      </c>
      <c r="N12" s="96" t="n">
        <f aca="false">CHOOSE(Premissas!$B$6,Cenários!N13,Cenários!N57,Cenários!N101)</f>
        <v>68316.452</v>
      </c>
      <c r="O12" s="96" t="n">
        <f aca="false">CHOOSE(Premissas!$B$6,Cenários!O13,Cenários!O57,Cenários!O101)</f>
        <v>85192.7181</v>
      </c>
      <c r="P12" s="96" t="n">
        <f aca="false">CHOOSE(Premissas!$B$6,Cenários!P13,Cenários!P57,Cenários!P101)</f>
        <v>100803.2642425</v>
      </c>
      <c r="Q12" s="96" t="n">
        <f aca="false">CHOOSE(Premissas!$B$6,Cenários!Q13,Cenários!Q57,Cenários!Q101)</f>
        <v>115243.019424313</v>
      </c>
      <c r="R12" s="96" t="n">
        <f aca="false">CHOOSE(Premissas!$B$6,Cenários!R13,Cenários!R57,Cenários!R101)</f>
        <v>128599.792967489</v>
      </c>
      <c r="S12" s="96" t="n">
        <f aca="false">CHOOSE(Premissas!$B$6,Cenários!S13,Cenários!S57,Cenários!S101)</f>
        <v>140954.808494927</v>
      </c>
      <c r="T12" s="96" t="n">
        <f aca="false">CHOOSE(Premissas!$B$6,Cenários!T13,Cenários!T57,Cenários!T101)</f>
        <v>152383.197857808</v>
      </c>
      <c r="U12" s="96" t="n">
        <f aca="false">CHOOSE(Premissas!$B$6,Cenários!U13,Cenários!U57,Cenários!U101)</f>
        <v>162954.458018472</v>
      </c>
      <c r="V12" s="96" t="n">
        <f aca="false">CHOOSE(Premissas!$B$6,Cenários!V13,Cenários!V57,Cenários!V101)</f>
        <v>172732.873667087</v>
      </c>
      <c r="W12" s="96" t="n">
        <f aca="false">CHOOSE(Premissas!$B$6,Cenários!W13,Cenários!W57,Cenários!W101)</f>
        <v>181777.908142055</v>
      </c>
      <c r="X12" s="96" t="n">
        <f aca="false">CHOOSE(Premissas!$B$6,Cenários!X13,Cenários!X57,Cenários!X101)</f>
        <v>190144.565031401</v>
      </c>
      <c r="Y12" s="96" t="n">
        <f aca="false">CHOOSE(Premissas!$B$6,Cenários!Y13,Cenários!Y57,Cenários!Y101)</f>
        <v>197883.722654046</v>
      </c>
      <c r="Z12" s="96" t="n">
        <f aca="false">CHOOSE(Premissas!$B$6,Cenários!Z13,Cenários!Z57,Cenários!Z101)</f>
        <v>229031.862068263</v>
      </c>
      <c r="AA12" s="96" t="n">
        <f aca="false">CHOOSE(Premissas!$B$6,Cenários!AA13,Cenários!AA57,Cenários!AA101)</f>
        <v>257999.631723484</v>
      </c>
      <c r="AB12" s="96" t="n">
        <f aca="false">CHOOSE(Premissas!$B$6,Cenários!AB13,Cenários!AB57,Cenários!AB101)</f>
        <v>284939.657502841</v>
      </c>
      <c r="AC12" s="96" t="n">
        <f aca="false">CHOOSE(Premissas!$B$6,Cenários!AC13,Cenários!AC57,Cenários!AC101)</f>
        <v>309993.881477642</v>
      </c>
      <c r="AD12" s="96" t="n">
        <f aca="false">CHOOSE(Premissas!$B$6,Cenários!AD13,Cenários!AD57,Cenários!AD101)</f>
        <v>333294.309774207</v>
      </c>
      <c r="AE12" s="96" t="n">
        <f aca="false">CHOOSE(Premissas!$B$6,Cenários!AE13,Cenários!AE57,Cenários!AE101)</f>
        <v>354963.708090012</v>
      </c>
      <c r="AF12" s="96" t="n">
        <f aca="false">CHOOSE(Premissas!$B$6,Cenários!AF13,Cenários!AF57,Cenários!AF101)</f>
        <v>375116.248523711</v>
      </c>
      <c r="AG12" s="96" t="n">
        <f aca="false">CHOOSE(Premissas!$B$6,Cenários!AG13,Cenários!AG57,Cenários!AG101)</f>
        <v>393858.111127052</v>
      </c>
      <c r="AH12" s="96" t="n">
        <f aca="false">CHOOSE(Premissas!$B$6,Cenários!AH13,Cenários!AH57,Cenários!AH101)</f>
        <v>411288.043348158</v>
      </c>
      <c r="AI12" s="96" t="n">
        <f aca="false">CHOOSE(Premissas!$B$6,Cenários!AI13,Cenários!AI57,Cenários!AI101)</f>
        <v>427497.880313787</v>
      </c>
      <c r="AJ12" s="96" t="n">
        <f aca="false">CHOOSE(Premissas!$B$6,Cenários!AJ13,Cenários!AJ57,Cenários!AJ101)</f>
        <v>442573.028691822</v>
      </c>
      <c r="AK12" s="96" t="n">
        <f aca="false">CHOOSE(Premissas!$B$6,Cenários!AK13,Cenários!AK57,Cenários!AK101)</f>
        <v>456592.916683394</v>
      </c>
      <c r="AL12" s="96" t="n">
        <f aca="false">CHOOSE(Premissas!$B$6,Cenários!AL13,Cenários!AL57,Cenários!AL101)</f>
        <v>496914.377098974</v>
      </c>
      <c r="AM12" s="96" t="n">
        <f aca="false">CHOOSE(Premissas!$B$6,Cenários!AM13,Cenários!AM57,Cenários!AM101)</f>
        <v>534614.942587541</v>
      </c>
      <c r="AN12" s="96" t="n">
        <f aca="false">CHOOSE(Premissas!$B$6,Cenários!AN13,Cenários!AN57,Cenários!AN101)</f>
        <v>569864.97131935</v>
      </c>
      <c r="AO12" s="96" t="n">
        <f aca="false">CHOOSE(Premissas!$B$6,Cenários!AO13,Cenários!AO57,Cenários!AO101)</f>
        <v>602823.748183593</v>
      </c>
      <c r="AP12" s="96" t="n">
        <f aca="false">CHOOSE(Premissas!$B$6,Cenários!AP13,Cenários!AP57,Cenários!AP101)</f>
        <v>633640.204551659</v>
      </c>
      <c r="AQ12" s="96" t="n">
        <f aca="false">CHOOSE(Premissas!$B$6,Cenários!AQ13,Cenários!AQ57,Cenários!AQ101)</f>
        <v>662453.591255801</v>
      </c>
      <c r="AR12" s="96" t="n">
        <f aca="false">CHOOSE(Premissas!$B$6,Cenários!AR13,Cenários!AR57,Cenários!AR101)</f>
        <v>689394.107824174</v>
      </c>
      <c r="AS12" s="96" t="n">
        <f aca="false">CHOOSE(Premissas!$B$6,Cenários!AS13,Cenários!AS57,Cenários!AS101)</f>
        <v>714583.490815603</v>
      </c>
      <c r="AT12" s="96" t="n">
        <f aca="false">CHOOSE(Premissas!$B$6,Cenários!AT13,Cenários!AT57,Cenários!AT101)</f>
        <v>738135.563912589</v>
      </c>
      <c r="AU12" s="96" t="n">
        <f aca="false">CHOOSE(Premissas!$B$6,Cenários!AU13,Cenários!AU57,Cenários!AU101)</f>
        <v>760156.752258271</v>
      </c>
      <c r="AV12" s="96" t="n">
        <f aca="false">CHOOSE(Premissas!$B$6,Cenários!AV13,Cenários!AV57,Cenários!AV101)</f>
        <v>780746.563361483</v>
      </c>
      <c r="AW12" s="96" t="n">
        <f aca="false">CHOOSE(Premissas!$B$6,Cenários!AW13,Cenários!AW57,Cenários!AW101)</f>
        <v>799998.036742987</v>
      </c>
      <c r="AX12" s="96" t="n">
        <f aca="false">CHOOSE(Premissas!$B$6,Cenários!AX13,Cenários!AX57,Cenários!AX101)</f>
        <v>846998.154538408</v>
      </c>
      <c r="AY12" s="96" t="n">
        <f aca="false">CHOOSE(Premissas!$B$6,Cenários!AY13,Cenários!AY57,Cenários!AY101)</f>
        <v>891178.265266103</v>
      </c>
      <c r="AZ12" s="96" t="n">
        <f aca="false">CHOOSE(Premissas!$B$6,Cenários!AZ13,Cenários!AZ57,Cenários!AZ101)</f>
        <v>932707.569350137</v>
      </c>
      <c r="BA12" s="96" t="n">
        <f aca="false">CHOOSE(Premissas!$B$6,Cenários!BA13,Cenários!BA57,Cenários!BA101)</f>
        <v>971745.115189129</v>
      </c>
      <c r="BB12" s="96" t="n">
        <f aca="false">CHOOSE(Premissas!$B$6,Cenários!BB13,Cenários!BB57,Cenários!BB101)</f>
        <v>1008440.40827778</v>
      </c>
      <c r="BC12" s="96" t="n">
        <f aca="false">CHOOSE(Premissas!$B$6,Cenários!BC13,Cenários!BC57,Cenários!BC101)</f>
        <v>1042933.98378111</v>
      </c>
      <c r="BD12" s="96" t="n">
        <f aca="false">CHOOSE(Premissas!$B$6,Cenários!BD13,Cenários!BD57,Cenários!BD101)</f>
        <v>1075357.94475425</v>
      </c>
      <c r="BE12" s="96" t="n">
        <f aca="false">CHOOSE(Premissas!$B$6,Cenários!BE13,Cenários!BE57,Cenários!BE101)</f>
        <v>1105836.46806899</v>
      </c>
      <c r="BF12" s="96" t="n">
        <f aca="false">CHOOSE(Premissas!$B$6,Cenários!BF13,Cenários!BF57,Cenários!BF101)</f>
        <v>1134486.27998485</v>
      </c>
      <c r="BG12" s="96" t="n">
        <f aca="false">CHOOSE(Premissas!$B$6,Cenários!BG13,Cenários!BG57,Cenários!BG101)</f>
        <v>1161417.10318576</v>
      </c>
      <c r="BH12" s="96" t="n">
        <f aca="false">CHOOSE(Premissas!$B$6,Cenários!BH13,Cenários!BH57,Cenários!BH101)</f>
        <v>1186732.07699462</v>
      </c>
      <c r="BI12" s="96" t="n">
        <f aca="false">CHOOSE(Premissas!$B$6,Cenários!BI13,Cenários!BI57,Cenários!BI101)</f>
        <v>1210528.15237494</v>
      </c>
      <c r="BJ12" s="95" t="n">
        <f aca="false">BI12</f>
        <v>1210528.15237494</v>
      </c>
      <c r="BK12" s="14" t="s">
        <v>312</v>
      </c>
    </row>
    <row r="13" customFormat="false" ht="15" hidden="false" customHeight="false" outlineLevel="0" collapsed="false">
      <c r="A13" s="12" t="s">
        <v>315</v>
      </c>
      <c r="B13" s="97" t="n">
        <f aca="false">CHOOSE(Premissas!$B$6,Cenários!B14,Cenários!B58,Cenários!B102)</f>
        <v>0</v>
      </c>
      <c r="C13" s="97" t="n">
        <f aca="false">CHOOSE(Premissas!$B$6,Cenários!C14,Cenários!C58,Cenários!C102)</f>
        <v>0</v>
      </c>
      <c r="D13" s="97" t="n">
        <f aca="false">CHOOSE(Premissas!$B$6,Cenários!D14,Cenários!D58,Cenários!D102)</f>
        <v>0</v>
      </c>
      <c r="E13" s="97" t="n">
        <f aca="false">CHOOSE(Premissas!$B$6,Cenários!E14,Cenários!E58,Cenários!E102)</f>
        <v>0</v>
      </c>
      <c r="F13" s="97" t="n">
        <f aca="false">CHOOSE(Premissas!$B$6,Cenários!F14,Cenários!F58,Cenários!F102)</f>
        <v>0</v>
      </c>
      <c r="G13" s="97" t="n">
        <f aca="false">CHOOSE(Premissas!$B$6,Cenários!G14,Cenários!G58,Cenários!G102)</f>
        <v>0</v>
      </c>
      <c r="H13" s="97" t="n">
        <f aca="false">CHOOSE(Premissas!$B$6,Cenários!H14,Cenários!H58,Cenários!H102)</f>
        <v>0</v>
      </c>
      <c r="I13" s="97" t="n">
        <f aca="false">CHOOSE(Premissas!$B$6,Cenários!I14,Cenários!I58,Cenários!I102)</f>
        <v>0</v>
      </c>
      <c r="J13" s="97" t="n">
        <f aca="false">CHOOSE(Premissas!$B$6,Cenários!J14,Cenários!J58,Cenários!J102)</f>
        <v>0</v>
      </c>
      <c r="K13" s="97" t="n">
        <f aca="false">CHOOSE(Premissas!$B$6,Cenários!K14,Cenários!K58,Cenários!K102)</f>
        <v>0.05</v>
      </c>
      <c r="L13" s="97" t="n">
        <f aca="false">CHOOSE(Premissas!$B$6,Cenários!L14,Cenários!L58,Cenários!L102)</f>
        <v>0.05</v>
      </c>
      <c r="M13" s="97" t="n">
        <f aca="false">CHOOSE(Premissas!$B$6,Cenários!M14,Cenários!M58,Cenários!M102)</f>
        <v>0.05</v>
      </c>
      <c r="N13" s="97" t="n">
        <f aca="false">CHOOSE(Premissas!$B$6,Cenários!N14,Cenários!N58,Cenários!N102)</f>
        <v>0.055</v>
      </c>
      <c r="O13" s="97" t="n">
        <f aca="false">CHOOSE(Premissas!$B$6,Cenários!O14,Cenários!O58,Cenários!O102)</f>
        <v>0.055</v>
      </c>
      <c r="P13" s="97" t="n">
        <f aca="false">CHOOSE(Premissas!$B$6,Cenários!P14,Cenários!P58,Cenários!P102)</f>
        <v>0.055</v>
      </c>
      <c r="Q13" s="97" t="n">
        <f aca="false">CHOOSE(Premissas!$B$6,Cenários!Q14,Cenários!Q58,Cenários!Q102)</f>
        <v>0.055</v>
      </c>
      <c r="R13" s="97" t="n">
        <f aca="false">CHOOSE(Premissas!$B$6,Cenários!R14,Cenários!R58,Cenários!R102)</f>
        <v>0.055</v>
      </c>
      <c r="S13" s="97" t="n">
        <f aca="false">CHOOSE(Premissas!$B$6,Cenários!S14,Cenários!S58,Cenários!S102)</f>
        <v>0.055</v>
      </c>
      <c r="T13" s="97" t="n">
        <f aca="false">CHOOSE(Premissas!$B$6,Cenários!T14,Cenários!T58,Cenários!T102)</f>
        <v>0.055</v>
      </c>
      <c r="U13" s="97" t="n">
        <f aca="false">CHOOSE(Premissas!$B$6,Cenários!U14,Cenários!U58,Cenários!U102)</f>
        <v>0.055</v>
      </c>
      <c r="V13" s="97" t="n">
        <f aca="false">CHOOSE(Premissas!$B$6,Cenários!V14,Cenários!V58,Cenários!V102)</f>
        <v>0.055</v>
      </c>
      <c r="W13" s="97" t="n">
        <f aca="false">CHOOSE(Premissas!$B$6,Cenários!W14,Cenários!W58,Cenários!W102)</f>
        <v>0.055</v>
      </c>
      <c r="X13" s="97" t="n">
        <f aca="false">CHOOSE(Premissas!$B$6,Cenários!X14,Cenários!X58,Cenários!X102)</f>
        <v>0.055</v>
      </c>
      <c r="Y13" s="97" t="n">
        <f aca="false">CHOOSE(Premissas!$B$6,Cenários!Y14,Cenários!Y58,Cenários!Y102)</f>
        <v>0.055</v>
      </c>
      <c r="Z13" s="97" t="n">
        <f aca="false">CHOOSE(Premissas!$B$6,Cenários!Z14,Cenários!Z58,Cenários!Z102)</f>
        <v>0.06</v>
      </c>
      <c r="AA13" s="97" t="n">
        <f aca="false">CHOOSE(Premissas!$B$6,Cenários!AA14,Cenários!AA58,Cenários!AA102)</f>
        <v>0.06</v>
      </c>
      <c r="AB13" s="97" t="n">
        <f aca="false">CHOOSE(Premissas!$B$6,Cenários!AB14,Cenários!AB58,Cenários!AB102)</f>
        <v>0.06</v>
      </c>
      <c r="AC13" s="97" t="n">
        <f aca="false">CHOOSE(Premissas!$B$6,Cenários!AC14,Cenários!AC58,Cenários!AC102)</f>
        <v>0.06</v>
      </c>
      <c r="AD13" s="97" t="n">
        <f aca="false">CHOOSE(Premissas!$B$6,Cenários!AD14,Cenários!AD58,Cenários!AD102)</f>
        <v>0.06</v>
      </c>
      <c r="AE13" s="97" t="n">
        <f aca="false">CHOOSE(Premissas!$B$6,Cenários!AE14,Cenários!AE58,Cenários!AE102)</f>
        <v>0.06</v>
      </c>
      <c r="AF13" s="97" t="n">
        <f aca="false">CHOOSE(Premissas!$B$6,Cenários!AF14,Cenários!AF58,Cenários!AF102)</f>
        <v>0.06</v>
      </c>
      <c r="AG13" s="97" t="n">
        <f aca="false">CHOOSE(Premissas!$B$6,Cenários!AG14,Cenários!AG58,Cenários!AG102)</f>
        <v>0.06</v>
      </c>
      <c r="AH13" s="97" t="n">
        <f aca="false">CHOOSE(Premissas!$B$6,Cenários!AH14,Cenários!AH58,Cenários!AH102)</f>
        <v>0.06</v>
      </c>
      <c r="AI13" s="97" t="n">
        <f aca="false">CHOOSE(Premissas!$B$6,Cenários!AI14,Cenários!AI58,Cenários!AI102)</f>
        <v>0.06</v>
      </c>
      <c r="AJ13" s="97" t="n">
        <f aca="false">CHOOSE(Premissas!$B$6,Cenários!AJ14,Cenários!AJ58,Cenários!AJ102)</f>
        <v>0.06</v>
      </c>
      <c r="AK13" s="97" t="n">
        <f aca="false">CHOOSE(Premissas!$B$6,Cenários!AK14,Cenários!AK58,Cenários!AK102)</f>
        <v>0.06</v>
      </c>
      <c r="AL13" s="97" t="n">
        <f aca="false">CHOOSE(Premissas!$B$6,Cenários!AL14,Cenários!AL58,Cenários!AL102)</f>
        <v>0.065</v>
      </c>
      <c r="AM13" s="97" t="n">
        <f aca="false">CHOOSE(Premissas!$B$6,Cenários!AM14,Cenários!AM58,Cenários!AM102)</f>
        <v>0.065</v>
      </c>
      <c r="AN13" s="97" t="n">
        <f aca="false">CHOOSE(Premissas!$B$6,Cenários!AN14,Cenários!AN58,Cenários!AN102)</f>
        <v>0.065</v>
      </c>
      <c r="AO13" s="97" t="n">
        <f aca="false">CHOOSE(Premissas!$B$6,Cenários!AO14,Cenários!AO58,Cenários!AO102)</f>
        <v>0.065</v>
      </c>
      <c r="AP13" s="97" t="n">
        <f aca="false">CHOOSE(Premissas!$B$6,Cenários!AP14,Cenários!AP58,Cenários!AP102)</f>
        <v>0.065</v>
      </c>
      <c r="AQ13" s="97" t="n">
        <f aca="false">CHOOSE(Premissas!$B$6,Cenários!AQ14,Cenários!AQ58,Cenários!AQ102)</f>
        <v>0.065</v>
      </c>
      <c r="AR13" s="97" t="n">
        <f aca="false">CHOOSE(Premissas!$B$6,Cenários!AR14,Cenários!AR58,Cenários!AR102)</f>
        <v>0.065</v>
      </c>
      <c r="AS13" s="97" t="n">
        <f aca="false">CHOOSE(Premissas!$B$6,Cenários!AS14,Cenários!AS58,Cenários!AS102)</f>
        <v>0.065</v>
      </c>
      <c r="AT13" s="97" t="n">
        <f aca="false">CHOOSE(Premissas!$B$6,Cenários!AT14,Cenários!AT58,Cenários!AT102)</f>
        <v>0.065</v>
      </c>
      <c r="AU13" s="97" t="n">
        <f aca="false">CHOOSE(Premissas!$B$6,Cenários!AU14,Cenários!AU58,Cenários!AU102)</f>
        <v>0.065</v>
      </c>
      <c r="AV13" s="97" t="n">
        <f aca="false">CHOOSE(Premissas!$B$6,Cenários!AV14,Cenários!AV58,Cenários!AV102)</f>
        <v>0.065</v>
      </c>
      <c r="AW13" s="97" t="n">
        <f aca="false">CHOOSE(Premissas!$B$6,Cenários!AW14,Cenários!AW58,Cenários!AW102)</f>
        <v>0.065</v>
      </c>
      <c r="AX13" s="97" t="n">
        <f aca="false">CHOOSE(Premissas!$B$6,Cenários!AX14,Cenários!AX58,Cenários!AX102)</f>
        <v>0.07</v>
      </c>
      <c r="AY13" s="97" t="n">
        <f aca="false">CHOOSE(Premissas!$B$6,Cenários!AY14,Cenários!AY58,Cenários!AY102)</f>
        <v>0.07</v>
      </c>
      <c r="AZ13" s="97" t="n">
        <f aca="false">CHOOSE(Premissas!$B$6,Cenários!AZ14,Cenários!AZ58,Cenários!AZ102)</f>
        <v>0.07</v>
      </c>
      <c r="BA13" s="97" t="n">
        <f aca="false">CHOOSE(Premissas!$B$6,Cenários!BA14,Cenários!BA58,Cenários!BA102)</f>
        <v>0.07</v>
      </c>
      <c r="BB13" s="97" t="n">
        <f aca="false">CHOOSE(Premissas!$B$6,Cenários!BB14,Cenários!BB58,Cenários!BB102)</f>
        <v>0.07</v>
      </c>
      <c r="BC13" s="97" t="n">
        <f aca="false">CHOOSE(Premissas!$B$6,Cenários!BC14,Cenários!BC58,Cenários!BC102)</f>
        <v>0.07</v>
      </c>
      <c r="BD13" s="97" t="n">
        <f aca="false">CHOOSE(Premissas!$B$6,Cenários!BD14,Cenários!BD58,Cenários!BD102)</f>
        <v>0.07</v>
      </c>
      <c r="BE13" s="97" t="n">
        <f aca="false">CHOOSE(Premissas!$B$6,Cenários!BE14,Cenários!BE58,Cenários!BE102)</f>
        <v>0.07</v>
      </c>
      <c r="BF13" s="97" t="n">
        <f aca="false">CHOOSE(Premissas!$B$6,Cenários!BF14,Cenários!BF58,Cenários!BF102)</f>
        <v>0.07</v>
      </c>
      <c r="BG13" s="97" t="n">
        <f aca="false">CHOOSE(Premissas!$B$6,Cenários!BG14,Cenários!BG58,Cenários!BG102)</f>
        <v>0.07</v>
      </c>
      <c r="BH13" s="97" t="n">
        <f aca="false">CHOOSE(Premissas!$B$6,Cenários!BH14,Cenários!BH58,Cenários!BH102)</f>
        <v>0.07</v>
      </c>
      <c r="BI13" s="97" t="n">
        <f aca="false">CHOOSE(Premissas!$B$6,Cenários!BI14,Cenários!BI58,Cenários!BI102)</f>
        <v>0.07</v>
      </c>
      <c r="BJ13" s="72" t="n">
        <f aca="false">BI13</f>
        <v>0.07</v>
      </c>
      <c r="BK13" s="14" t="s">
        <v>312</v>
      </c>
    </row>
    <row r="14" customFormat="false" ht="15" hidden="false" customHeight="false" outlineLevel="0" collapsed="false">
      <c r="A14" s="34" t="s">
        <v>316</v>
      </c>
      <c r="B14" s="96" t="n">
        <f aca="false">CHOOSE(Premissas!$B$6,Cenários!B15,Cenários!B59,Cenários!B103)</f>
        <v>0</v>
      </c>
      <c r="C14" s="96" t="n">
        <f aca="false">CHOOSE(Premissas!$B$6,Cenários!C15,Cenários!C59,Cenários!C103)</f>
        <v>0</v>
      </c>
      <c r="D14" s="96" t="n">
        <f aca="false">CHOOSE(Premissas!$B$6,Cenários!D15,Cenários!D59,Cenários!D103)</f>
        <v>0</v>
      </c>
      <c r="E14" s="96" t="n">
        <f aca="false">CHOOSE(Premissas!$B$6,Cenários!E15,Cenários!E59,Cenários!E103)</f>
        <v>0</v>
      </c>
      <c r="F14" s="96" t="n">
        <f aca="false">CHOOSE(Premissas!$B$6,Cenários!F15,Cenários!F59,Cenários!F103)</f>
        <v>0</v>
      </c>
      <c r="G14" s="96" t="n">
        <f aca="false">CHOOSE(Premissas!$B$6,Cenários!G15,Cenários!G59,Cenários!G103)</f>
        <v>0</v>
      </c>
      <c r="H14" s="96" t="n">
        <f aca="false">CHOOSE(Premissas!$B$6,Cenários!H15,Cenários!H59,Cenários!H103)</f>
        <v>0</v>
      </c>
      <c r="I14" s="96" t="n">
        <f aca="false">CHOOSE(Premissas!$B$6,Cenários!I15,Cenários!I59,Cenários!I103)</f>
        <v>0</v>
      </c>
      <c r="J14" s="96" t="n">
        <f aca="false">CHOOSE(Premissas!$B$6,Cenários!J15,Cenários!J59,Cenários!J103)</f>
        <v>0</v>
      </c>
      <c r="K14" s="96" t="n">
        <f aca="false">CHOOSE(Premissas!$B$6,Cenários!K15,Cenários!K59,Cenários!K103)</f>
        <v>905</v>
      </c>
      <c r="L14" s="96" t="n">
        <f aca="false">CHOOSE(Premissas!$B$6,Cenários!L15,Cenários!L59,Cenários!L103)</f>
        <v>1738</v>
      </c>
      <c r="M14" s="96" t="n">
        <f aca="false">CHOOSE(Premissas!$B$6,Cenários!M15,Cenários!M59,Cenários!M103)</f>
        <v>2504</v>
      </c>
      <c r="N14" s="96" t="n">
        <f aca="false">CHOOSE(Premissas!$B$6,Cenários!N15,Cenários!N59,Cenários!N103)</f>
        <v>3757</v>
      </c>
      <c r="O14" s="96" t="n">
        <f aca="false">CHOOSE(Premissas!$B$6,Cenários!O15,Cenários!O59,Cenários!O103)</f>
        <v>4686</v>
      </c>
      <c r="P14" s="96" t="n">
        <f aca="false">CHOOSE(Premissas!$B$6,Cenários!P15,Cenários!P59,Cenários!P103)</f>
        <v>5544</v>
      </c>
      <c r="Q14" s="96" t="n">
        <f aca="false">CHOOSE(Premissas!$B$6,Cenários!Q15,Cenários!Q59,Cenários!Q103)</f>
        <v>6338</v>
      </c>
      <c r="R14" s="96" t="n">
        <f aca="false">CHOOSE(Premissas!$B$6,Cenários!R15,Cenários!R59,Cenários!R103)</f>
        <v>7073</v>
      </c>
      <c r="S14" s="96" t="n">
        <f aca="false">CHOOSE(Premissas!$B$6,Cenários!S15,Cenários!S59,Cenários!S103)</f>
        <v>7753</v>
      </c>
      <c r="T14" s="96" t="n">
        <f aca="false">CHOOSE(Premissas!$B$6,Cenários!T15,Cenários!T59,Cenários!T103)</f>
        <v>8381</v>
      </c>
      <c r="U14" s="96" t="n">
        <f aca="false">CHOOSE(Premissas!$B$6,Cenários!U15,Cenários!U59,Cenários!U103)</f>
        <v>8962</v>
      </c>
      <c r="V14" s="96" t="n">
        <f aca="false">CHOOSE(Premissas!$B$6,Cenários!V15,Cenários!V59,Cenários!V103)</f>
        <v>9500</v>
      </c>
      <c r="W14" s="96" t="n">
        <f aca="false">CHOOSE(Premissas!$B$6,Cenários!W15,Cenários!W59,Cenários!W103)</f>
        <v>9998</v>
      </c>
      <c r="X14" s="96" t="n">
        <f aca="false">CHOOSE(Premissas!$B$6,Cenários!X15,Cenários!X59,Cenários!X103)</f>
        <v>10458</v>
      </c>
      <c r="Y14" s="96" t="n">
        <f aca="false">CHOOSE(Premissas!$B$6,Cenários!Y15,Cenários!Y59,Cenários!Y103)</f>
        <v>10884</v>
      </c>
      <c r="Z14" s="96" t="n">
        <f aca="false">CHOOSE(Premissas!$B$6,Cenários!Z15,Cenários!Z59,Cenários!Z103)</f>
        <v>13742</v>
      </c>
      <c r="AA14" s="96" t="n">
        <f aca="false">CHOOSE(Premissas!$B$6,Cenários!AA15,Cenários!AA59,Cenários!AA103)</f>
        <v>15480</v>
      </c>
      <c r="AB14" s="96" t="n">
        <f aca="false">CHOOSE(Premissas!$B$6,Cenários!AB15,Cenários!AB59,Cenários!AB103)</f>
        <v>17096</v>
      </c>
      <c r="AC14" s="96" t="n">
        <f aca="false">CHOOSE(Premissas!$B$6,Cenários!AC15,Cenários!AC59,Cenários!AC103)</f>
        <v>18600</v>
      </c>
      <c r="AD14" s="96" t="n">
        <f aca="false">CHOOSE(Premissas!$B$6,Cenários!AD15,Cenários!AD59,Cenários!AD103)</f>
        <v>19998</v>
      </c>
      <c r="AE14" s="96" t="n">
        <f aca="false">CHOOSE(Premissas!$B$6,Cenários!AE15,Cenários!AE59,Cenários!AE103)</f>
        <v>21298</v>
      </c>
      <c r="AF14" s="96" t="n">
        <f aca="false">CHOOSE(Premissas!$B$6,Cenários!AF15,Cenários!AF59,Cenários!AF103)</f>
        <v>22507</v>
      </c>
      <c r="AG14" s="96" t="n">
        <f aca="false">CHOOSE(Premissas!$B$6,Cenários!AG15,Cenários!AG59,Cenários!AG103)</f>
        <v>23631</v>
      </c>
      <c r="AH14" s="96" t="n">
        <f aca="false">CHOOSE(Premissas!$B$6,Cenários!AH15,Cenários!AH59,Cenários!AH103)</f>
        <v>24677</v>
      </c>
      <c r="AI14" s="96" t="n">
        <f aca="false">CHOOSE(Premissas!$B$6,Cenários!AI15,Cenários!AI59,Cenários!AI103)</f>
        <v>25650</v>
      </c>
      <c r="AJ14" s="96" t="n">
        <f aca="false">CHOOSE(Premissas!$B$6,Cenários!AJ15,Cenários!AJ59,Cenários!AJ103)</f>
        <v>26554</v>
      </c>
      <c r="AK14" s="96" t="n">
        <f aca="false">CHOOSE(Premissas!$B$6,Cenários!AK15,Cenários!AK59,Cenários!AK103)</f>
        <v>27396</v>
      </c>
      <c r="AL14" s="96" t="n">
        <f aca="false">CHOOSE(Premissas!$B$6,Cenários!AL15,Cenários!AL59,Cenários!AL103)</f>
        <v>32299</v>
      </c>
      <c r="AM14" s="96" t="n">
        <f aca="false">CHOOSE(Premissas!$B$6,Cenários!AM15,Cenários!AM59,Cenários!AM103)</f>
        <v>34750</v>
      </c>
      <c r="AN14" s="96" t="n">
        <f aca="false">CHOOSE(Premissas!$B$6,Cenários!AN15,Cenários!AN59,Cenários!AN103)</f>
        <v>37041</v>
      </c>
      <c r="AO14" s="96" t="n">
        <f aca="false">CHOOSE(Premissas!$B$6,Cenários!AO15,Cenários!AO59,Cenários!AO103)</f>
        <v>39184</v>
      </c>
      <c r="AP14" s="96" t="n">
        <f aca="false">CHOOSE(Premissas!$B$6,Cenários!AP15,Cenários!AP59,Cenários!AP103)</f>
        <v>41187</v>
      </c>
      <c r="AQ14" s="96" t="n">
        <f aca="false">CHOOSE(Premissas!$B$6,Cenários!AQ15,Cenários!AQ59,Cenários!AQ103)</f>
        <v>43059</v>
      </c>
      <c r="AR14" s="96" t="n">
        <f aca="false">CHOOSE(Premissas!$B$6,Cenários!AR15,Cenários!AR59,Cenários!AR103)</f>
        <v>44811</v>
      </c>
      <c r="AS14" s="96" t="n">
        <f aca="false">CHOOSE(Premissas!$B$6,Cenários!AS15,Cenários!AS59,Cenários!AS103)</f>
        <v>46448</v>
      </c>
      <c r="AT14" s="96" t="n">
        <f aca="false">CHOOSE(Premissas!$B$6,Cenários!AT15,Cenários!AT59,Cenários!AT103)</f>
        <v>47979</v>
      </c>
      <c r="AU14" s="96" t="n">
        <f aca="false">CHOOSE(Premissas!$B$6,Cenários!AU15,Cenários!AU59,Cenários!AU103)</f>
        <v>49410</v>
      </c>
      <c r="AV14" s="96" t="n">
        <f aca="false">CHOOSE(Premissas!$B$6,Cenários!AV15,Cenários!AV59,Cenários!AV103)</f>
        <v>50749</v>
      </c>
      <c r="AW14" s="96" t="n">
        <f aca="false">CHOOSE(Premissas!$B$6,Cenários!AW15,Cenários!AW59,Cenários!AW103)</f>
        <v>52000</v>
      </c>
      <c r="AX14" s="96" t="n">
        <f aca="false">CHOOSE(Premissas!$B$6,Cenários!AX15,Cenários!AX59,Cenários!AX103)</f>
        <v>59290</v>
      </c>
      <c r="AY14" s="96" t="n">
        <f aca="false">CHOOSE(Premissas!$B$6,Cenários!AY15,Cenários!AY59,Cenários!AY103)</f>
        <v>62382</v>
      </c>
      <c r="AZ14" s="96" t="n">
        <f aca="false">CHOOSE(Premissas!$B$6,Cenários!AZ15,Cenários!AZ59,Cenários!AZ103)</f>
        <v>65290</v>
      </c>
      <c r="BA14" s="96" t="n">
        <f aca="false">CHOOSE(Premissas!$B$6,Cenários!BA15,Cenários!BA59,Cenários!BA103)</f>
        <v>68022</v>
      </c>
      <c r="BB14" s="96" t="n">
        <f aca="false">CHOOSE(Premissas!$B$6,Cenários!BB15,Cenários!BB59,Cenários!BB103)</f>
        <v>70591</v>
      </c>
      <c r="BC14" s="96" t="n">
        <f aca="false">CHOOSE(Premissas!$B$6,Cenários!BC15,Cenários!BC59,Cenários!BC103)</f>
        <v>73005</v>
      </c>
      <c r="BD14" s="96" t="n">
        <f aca="false">CHOOSE(Premissas!$B$6,Cenários!BD15,Cenários!BD59,Cenários!BD103)</f>
        <v>75275</v>
      </c>
      <c r="BE14" s="96" t="n">
        <f aca="false">CHOOSE(Premissas!$B$6,Cenários!BE15,Cenários!BE59,Cenários!BE103)</f>
        <v>77409</v>
      </c>
      <c r="BF14" s="96" t="n">
        <f aca="false">CHOOSE(Premissas!$B$6,Cenários!BF15,Cenários!BF59,Cenários!BF103)</f>
        <v>79414</v>
      </c>
      <c r="BG14" s="96" t="n">
        <f aca="false">CHOOSE(Premissas!$B$6,Cenários!BG15,Cenários!BG59,Cenários!BG103)</f>
        <v>81299</v>
      </c>
      <c r="BH14" s="96" t="n">
        <f aca="false">CHOOSE(Premissas!$B$6,Cenários!BH15,Cenários!BH59,Cenários!BH103)</f>
        <v>83071</v>
      </c>
      <c r="BI14" s="96" t="n">
        <f aca="false">CHOOSE(Premissas!$B$6,Cenários!BI15,Cenários!BI59,Cenários!BI103)</f>
        <v>84737</v>
      </c>
      <c r="BJ14" s="95" t="n">
        <f aca="false">BI14</f>
        <v>84737</v>
      </c>
      <c r="BK14" s="14" t="s">
        <v>312</v>
      </c>
    </row>
    <row r="15" customFormat="false" ht="15" hidden="false" customHeight="false" outlineLevel="0" collapsed="false">
      <c r="A15" s="12" t="s">
        <v>317</v>
      </c>
      <c r="B15" s="94" t="n">
        <f aca="false">CHOOSE(Premissas!$B$6,Cenários!B16,Cenários!B60,Cenários!B104)</f>
        <v>0</v>
      </c>
      <c r="C15" s="94" t="n">
        <f aca="false">CHOOSE(Premissas!$B$6,Cenários!C16,Cenários!C60,Cenários!C104)</f>
        <v>0</v>
      </c>
      <c r="D15" s="94" t="n">
        <f aca="false">CHOOSE(Premissas!$B$6,Cenários!D16,Cenários!D60,Cenários!D104)</f>
        <v>0</v>
      </c>
      <c r="E15" s="94" t="n">
        <f aca="false">CHOOSE(Premissas!$B$6,Cenários!E16,Cenários!E60,Cenários!E104)</f>
        <v>0</v>
      </c>
      <c r="F15" s="94" t="n">
        <f aca="false">CHOOSE(Premissas!$B$6,Cenários!F16,Cenários!F60,Cenários!F104)</f>
        <v>0</v>
      </c>
      <c r="G15" s="94" t="n">
        <f aca="false">CHOOSE(Premissas!$B$6,Cenários!G16,Cenários!G60,Cenários!G104)</f>
        <v>0</v>
      </c>
      <c r="H15" s="94" t="n">
        <f aca="false">CHOOSE(Premissas!$B$6,Cenários!H16,Cenários!H60,Cenários!H104)</f>
        <v>0</v>
      </c>
      <c r="I15" s="94" t="n">
        <f aca="false">CHOOSE(Premissas!$B$6,Cenários!I16,Cenários!I60,Cenários!I104)</f>
        <v>0</v>
      </c>
      <c r="J15" s="94" t="n">
        <f aca="false">CHOOSE(Premissas!$B$6,Cenários!J16,Cenários!J60,Cenários!J104)</f>
        <v>0</v>
      </c>
      <c r="K15" s="94" t="n">
        <f aca="false">CHOOSE(Premissas!$B$6,Cenários!K16,Cenários!K60,Cenários!K104)</f>
        <v>679</v>
      </c>
      <c r="L15" s="94" t="n">
        <f aca="false">CHOOSE(Premissas!$B$6,Cenários!L16,Cenários!L60,Cenários!L104)</f>
        <v>1304</v>
      </c>
      <c r="M15" s="94" t="n">
        <f aca="false">CHOOSE(Premissas!$B$6,Cenários!M16,Cenários!M60,Cenários!M104)</f>
        <v>1878</v>
      </c>
      <c r="N15" s="94" t="n">
        <f aca="false">CHOOSE(Premissas!$B$6,Cenários!N16,Cenários!N60,Cenários!N104)</f>
        <v>2705</v>
      </c>
      <c r="O15" s="94" t="n">
        <f aca="false">CHOOSE(Premissas!$B$6,Cenários!O16,Cenários!O60,Cenários!O104)</f>
        <v>3374</v>
      </c>
      <c r="P15" s="94" t="n">
        <f aca="false">CHOOSE(Premissas!$B$6,Cenários!P16,Cenários!P60,Cenários!P104)</f>
        <v>3992</v>
      </c>
      <c r="Q15" s="94" t="n">
        <f aca="false">CHOOSE(Premissas!$B$6,Cenários!Q16,Cenários!Q60,Cenários!Q104)</f>
        <v>4563</v>
      </c>
      <c r="R15" s="94" t="n">
        <f aca="false">CHOOSE(Premissas!$B$6,Cenários!R16,Cenários!R60,Cenários!R104)</f>
        <v>5093</v>
      </c>
      <c r="S15" s="94" t="n">
        <f aca="false">CHOOSE(Premissas!$B$6,Cenários!S16,Cenários!S60,Cenários!S104)</f>
        <v>5582</v>
      </c>
      <c r="T15" s="94" t="n">
        <f aca="false">CHOOSE(Premissas!$B$6,Cenários!T16,Cenários!T60,Cenários!T104)</f>
        <v>6034</v>
      </c>
      <c r="U15" s="94" t="n">
        <f aca="false">CHOOSE(Premissas!$B$6,Cenários!U16,Cenários!U60,Cenários!U104)</f>
        <v>6453</v>
      </c>
      <c r="V15" s="94" t="n">
        <f aca="false">CHOOSE(Premissas!$B$6,Cenários!V16,Cenários!V60,Cenários!V104)</f>
        <v>6840</v>
      </c>
      <c r="W15" s="94" t="n">
        <f aca="false">CHOOSE(Premissas!$B$6,Cenários!W16,Cenários!W60,Cenários!W104)</f>
        <v>7199</v>
      </c>
      <c r="X15" s="94" t="n">
        <f aca="false">CHOOSE(Premissas!$B$6,Cenários!X16,Cenários!X60,Cenários!X104)</f>
        <v>7530</v>
      </c>
      <c r="Y15" s="94" t="n">
        <f aca="false">CHOOSE(Premissas!$B$6,Cenários!Y16,Cenários!Y60,Cenários!Y104)</f>
        <v>7836</v>
      </c>
      <c r="Z15" s="94" t="n">
        <f aca="false">CHOOSE(Premissas!$B$6,Cenários!Z16,Cenários!Z60,Cenários!Z104)</f>
        <v>9345</v>
      </c>
      <c r="AA15" s="94" t="n">
        <f aca="false">CHOOSE(Premissas!$B$6,Cenários!AA16,Cenários!AA60,Cenários!AA104)</f>
        <v>10526</v>
      </c>
      <c r="AB15" s="94" t="n">
        <f aca="false">CHOOSE(Premissas!$B$6,Cenários!AB16,Cenários!AB60,Cenários!AB104)</f>
        <v>11625</v>
      </c>
      <c r="AC15" s="94" t="n">
        <f aca="false">CHOOSE(Premissas!$B$6,Cenários!AC16,Cenários!AC60,Cenários!AC104)</f>
        <v>12648</v>
      </c>
      <c r="AD15" s="94" t="n">
        <f aca="false">CHOOSE(Premissas!$B$6,Cenários!AD16,Cenários!AD60,Cenários!AD104)</f>
        <v>13599</v>
      </c>
      <c r="AE15" s="94" t="n">
        <f aca="false">CHOOSE(Premissas!$B$6,Cenários!AE16,Cenários!AE60,Cenários!AE104)</f>
        <v>14483</v>
      </c>
      <c r="AF15" s="94" t="n">
        <f aca="false">CHOOSE(Premissas!$B$6,Cenários!AF16,Cenários!AF60,Cenários!AF104)</f>
        <v>15305</v>
      </c>
      <c r="AG15" s="94" t="n">
        <f aca="false">CHOOSE(Premissas!$B$6,Cenários!AG16,Cenários!AG60,Cenários!AG104)</f>
        <v>16069</v>
      </c>
      <c r="AH15" s="94" t="n">
        <f aca="false">CHOOSE(Premissas!$B$6,Cenários!AH16,Cenários!AH60,Cenários!AH104)</f>
        <v>16780</v>
      </c>
      <c r="AI15" s="94" t="n">
        <f aca="false">CHOOSE(Premissas!$B$6,Cenários!AI16,Cenários!AI60,Cenários!AI104)</f>
        <v>17442</v>
      </c>
      <c r="AJ15" s="94" t="n">
        <f aca="false">CHOOSE(Premissas!$B$6,Cenários!AJ16,Cenários!AJ60,Cenários!AJ104)</f>
        <v>18057</v>
      </c>
      <c r="AK15" s="94" t="n">
        <f aca="false">CHOOSE(Premissas!$B$6,Cenários!AK16,Cenários!AK60,Cenários!AK104)</f>
        <v>18629</v>
      </c>
      <c r="AL15" s="94" t="n">
        <f aca="false">CHOOSE(Premissas!$B$6,Cenários!AL16,Cenários!AL60,Cenários!AL104)</f>
        <v>20671</v>
      </c>
      <c r="AM15" s="94" t="n">
        <f aca="false">CHOOSE(Premissas!$B$6,Cenários!AM16,Cenários!AM60,Cenários!AM104)</f>
        <v>22240</v>
      </c>
      <c r="AN15" s="94" t="n">
        <f aca="false">CHOOSE(Premissas!$B$6,Cenários!AN16,Cenários!AN60,Cenários!AN104)</f>
        <v>23706</v>
      </c>
      <c r="AO15" s="94" t="n">
        <f aca="false">CHOOSE(Premissas!$B$6,Cenários!AO16,Cenários!AO60,Cenários!AO104)</f>
        <v>25078</v>
      </c>
      <c r="AP15" s="94" t="n">
        <f aca="false">CHOOSE(Premissas!$B$6,Cenários!AP16,Cenários!AP60,Cenários!AP104)</f>
        <v>26360</v>
      </c>
      <c r="AQ15" s="94" t="n">
        <f aca="false">CHOOSE(Premissas!$B$6,Cenários!AQ16,Cenários!AQ60,Cenários!AQ104)</f>
        <v>27558</v>
      </c>
      <c r="AR15" s="94" t="n">
        <f aca="false">CHOOSE(Premissas!$B$6,Cenários!AR16,Cenários!AR60,Cenários!AR104)</f>
        <v>28679</v>
      </c>
      <c r="AS15" s="94" t="n">
        <f aca="false">CHOOSE(Premissas!$B$6,Cenários!AS16,Cenários!AS60,Cenários!AS104)</f>
        <v>29727</v>
      </c>
      <c r="AT15" s="94" t="n">
        <f aca="false">CHOOSE(Premissas!$B$6,Cenários!AT16,Cenários!AT60,Cenários!AT104)</f>
        <v>30707</v>
      </c>
      <c r="AU15" s="94" t="n">
        <f aca="false">CHOOSE(Premissas!$B$6,Cenários!AU16,Cenários!AU60,Cenários!AU104)</f>
        <v>31622</v>
      </c>
      <c r="AV15" s="94" t="n">
        <f aca="false">CHOOSE(Premissas!$B$6,Cenários!AV16,Cenários!AV60,Cenários!AV104)</f>
        <v>32479</v>
      </c>
      <c r="AW15" s="94" t="n">
        <f aca="false">CHOOSE(Premissas!$B$6,Cenários!AW16,Cenários!AW60,Cenários!AW104)</f>
        <v>33280</v>
      </c>
      <c r="AX15" s="94" t="n">
        <f aca="false">CHOOSE(Premissas!$B$6,Cenários!AX16,Cenários!AX60,Cenários!AX104)</f>
        <v>35574</v>
      </c>
      <c r="AY15" s="94" t="n">
        <f aca="false">CHOOSE(Premissas!$B$6,Cenários!AY16,Cenários!AY60,Cenários!AY104)</f>
        <v>37429</v>
      </c>
      <c r="AZ15" s="94" t="n">
        <f aca="false">CHOOSE(Premissas!$B$6,Cenários!AZ16,Cenários!AZ60,Cenários!AZ104)</f>
        <v>39174</v>
      </c>
      <c r="BA15" s="94" t="n">
        <f aca="false">CHOOSE(Premissas!$B$6,Cenários!BA16,Cenários!BA60,Cenários!BA104)</f>
        <v>40813</v>
      </c>
      <c r="BB15" s="94" t="n">
        <f aca="false">CHOOSE(Premissas!$B$6,Cenários!BB16,Cenários!BB60,Cenários!BB104)</f>
        <v>42355</v>
      </c>
      <c r="BC15" s="94" t="n">
        <f aca="false">CHOOSE(Premissas!$B$6,Cenários!BC16,Cenários!BC60,Cenários!BC104)</f>
        <v>43803</v>
      </c>
      <c r="BD15" s="94" t="n">
        <f aca="false">CHOOSE(Premissas!$B$6,Cenários!BD16,Cenários!BD60,Cenários!BD104)</f>
        <v>45165</v>
      </c>
      <c r="BE15" s="94" t="n">
        <f aca="false">CHOOSE(Premissas!$B$6,Cenários!BE16,Cenários!BE60,Cenários!BE104)</f>
        <v>46445</v>
      </c>
      <c r="BF15" s="94" t="n">
        <f aca="false">CHOOSE(Premissas!$B$6,Cenários!BF16,Cenários!BF60,Cenários!BF104)</f>
        <v>47648</v>
      </c>
      <c r="BG15" s="94" t="n">
        <f aca="false">CHOOSE(Premissas!$B$6,Cenários!BG16,Cenários!BG60,Cenários!BG104)</f>
        <v>48779</v>
      </c>
      <c r="BH15" s="94" t="n">
        <f aca="false">CHOOSE(Premissas!$B$6,Cenários!BH16,Cenários!BH60,Cenários!BH104)</f>
        <v>49843</v>
      </c>
      <c r="BI15" s="94" t="n">
        <f aca="false">CHOOSE(Premissas!$B$6,Cenários!BI16,Cenários!BI60,Cenários!BI104)</f>
        <v>50842</v>
      </c>
      <c r="BJ15" s="95" t="n">
        <f aca="false">BI15</f>
        <v>50842</v>
      </c>
      <c r="BK15" s="14" t="s">
        <v>312</v>
      </c>
    </row>
    <row r="16" customFormat="false" ht="15" hidden="false" customHeight="false" outlineLevel="0" collapsed="false">
      <c r="A16" s="12" t="s">
        <v>318</v>
      </c>
      <c r="B16" s="94" t="n">
        <f aca="false">CHOOSE(Premissas!$B$6,Cenários!B17,Cenários!B61,Cenários!B105)</f>
        <v>0</v>
      </c>
      <c r="C16" s="94" t="n">
        <f aca="false">CHOOSE(Premissas!$B$6,Cenários!C17,Cenários!C61,Cenários!C105)</f>
        <v>0</v>
      </c>
      <c r="D16" s="94" t="n">
        <f aca="false">CHOOSE(Premissas!$B$6,Cenários!D17,Cenários!D61,Cenários!D105)</f>
        <v>0</v>
      </c>
      <c r="E16" s="94" t="n">
        <f aca="false">CHOOSE(Premissas!$B$6,Cenários!E17,Cenários!E61,Cenários!E105)</f>
        <v>0</v>
      </c>
      <c r="F16" s="94" t="n">
        <f aca="false">CHOOSE(Premissas!$B$6,Cenários!F17,Cenários!F61,Cenários!F105)</f>
        <v>0</v>
      </c>
      <c r="G16" s="94" t="n">
        <f aca="false">CHOOSE(Premissas!$B$6,Cenários!G17,Cenários!G61,Cenários!G105)</f>
        <v>0</v>
      </c>
      <c r="H16" s="94" t="n">
        <f aca="false">CHOOSE(Premissas!$B$6,Cenários!H17,Cenários!H61,Cenários!H105)</f>
        <v>0</v>
      </c>
      <c r="I16" s="94" t="n">
        <f aca="false">CHOOSE(Premissas!$B$6,Cenários!I17,Cenários!I61,Cenários!I105)</f>
        <v>0</v>
      </c>
      <c r="J16" s="94" t="n">
        <f aca="false">CHOOSE(Premissas!$B$6,Cenários!J17,Cenários!J61,Cenários!J105)</f>
        <v>0</v>
      </c>
      <c r="K16" s="94" t="n">
        <f aca="false">CHOOSE(Premissas!$B$6,Cenários!K17,Cenários!K61,Cenários!K105)</f>
        <v>181</v>
      </c>
      <c r="L16" s="94" t="n">
        <f aca="false">CHOOSE(Premissas!$B$6,Cenários!L17,Cenários!L61,Cenários!L105)</f>
        <v>348</v>
      </c>
      <c r="M16" s="94" t="n">
        <f aca="false">CHOOSE(Premissas!$B$6,Cenários!M17,Cenários!M61,Cenários!M105)</f>
        <v>501</v>
      </c>
      <c r="N16" s="94" t="n">
        <f aca="false">CHOOSE(Premissas!$B$6,Cenários!N17,Cenários!N61,Cenários!N105)</f>
        <v>827</v>
      </c>
      <c r="O16" s="94" t="n">
        <f aca="false">CHOOSE(Premissas!$B$6,Cenários!O17,Cenários!O61,Cenários!O105)</f>
        <v>1031</v>
      </c>
      <c r="P16" s="94" t="n">
        <f aca="false">CHOOSE(Premissas!$B$6,Cenários!P17,Cenários!P61,Cenários!P105)</f>
        <v>1220</v>
      </c>
      <c r="Q16" s="94" t="n">
        <f aca="false">CHOOSE(Premissas!$B$6,Cenários!Q17,Cenários!Q61,Cenários!Q105)</f>
        <v>1394</v>
      </c>
      <c r="R16" s="94" t="n">
        <f aca="false">CHOOSE(Premissas!$B$6,Cenários!R17,Cenários!R61,Cenários!R105)</f>
        <v>1556</v>
      </c>
      <c r="S16" s="94" t="n">
        <f aca="false">CHOOSE(Premissas!$B$6,Cenários!S17,Cenários!S61,Cenários!S105)</f>
        <v>1706</v>
      </c>
      <c r="T16" s="94" t="n">
        <f aca="false">CHOOSE(Premissas!$B$6,Cenários!T17,Cenários!T61,Cenários!T105)</f>
        <v>1844</v>
      </c>
      <c r="U16" s="94" t="n">
        <f aca="false">CHOOSE(Premissas!$B$6,Cenários!U17,Cenários!U61,Cenários!U105)</f>
        <v>1972</v>
      </c>
      <c r="V16" s="94" t="n">
        <f aca="false">CHOOSE(Premissas!$B$6,Cenários!V17,Cenários!V61,Cenários!V105)</f>
        <v>2090</v>
      </c>
      <c r="W16" s="94" t="n">
        <f aca="false">CHOOSE(Premissas!$B$6,Cenários!W17,Cenários!W61,Cenários!W105)</f>
        <v>2200</v>
      </c>
      <c r="X16" s="94" t="n">
        <f aca="false">CHOOSE(Premissas!$B$6,Cenários!X17,Cenários!X61,Cenários!X105)</f>
        <v>2301</v>
      </c>
      <c r="Y16" s="94" t="n">
        <f aca="false">CHOOSE(Premissas!$B$6,Cenários!Y17,Cenários!Y61,Cenários!Y105)</f>
        <v>2394</v>
      </c>
      <c r="Z16" s="94" t="n">
        <f aca="false">CHOOSE(Premissas!$B$6,Cenários!Z17,Cenários!Z61,Cenários!Z105)</f>
        <v>3298</v>
      </c>
      <c r="AA16" s="94" t="n">
        <f aca="false">CHOOSE(Premissas!$B$6,Cenários!AA17,Cenários!AA61,Cenários!AA105)</f>
        <v>3715</v>
      </c>
      <c r="AB16" s="94" t="n">
        <f aca="false">CHOOSE(Premissas!$B$6,Cenários!AB17,Cenários!AB61,Cenários!AB105)</f>
        <v>4103</v>
      </c>
      <c r="AC16" s="94" t="n">
        <f aca="false">CHOOSE(Premissas!$B$6,Cenários!AC17,Cenários!AC61,Cenários!AC105)</f>
        <v>4464</v>
      </c>
      <c r="AD16" s="94" t="n">
        <f aca="false">CHOOSE(Premissas!$B$6,Cenários!AD17,Cenários!AD61,Cenários!AD105)</f>
        <v>4800</v>
      </c>
      <c r="AE16" s="94" t="n">
        <f aca="false">CHOOSE(Premissas!$B$6,Cenários!AE17,Cenários!AE61,Cenários!AE105)</f>
        <v>5112</v>
      </c>
      <c r="AF16" s="94" t="n">
        <f aca="false">CHOOSE(Premissas!$B$6,Cenários!AF17,Cenários!AF61,Cenários!AF105)</f>
        <v>5402</v>
      </c>
      <c r="AG16" s="94" t="n">
        <f aca="false">CHOOSE(Premissas!$B$6,Cenários!AG17,Cenários!AG61,Cenários!AG105)</f>
        <v>5671</v>
      </c>
      <c r="AH16" s="94" t="n">
        <f aca="false">CHOOSE(Premissas!$B$6,Cenários!AH17,Cenários!AH61,Cenários!AH105)</f>
        <v>5922</v>
      </c>
      <c r="AI16" s="94" t="n">
        <f aca="false">CHOOSE(Premissas!$B$6,Cenários!AI17,Cenários!AI61,Cenários!AI105)</f>
        <v>6156</v>
      </c>
      <c r="AJ16" s="94" t="n">
        <f aca="false">CHOOSE(Premissas!$B$6,Cenários!AJ17,Cenários!AJ61,Cenários!AJ105)</f>
        <v>6373</v>
      </c>
      <c r="AK16" s="94" t="n">
        <f aca="false">CHOOSE(Premissas!$B$6,Cenários!AK17,Cenários!AK61,Cenários!AK105)</f>
        <v>6575</v>
      </c>
      <c r="AL16" s="94" t="n">
        <f aca="false">CHOOSE(Premissas!$B$6,Cenários!AL17,Cenários!AL61,Cenários!AL105)</f>
        <v>8398</v>
      </c>
      <c r="AM16" s="94" t="n">
        <f aca="false">CHOOSE(Premissas!$B$6,Cenários!AM17,Cenários!AM61,Cenários!AM105)</f>
        <v>9035</v>
      </c>
      <c r="AN16" s="94" t="n">
        <f aca="false">CHOOSE(Premissas!$B$6,Cenários!AN17,Cenários!AN61,Cenários!AN105)</f>
        <v>9631</v>
      </c>
      <c r="AO16" s="94" t="n">
        <f aca="false">CHOOSE(Premissas!$B$6,Cenários!AO17,Cenários!AO61,Cenários!AO105)</f>
        <v>10188</v>
      </c>
      <c r="AP16" s="94" t="n">
        <f aca="false">CHOOSE(Premissas!$B$6,Cenários!AP17,Cenários!AP61,Cenários!AP105)</f>
        <v>10709</v>
      </c>
      <c r="AQ16" s="94" t="n">
        <f aca="false">CHOOSE(Premissas!$B$6,Cenários!AQ17,Cenários!AQ61,Cenários!AQ105)</f>
        <v>11195</v>
      </c>
      <c r="AR16" s="94" t="n">
        <f aca="false">CHOOSE(Premissas!$B$6,Cenários!AR17,Cenários!AR61,Cenários!AR105)</f>
        <v>11651</v>
      </c>
      <c r="AS16" s="94" t="n">
        <f aca="false">CHOOSE(Premissas!$B$6,Cenários!AS17,Cenários!AS61,Cenários!AS105)</f>
        <v>12076</v>
      </c>
      <c r="AT16" s="94" t="n">
        <f aca="false">CHOOSE(Premissas!$B$6,Cenários!AT17,Cenários!AT61,Cenários!AT105)</f>
        <v>12475</v>
      </c>
      <c r="AU16" s="94" t="n">
        <f aca="false">CHOOSE(Premissas!$B$6,Cenários!AU17,Cenários!AU61,Cenários!AU105)</f>
        <v>12847</v>
      </c>
      <c r="AV16" s="94" t="n">
        <f aca="false">CHOOSE(Premissas!$B$6,Cenários!AV17,Cenários!AV61,Cenários!AV105)</f>
        <v>13195</v>
      </c>
      <c r="AW16" s="94" t="n">
        <f aca="false">CHOOSE(Premissas!$B$6,Cenários!AW17,Cenários!AW61,Cenários!AW105)</f>
        <v>13520</v>
      </c>
      <c r="AX16" s="94" t="n">
        <f aca="false">CHOOSE(Premissas!$B$6,Cenários!AX17,Cenários!AX61,Cenários!AX105)</f>
        <v>16601</v>
      </c>
      <c r="AY16" s="94" t="n">
        <f aca="false">CHOOSE(Premissas!$B$6,Cenários!AY17,Cenários!AY61,Cenários!AY105)</f>
        <v>17467</v>
      </c>
      <c r="AZ16" s="94" t="n">
        <f aca="false">CHOOSE(Premissas!$B$6,Cenários!AZ17,Cenários!AZ61,Cenários!AZ105)</f>
        <v>18281</v>
      </c>
      <c r="BA16" s="94" t="n">
        <f aca="false">CHOOSE(Premissas!$B$6,Cenários!BA17,Cenários!BA61,Cenários!BA105)</f>
        <v>19046</v>
      </c>
      <c r="BB16" s="94" t="n">
        <f aca="false">CHOOSE(Premissas!$B$6,Cenários!BB17,Cenários!BB61,Cenários!BB105)</f>
        <v>19765</v>
      </c>
      <c r="BC16" s="94" t="n">
        <f aca="false">CHOOSE(Premissas!$B$6,Cenários!BC17,Cenários!BC61,Cenários!BC105)</f>
        <v>20441</v>
      </c>
      <c r="BD16" s="94" t="n">
        <f aca="false">CHOOSE(Premissas!$B$6,Cenários!BD17,Cenários!BD61,Cenários!BD105)</f>
        <v>21077</v>
      </c>
      <c r="BE16" s="94" t="n">
        <f aca="false">CHOOSE(Premissas!$B$6,Cenários!BE17,Cenários!BE61,Cenários!BE105)</f>
        <v>21675</v>
      </c>
      <c r="BF16" s="94" t="n">
        <f aca="false">CHOOSE(Premissas!$B$6,Cenários!BF17,Cenários!BF61,Cenários!BF105)</f>
        <v>22236</v>
      </c>
      <c r="BG16" s="94" t="n">
        <f aca="false">CHOOSE(Premissas!$B$6,Cenários!BG17,Cenários!BG61,Cenários!BG105)</f>
        <v>22764</v>
      </c>
      <c r="BH16" s="94" t="n">
        <f aca="false">CHOOSE(Premissas!$B$6,Cenários!BH17,Cenários!BH61,Cenários!BH105)</f>
        <v>23260</v>
      </c>
      <c r="BI16" s="94" t="n">
        <f aca="false">CHOOSE(Premissas!$B$6,Cenários!BI17,Cenários!BI61,Cenários!BI105)</f>
        <v>23726</v>
      </c>
      <c r="BJ16" s="95" t="n">
        <f aca="false">BI16</f>
        <v>23726</v>
      </c>
      <c r="BK16" s="14" t="s">
        <v>312</v>
      </c>
    </row>
    <row r="17" customFormat="false" ht="15" hidden="false" customHeight="false" outlineLevel="0" collapsed="false">
      <c r="A17" s="12" t="s">
        <v>319</v>
      </c>
      <c r="B17" s="94" t="n">
        <f aca="false">CHOOSE(Premissas!$B$6,Cenários!B18,Cenários!B62,Cenários!B106)</f>
        <v>0</v>
      </c>
      <c r="C17" s="94" t="n">
        <f aca="false">CHOOSE(Premissas!$B$6,Cenários!C18,Cenários!C62,Cenários!C106)</f>
        <v>0</v>
      </c>
      <c r="D17" s="94" t="n">
        <f aca="false">CHOOSE(Premissas!$B$6,Cenários!D18,Cenários!D62,Cenários!D106)</f>
        <v>0</v>
      </c>
      <c r="E17" s="94" t="n">
        <f aca="false">CHOOSE(Premissas!$B$6,Cenários!E18,Cenários!E62,Cenários!E106)</f>
        <v>0</v>
      </c>
      <c r="F17" s="94" t="n">
        <f aca="false">CHOOSE(Premissas!$B$6,Cenários!F18,Cenários!F62,Cenários!F106)</f>
        <v>0</v>
      </c>
      <c r="G17" s="94" t="n">
        <f aca="false">CHOOSE(Premissas!$B$6,Cenários!G18,Cenários!G62,Cenários!G106)</f>
        <v>0</v>
      </c>
      <c r="H17" s="94" t="n">
        <f aca="false">CHOOSE(Premissas!$B$6,Cenários!H18,Cenários!H62,Cenários!H106)</f>
        <v>0</v>
      </c>
      <c r="I17" s="94" t="n">
        <f aca="false">CHOOSE(Premissas!$B$6,Cenários!I18,Cenários!I62,Cenários!I106)</f>
        <v>0</v>
      </c>
      <c r="J17" s="94" t="n">
        <f aca="false">CHOOSE(Premissas!$B$6,Cenários!J18,Cenários!J62,Cenários!J106)</f>
        <v>0</v>
      </c>
      <c r="K17" s="94" t="n">
        <f aca="false">CHOOSE(Premissas!$B$6,Cenários!K18,Cenários!K62,Cenários!K106)</f>
        <v>45</v>
      </c>
      <c r="L17" s="94" t="n">
        <f aca="false">CHOOSE(Premissas!$B$6,Cenários!L18,Cenários!L62,Cenários!L106)</f>
        <v>86</v>
      </c>
      <c r="M17" s="94" t="n">
        <f aca="false">CHOOSE(Premissas!$B$6,Cenários!M18,Cenários!M62,Cenários!M106)</f>
        <v>125</v>
      </c>
      <c r="N17" s="94" t="n">
        <f aca="false">CHOOSE(Premissas!$B$6,Cenários!N18,Cenários!N62,Cenários!N106)</f>
        <v>225</v>
      </c>
      <c r="O17" s="94" t="n">
        <f aca="false">CHOOSE(Premissas!$B$6,Cenários!O18,Cenários!O62,Cenários!O106)</f>
        <v>281</v>
      </c>
      <c r="P17" s="94" t="n">
        <f aca="false">CHOOSE(Premissas!$B$6,Cenários!P18,Cenários!P62,Cenários!P106)</f>
        <v>332</v>
      </c>
      <c r="Q17" s="94" t="n">
        <f aca="false">CHOOSE(Premissas!$B$6,Cenários!Q18,Cenários!Q62,Cenários!Q106)</f>
        <v>381</v>
      </c>
      <c r="R17" s="94" t="n">
        <f aca="false">CHOOSE(Premissas!$B$6,Cenários!R18,Cenários!R62,Cenários!R106)</f>
        <v>424</v>
      </c>
      <c r="S17" s="94" t="n">
        <f aca="false">CHOOSE(Premissas!$B$6,Cenários!S18,Cenários!S62,Cenários!S106)</f>
        <v>465</v>
      </c>
      <c r="T17" s="94" t="n">
        <f aca="false">CHOOSE(Premissas!$B$6,Cenários!T18,Cenários!T62,Cenários!T106)</f>
        <v>503</v>
      </c>
      <c r="U17" s="94" t="n">
        <f aca="false">CHOOSE(Premissas!$B$6,Cenários!U18,Cenários!U62,Cenários!U106)</f>
        <v>537</v>
      </c>
      <c r="V17" s="94" t="n">
        <f aca="false">CHOOSE(Premissas!$B$6,Cenários!V18,Cenários!V62,Cenários!V106)</f>
        <v>570</v>
      </c>
      <c r="W17" s="94" t="n">
        <f aca="false">CHOOSE(Premissas!$B$6,Cenários!W18,Cenários!W62,Cenários!W106)</f>
        <v>599</v>
      </c>
      <c r="X17" s="94" t="n">
        <f aca="false">CHOOSE(Premissas!$B$6,Cenários!X18,Cenários!X62,Cenários!X106)</f>
        <v>627</v>
      </c>
      <c r="Y17" s="94" t="n">
        <f aca="false">CHOOSE(Premissas!$B$6,Cenários!Y18,Cenários!Y62,Cenários!Y106)</f>
        <v>654</v>
      </c>
      <c r="Z17" s="94" t="n">
        <f aca="false">CHOOSE(Premissas!$B$6,Cenários!Z18,Cenários!Z62,Cenários!Z106)</f>
        <v>1099</v>
      </c>
      <c r="AA17" s="94" t="n">
        <f aca="false">CHOOSE(Premissas!$B$6,Cenários!AA18,Cenários!AA62,Cenários!AA106)</f>
        <v>1239</v>
      </c>
      <c r="AB17" s="94" t="n">
        <f aca="false">CHOOSE(Premissas!$B$6,Cenários!AB18,Cenários!AB62,Cenários!AB106)</f>
        <v>1368</v>
      </c>
      <c r="AC17" s="94" t="n">
        <f aca="false">CHOOSE(Premissas!$B$6,Cenários!AC18,Cenários!AC62,Cenários!AC106)</f>
        <v>1488</v>
      </c>
      <c r="AD17" s="94" t="n">
        <f aca="false">CHOOSE(Premissas!$B$6,Cenários!AD18,Cenários!AD62,Cenários!AD106)</f>
        <v>1599</v>
      </c>
      <c r="AE17" s="94" t="n">
        <f aca="false">CHOOSE(Premissas!$B$6,Cenários!AE18,Cenários!AE62,Cenários!AE106)</f>
        <v>1703</v>
      </c>
      <c r="AF17" s="94" t="n">
        <f aca="false">CHOOSE(Premissas!$B$6,Cenários!AF18,Cenários!AF62,Cenários!AF106)</f>
        <v>1800</v>
      </c>
      <c r="AG17" s="94" t="n">
        <f aca="false">CHOOSE(Premissas!$B$6,Cenários!AG18,Cenários!AG62,Cenários!AG106)</f>
        <v>1891</v>
      </c>
      <c r="AH17" s="94" t="n">
        <f aca="false">CHOOSE(Premissas!$B$6,Cenários!AH18,Cenários!AH62,Cenários!AH106)</f>
        <v>1975</v>
      </c>
      <c r="AI17" s="94" t="n">
        <f aca="false">CHOOSE(Premissas!$B$6,Cenários!AI18,Cenários!AI62,Cenários!AI106)</f>
        <v>2052</v>
      </c>
      <c r="AJ17" s="94" t="n">
        <f aca="false">CHOOSE(Premissas!$B$6,Cenários!AJ18,Cenários!AJ62,Cenários!AJ106)</f>
        <v>2124</v>
      </c>
      <c r="AK17" s="94" t="n">
        <f aca="false">CHOOSE(Premissas!$B$6,Cenários!AK18,Cenários!AK62,Cenários!AK106)</f>
        <v>2192</v>
      </c>
      <c r="AL17" s="94" t="n">
        <f aca="false">CHOOSE(Premissas!$B$6,Cenários!AL18,Cenários!AL62,Cenários!AL106)</f>
        <v>3230</v>
      </c>
      <c r="AM17" s="94" t="n">
        <f aca="false">CHOOSE(Premissas!$B$6,Cenários!AM18,Cenários!AM62,Cenários!AM106)</f>
        <v>3475</v>
      </c>
      <c r="AN17" s="94" t="n">
        <f aca="false">CHOOSE(Premissas!$B$6,Cenários!AN18,Cenários!AN62,Cenários!AN106)</f>
        <v>3704</v>
      </c>
      <c r="AO17" s="94" t="n">
        <f aca="false">CHOOSE(Premissas!$B$6,Cenários!AO18,Cenários!AO62,Cenários!AO106)</f>
        <v>3918</v>
      </c>
      <c r="AP17" s="94" t="n">
        <f aca="false">CHOOSE(Premissas!$B$6,Cenários!AP18,Cenários!AP62,Cenários!AP106)</f>
        <v>4118</v>
      </c>
      <c r="AQ17" s="94" t="n">
        <f aca="false">CHOOSE(Premissas!$B$6,Cenários!AQ18,Cenários!AQ62,Cenários!AQ106)</f>
        <v>4306</v>
      </c>
      <c r="AR17" s="94" t="n">
        <f aca="false">CHOOSE(Premissas!$B$6,Cenários!AR18,Cenários!AR62,Cenários!AR106)</f>
        <v>4481</v>
      </c>
      <c r="AS17" s="94" t="n">
        <f aca="false">CHOOSE(Premissas!$B$6,Cenários!AS18,Cenários!AS62,Cenários!AS106)</f>
        <v>4645</v>
      </c>
      <c r="AT17" s="94" t="n">
        <f aca="false">CHOOSE(Premissas!$B$6,Cenários!AT18,Cenários!AT62,Cenários!AT106)</f>
        <v>4797</v>
      </c>
      <c r="AU17" s="94" t="n">
        <f aca="false">CHOOSE(Premissas!$B$6,Cenários!AU18,Cenários!AU62,Cenários!AU106)</f>
        <v>4941</v>
      </c>
      <c r="AV17" s="94" t="n">
        <f aca="false">CHOOSE(Premissas!$B$6,Cenários!AV18,Cenários!AV62,Cenários!AV106)</f>
        <v>5075</v>
      </c>
      <c r="AW17" s="94" t="n">
        <f aca="false">CHOOSE(Premissas!$B$6,Cenários!AW18,Cenários!AW62,Cenários!AW106)</f>
        <v>5200</v>
      </c>
      <c r="AX17" s="94" t="n">
        <f aca="false">CHOOSE(Premissas!$B$6,Cenários!AX18,Cenários!AX62,Cenários!AX106)</f>
        <v>7115</v>
      </c>
      <c r="AY17" s="94" t="n">
        <f aca="false">CHOOSE(Premissas!$B$6,Cenários!AY18,Cenários!AY62,Cenários!AY106)</f>
        <v>7486</v>
      </c>
      <c r="AZ17" s="94" t="n">
        <f aca="false">CHOOSE(Premissas!$B$6,Cenários!AZ18,Cenários!AZ62,Cenários!AZ106)</f>
        <v>7835</v>
      </c>
      <c r="BA17" s="94" t="n">
        <f aca="false">CHOOSE(Premissas!$B$6,Cenários!BA18,Cenários!BA62,Cenários!BA106)</f>
        <v>8163</v>
      </c>
      <c r="BB17" s="94" t="n">
        <f aca="false">CHOOSE(Premissas!$B$6,Cenários!BB18,Cenários!BB62,Cenários!BB106)</f>
        <v>8471</v>
      </c>
      <c r="BC17" s="94" t="n">
        <f aca="false">CHOOSE(Premissas!$B$6,Cenários!BC18,Cenários!BC62,Cenários!BC106)</f>
        <v>8761</v>
      </c>
      <c r="BD17" s="94" t="n">
        <f aca="false">CHOOSE(Premissas!$B$6,Cenários!BD18,Cenários!BD62,Cenários!BD106)</f>
        <v>9033</v>
      </c>
      <c r="BE17" s="94" t="n">
        <f aca="false">CHOOSE(Premissas!$B$6,Cenários!BE18,Cenários!BE62,Cenários!BE106)</f>
        <v>9289</v>
      </c>
      <c r="BF17" s="94" t="n">
        <f aca="false">CHOOSE(Premissas!$B$6,Cenários!BF18,Cenários!BF62,Cenários!BF106)</f>
        <v>9530</v>
      </c>
      <c r="BG17" s="94" t="n">
        <f aca="false">CHOOSE(Premissas!$B$6,Cenários!BG18,Cenários!BG62,Cenários!BG106)</f>
        <v>9756</v>
      </c>
      <c r="BH17" s="94" t="n">
        <f aca="false">CHOOSE(Premissas!$B$6,Cenários!BH18,Cenários!BH62,Cenários!BH106)</f>
        <v>9968</v>
      </c>
      <c r="BI17" s="94" t="n">
        <f aca="false">CHOOSE(Premissas!$B$6,Cenários!BI18,Cenários!BI62,Cenários!BI106)</f>
        <v>10169</v>
      </c>
      <c r="BJ17" s="95" t="n">
        <f aca="false">BI17</f>
        <v>10169</v>
      </c>
      <c r="BK17" s="14" t="s">
        <v>312</v>
      </c>
    </row>
    <row r="18" customFormat="false" ht="15" hidden="false" customHeight="false" outlineLevel="0" collapsed="false">
      <c r="A18" s="12" t="s">
        <v>320</v>
      </c>
      <c r="B18" s="98" t="n">
        <f aca="false">B12-B14</f>
        <v>0</v>
      </c>
      <c r="C18" s="98" t="n">
        <f aca="false">C12-C14</f>
        <v>0</v>
      </c>
      <c r="D18" s="98" t="n">
        <f aca="false">D12-D14</f>
        <v>0</v>
      </c>
      <c r="E18" s="98" t="n">
        <f aca="false">E12-E14</f>
        <v>0</v>
      </c>
      <c r="F18" s="98" t="n">
        <f aca="false">F12-F14</f>
        <v>0</v>
      </c>
      <c r="G18" s="98" t="n">
        <f aca="false">G12-G14</f>
        <v>0</v>
      </c>
      <c r="H18" s="98" t="n">
        <f aca="false">H12-H14</f>
        <v>0</v>
      </c>
      <c r="I18" s="98" t="n">
        <f aca="false">I12-I14</f>
        <v>0</v>
      </c>
      <c r="J18" s="98" t="n">
        <f aca="false">J12-J14</f>
        <v>0</v>
      </c>
      <c r="K18" s="98" t="n">
        <f aca="false">K12-K14</f>
        <v>17195</v>
      </c>
      <c r="L18" s="98" t="n">
        <f aca="false">L12-L14</f>
        <v>33014</v>
      </c>
      <c r="M18" s="98" t="n">
        <f aca="false">M12-M14</f>
        <v>47567.84</v>
      </c>
      <c r="N18" s="98" t="n">
        <f aca="false">N12-N14</f>
        <v>64559.452</v>
      </c>
      <c r="O18" s="98" t="n">
        <f aca="false">O12-O14</f>
        <v>80506.7181</v>
      </c>
      <c r="P18" s="98" t="n">
        <f aca="false">P12-P14</f>
        <v>95259.2642425</v>
      </c>
      <c r="Q18" s="98" t="n">
        <f aca="false">Q12-Q14</f>
        <v>108905.019424313</v>
      </c>
      <c r="R18" s="98" t="n">
        <f aca="false">R12-R14</f>
        <v>121526.792967489</v>
      </c>
      <c r="S18" s="98" t="n">
        <f aca="false">S12-S14</f>
        <v>133201.808494927</v>
      </c>
      <c r="T18" s="98" t="n">
        <f aca="false">T12-T14</f>
        <v>144002.197857808</v>
      </c>
      <c r="U18" s="98" t="n">
        <f aca="false">U12-U14</f>
        <v>153992.458018472</v>
      </c>
      <c r="V18" s="98" t="n">
        <f aca="false">V12-V14</f>
        <v>163232.873667087</v>
      </c>
      <c r="W18" s="98" t="n">
        <f aca="false">W12-W14</f>
        <v>171779.908142055</v>
      </c>
      <c r="X18" s="98" t="n">
        <f aca="false">X12-X14</f>
        <v>179686.565031401</v>
      </c>
      <c r="Y18" s="98" t="n">
        <f aca="false">Y12-Y14</f>
        <v>186999.722654046</v>
      </c>
      <c r="Z18" s="98" t="n">
        <f aca="false">Z12-Z14</f>
        <v>215289.862068263</v>
      </c>
      <c r="AA18" s="98" t="n">
        <f aca="false">AA12-AA14</f>
        <v>242519.631723484</v>
      </c>
      <c r="AB18" s="98" t="n">
        <f aca="false">AB12-AB14</f>
        <v>267843.657502841</v>
      </c>
      <c r="AC18" s="98" t="n">
        <f aca="false">AC12-AC14</f>
        <v>291393.881477642</v>
      </c>
      <c r="AD18" s="98" t="n">
        <f aca="false">AD12-AD14</f>
        <v>313296.309774207</v>
      </c>
      <c r="AE18" s="98" t="n">
        <f aca="false">AE12-AE14</f>
        <v>333665.708090012</v>
      </c>
      <c r="AF18" s="98" t="n">
        <f aca="false">AF12-AF14</f>
        <v>352609.248523711</v>
      </c>
      <c r="AG18" s="98" t="n">
        <f aca="false">AG12-AG14</f>
        <v>370227.111127052</v>
      </c>
      <c r="AH18" s="98" t="n">
        <f aca="false">AH12-AH14</f>
        <v>386611.043348158</v>
      </c>
      <c r="AI18" s="98" t="n">
        <f aca="false">AI12-AI14</f>
        <v>401847.880313787</v>
      </c>
      <c r="AJ18" s="98" t="n">
        <f aca="false">AJ12-AJ14</f>
        <v>416019.028691822</v>
      </c>
      <c r="AK18" s="98" t="n">
        <f aca="false">AK12-AK14</f>
        <v>429196.916683394</v>
      </c>
      <c r="AL18" s="98" t="n">
        <f aca="false">AL12-AL14</f>
        <v>464615.377098974</v>
      </c>
      <c r="AM18" s="98" t="n">
        <f aca="false">AM12-AM14</f>
        <v>499864.942587541</v>
      </c>
      <c r="AN18" s="98" t="n">
        <f aca="false">AN12-AN14</f>
        <v>532823.97131935</v>
      </c>
      <c r="AO18" s="98" t="n">
        <f aca="false">AO12-AO14</f>
        <v>563639.748183593</v>
      </c>
      <c r="AP18" s="98" t="n">
        <f aca="false">AP12-AP14</f>
        <v>592453.204551659</v>
      </c>
      <c r="AQ18" s="98" t="n">
        <f aca="false">AQ12-AQ14</f>
        <v>619394.591255801</v>
      </c>
      <c r="AR18" s="98" t="n">
        <f aca="false">AR12-AR14</f>
        <v>644583.107824174</v>
      </c>
      <c r="AS18" s="98" t="n">
        <f aca="false">AS12-AS14</f>
        <v>668135.490815603</v>
      </c>
      <c r="AT18" s="98" t="n">
        <f aca="false">AT12-AT14</f>
        <v>690156.563912589</v>
      </c>
      <c r="AU18" s="98" t="n">
        <f aca="false">AU12-AU14</f>
        <v>710746.752258271</v>
      </c>
      <c r="AV18" s="98" t="n">
        <f aca="false">AV12-AV14</f>
        <v>729997.563361483</v>
      </c>
      <c r="AW18" s="98" t="n">
        <f aca="false">AW12-AW14</f>
        <v>747998.036742987</v>
      </c>
      <c r="AX18" s="98" t="n">
        <f aca="false">AX12-AX14</f>
        <v>787708.154538408</v>
      </c>
      <c r="AY18" s="98" t="n">
        <f aca="false">AY12-AY14</f>
        <v>828796.265266103</v>
      </c>
      <c r="AZ18" s="98" t="n">
        <f aca="false">AZ12-AZ14</f>
        <v>867417.569350137</v>
      </c>
      <c r="BA18" s="98" t="n">
        <f aca="false">BA12-BA14</f>
        <v>903723.115189129</v>
      </c>
      <c r="BB18" s="98" t="n">
        <f aca="false">BB12-BB14</f>
        <v>937849.408277781</v>
      </c>
      <c r="BC18" s="98" t="n">
        <f aca="false">BC12-BC14</f>
        <v>969928.983781114</v>
      </c>
      <c r="BD18" s="98" t="n">
        <f aca="false">BD12-BD14</f>
        <v>1000082.94475425</v>
      </c>
      <c r="BE18" s="98" t="n">
        <f aca="false">BE12-BE14</f>
        <v>1028427.46806899</v>
      </c>
      <c r="BF18" s="98" t="n">
        <f aca="false">BF12-BF14</f>
        <v>1055072.27998485</v>
      </c>
      <c r="BG18" s="98" t="n">
        <f aca="false">BG12-BG14</f>
        <v>1080118.10318576</v>
      </c>
      <c r="BH18" s="98" t="n">
        <f aca="false">BH12-BH14</f>
        <v>1103661.07699462</v>
      </c>
      <c r="BI18" s="98" t="n">
        <f aca="false">BI12-BI14</f>
        <v>1125791.15237494</v>
      </c>
      <c r="BJ18" s="95" t="n">
        <f aca="false">BI18</f>
        <v>1125791.15237494</v>
      </c>
    </row>
    <row r="20" customFormat="false" ht="18" hidden="false" customHeight="true" outlineLevel="0" collapsed="false">
      <c r="A20" s="10" t="s">
        <v>321</v>
      </c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  <c r="AH20" s="11"/>
      <c r="AI20" s="11"/>
      <c r="AJ20" s="11"/>
      <c r="AK20" s="11"/>
      <c r="AL20" s="11"/>
      <c r="AM20" s="11"/>
      <c r="AN20" s="11"/>
      <c r="AO20" s="11"/>
      <c r="AP20" s="11"/>
      <c r="AQ20" s="11"/>
      <c r="AR20" s="11"/>
      <c r="AS20" s="11"/>
      <c r="AT20" s="11"/>
      <c r="AU20" s="11"/>
      <c r="AV20" s="11"/>
      <c r="AW20" s="11"/>
      <c r="AX20" s="11"/>
      <c r="AY20" s="11"/>
      <c r="AZ20" s="11"/>
      <c r="BA20" s="11"/>
      <c r="BB20" s="11"/>
      <c r="BC20" s="11"/>
      <c r="BD20" s="11"/>
      <c r="BE20" s="11"/>
      <c r="BF20" s="11"/>
      <c r="BG20" s="11"/>
      <c r="BH20" s="11"/>
      <c r="BI20" s="11"/>
      <c r="BJ20" s="11"/>
      <c r="BK20" s="11"/>
    </row>
    <row r="21" customFormat="false" ht="15" hidden="false" customHeight="false" outlineLevel="0" collapsed="false">
      <c r="A21" s="12" t="s">
        <v>322</v>
      </c>
      <c r="B21" s="84" t="n">
        <f aca="false">B9*(1-INDEX(Premissas!$C$50:$G$50,B$7))*CHOOSE(Premissas!$B$6,INDEX(Premissas!$C$47:$G$47,B$7),INDEX(Premissas!$C$48:$G$48,B$7),INDEX(Premissas!$C$49:$G$49,B$7))</f>
        <v>0</v>
      </c>
      <c r="C21" s="84" t="n">
        <f aca="false">C9*(1-INDEX(Premissas!$C$50:$G$50,C$7))*CHOOSE(Premissas!$B$6,INDEX(Premissas!$C$47:$G$47,C$7),INDEX(Premissas!$C$48:$G$48,C$7),INDEX(Premissas!$C$49:$G$49,C$7))</f>
        <v>0</v>
      </c>
      <c r="D21" s="84" t="n">
        <f aca="false">D9*(1-INDEX(Premissas!$C$50:$G$50,D$7))*CHOOSE(Premissas!$B$6,INDEX(Premissas!$C$47:$G$47,D$7),INDEX(Premissas!$C$48:$G$48,D$7),INDEX(Premissas!$C$49:$G$49,D$7))</f>
        <v>0</v>
      </c>
      <c r="E21" s="84" t="n">
        <f aca="false">E9*(1-INDEX(Premissas!$C$50:$G$50,E$7))*CHOOSE(Premissas!$B$6,INDEX(Premissas!$C$47:$G$47,E$7),INDEX(Premissas!$C$48:$G$48,E$7),INDEX(Premissas!$C$49:$G$49,E$7))</f>
        <v>0</v>
      </c>
      <c r="F21" s="84" t="n">
        <f aca="false">F9*(1-INDEX(Premissas!$C$50:$G$50,F$7))*CHOOSE(Premissas!$B$6,INDEX(Premissas!$C$47:$G$47,F$7),INDEX(Premissas!$C$48:$G$48,F$7),INDEX(Premissas!$C$49:$G$49,F$7))</f>
        <v>0</v>
      </c>
      <c r="G21" s="84" t="n">
        <f aca="false">G9*(1-INDEX(Premissas!$C$50:$G$50,G$7))*CHOOSE(Premissas!$B$6,INDEX(Premissas!$C$47:$G$47,G$7),INDEX(Premissas!$C$48:$G$48,G$7),INDEX(Premissas!$C$49:$G$49,G$7))</f>
        <v>0</v>
      </c>
      <c r="H21" s="84" t="n">
        <f aca="false">H9*(1-INDEX(Premissas!$C$50:$G$50,H$7))*CHOOSE(Premissas!$B$6,INDEX(Premissas!$C$47:$G$47,H$7),INDEX(Premissas!$C$48:$G$48,H$7),INDEX(Premissas!$C$49:$G$49,H$7))</f>
        <v>0</v>
      </c>
      <c r="I21" s="84" t="n">
        <f aca="false">I9*(1-INDEX(Premissas!$C$50:$G$50,I$7))*CHOOSE(Premissas!$B$6,INDEX(Premissas!$C$47:$G$47,I$7),INDEX(Premissas!$C$48:$G$48,I$7),INDEX(Premissas!$C$49:$G$49,I$7))</f>
        <v>0</v>
      </c>
      <c r="J21" s="84" t="n">
        <f aca="false">J9*(1-INDEX(Premissas!$C$50:$G$50,J$7))*CHOOSE(Premissas!$B$6,INDEX(Premissas!$C$47:$G$47,J$7),INDEX(Premissas!$C$48:$G$48,J$7),INDEX(Premissas!$C$49:$G$49,J$7))</f>
        <v>0</v>
      </c>
      <c r="K21" s="84" t="n">
        <f aca="false">K9*(1-INDEX(Premissas!$C$50:$G$50,K$7))*CHOOSE(Premissas!$B$6,INDEX(Premissas!$C$47:$G$47,K$7),INDEX(Premissas!$C$48:$G$48,K$7),INDEX(Premissas!$C$49:$G$49,K$7))</f>
        <v>31675</v>
      </c>
      <c r="L21" s="84" t="n">
        <f aca="false">L9*(1-INDEX(Premissas!$C$50:$G$50,L$7))*CHOOSE(Premissas!$B$6,INDEX(Premissas!$C$47:$G$47,L$7),INDEX(Premissas!$C$48:$G$48,L$7),INDEX(Premissas!$C$49:$G$49,L$7))</f>
        <v>31675</v>
      </c>
      <c r="M21" s="84" t="n">
        <f aca="false">M9*(1-INDEX(Premissas!$C$50:$G$50,M$7))*CHOOSE(Premissas!$B$6,INDEX(Premissas!$C$47:$G$47,M$7),INDEX(Premissas!$C$48:$G$48,M$7),INDEX(Premissas!$C$49:$G$49,M$7))</f>
        <v>31675</v>
      </c>
      <c r="N21" s="84" t="n">
        <f aca="false">N9*(1-INDEX(Premissas!$C$50:$G$50,N$7))*CHOOSE(Premissas!$B$6,INDEX(Premissas!$C$47:$G$47,N$7),INDEX(Premissas!$C$48:$G$48,N$7),INDEX(Premissas!$C$49:$G$49,N$7))</f>
        <v>44880</v>
      </c>
      <c r="O21" s="84" t="n">
        <f aca="false">O9*(1-INDEX(Premissas!$C$50:$G$50,O$7))*CHOOSE(Premissas!$B$6,INDEX(Premissas!$C$47:$G$47,O$7),INDEX(Premissas!$C$48:$G$48,O$7),INDEX(Premissas!$C$49:$G$49,O$7))</f>
        <v>44880</v>
      </c>
      <c r="P21" s="84" t="n">
        <f aca="false">P9*(1-INDEX(Premissas!$C$50:$G$50,P$7))*CHOOSE(Premissas!$B$6,INDEX(Premissas!$C$47:$G$47,P$7),INDEX(Premissas!$C$48:$G$48,P$7),INDEX(Premissas!$C$49:$G$49,P$7))</f>
        <v>44880</v>
      </c>
      <c r="Q21" s="84" t="n">
        <f aca="false">Q9*(1-INDEX(Premissas!$C$50:$G$50,Q$7))*CHOOSE(Premissas!$B$6,INDEX(Premissas!$C$47:$G$47,Q$7),INDEX(Premissas!$C$48:$G$48,Q$7),INDEX(Premissas!$C$49:$G$49,Q$7))</f>
        <v>44880</v>
      </c>
      <c r="R21" s="84" t="n">
        <f aca="false">R9*(1-INDEX(Premissas!$C$50:$G$50,R$7))*CHOOSE(Premissas!$B$6,INDEX(Premissas!$C$47:$G$47,R$7),INDEX(Premissas!$C$48:$G$48,R$7),INDEX(Premissas!$C$49:$G$49,R$7))</f>
        <v>44880</v>
      </c>
      <c r="S21" s="84" t="n">
        <f aca="false">S9*(1-INDEX(Premissas!$C$50:$G$50,S$7))*CHOOSE(Premissas!$B$6,INDEX(Premissas!$C$47:$G$47,S$7),INDEX(Premissas!$C$48:$G$48,S$7),INDEX(Premissas!$C$49:$G$49,S$7))</f>
        <v>44880</v>
      </c>
      <c r="T21" s="84" t="n">
        <f aca="false">T9*(1-INDEX(Premissas!$C$50:$G$50,T$7))*CHOOSE(Premissas!$B$6,INDEX(Premissas!$C$47:$G$47,T$7),INDEX(Premissas!$C$48:$G$48,T$7),INDEX(Premissas!$C$49:$G$49,T$7))</f>
        <v>44880</v>
      </c>
      <c r="U21" s="84" t="n">
        <f aca="false">U9*(1-INDEX(Premissas!$C$50:$G$50,U$7))*CHOOSE(Premissas!$B$6,INDEX(Premissas!$C$47:$G$47,U$7),INDEX(Premissas!$C$48:$G$48,U$7),INDEX(Premissas!$C$49:$G$49,U$7))</f>
        <v>44880</v>
      </c>
      <c r="V21" s="84" t="n">
        <f aca="false">V9*(1-INDEX(Premissas!$C$50:$G$50,V$7))*CHOOSE(Premissas!$B$6,INDEX(Premissas!$C$47:$G$47,V$7),INDEX(Premissas!$C$48:$G$48,V$7),INDEX(Premissas!$C$49:$G$49,V$7))</f>
        <v>44880</v>
      </c>
      <c r="W21" s="84" t="n">
        <f aca="false">W9*(1-INDEX(Premissas!$C$50:$G$50,W$7))*CHOOSE(Premissas!$B$6,INDEX(Premissas!$C$47:$G$47,W$7),INDEX(Premissas!$C$48:$G$48,W$7),INDEX(Premissas!$C$49:$G$49,W$7))</f>
        <v>44880</v>
      </c>
      <c r="X21" s="84" t="n">
        <f aca="false">X9*(1-INDEX(Premissas!$C$50:$G$50,X$7))*CHOOSE(Premissas!$B$6,INDEX(Premissas!$C$47:$G$47,X$7),INDEX(Premissas!$C$48:$G$48,X$7),INDEX(Premissas!$C$49:$G$49,X$7))</f>
        <v>44880</v>
      </c>
      <c r="Y21" s="84" t="n">
        <f aca="false">Y9*(1-INDEX(Premissas!$C$50:$G$50,Y$7))*CHOOSE(Premissas!$B$6,INDEX(Premissas!$C$47:$G$47,Y$7),INDEX(Premissas!$C$48:$G$48,Y$7),INDEX(Premissas!$C$49:$G$49,Y$7))</f>
        <v>44880</v>
      </c>
      <c r="Z21" s="84" t="n">
        <f aca="false">Z9*(1-INDEX(Premissas!$C$50:$G$50,Z$7))*CHOOSE(Premissas!$B$6,INDEX(Premissas!$C$47:$G$47,Z$7),INDEX(Premissas!$C$48:$G$48,Z$7),INDEX(Premissas!$C$49:$G$49,Z$7))</f>
        <v>102375</v>
      </c>
      <c r="AA21" s="84" t="n">
        <f aca="false">AA9*(1-INDEX(Premissas!$C$50:$G$50,AA$7))*CHOOSE(Premissas!$B$6,INDEX(Premissas!$C$47:$G$47,AA$7),INDEX(Premissas!$C$48:$G$48,AA$7),INDEX(Premissas!$C$49:$G$49,AA$7))</f>
        <v>102375</v>
      </c>
      <c r="AB21" s="84" t="n">
        <f aca="false">AB9*(1-INDEX(Premissas!$C$50:$G$50,AB$7))*CHOOSE(Premissas!$B$6,INDEX(Premissas!$C$47:$G$47,AB$7),INDEX(Premissas!$C$48:$G$48,AB$7),INDEX(Premissas!$C$49:$G$49,AB$7))</f>
        <v>102375</v>
      </c>
      <c r="AC21" s="84" t="n">
        <f aca="false">AC9*(1-INDEX(Premissas!$C$50:$G$50,AC$7))*CHOOSE(Premissas!$B$6,INDEX(Premissas!$C$47:$G$47,AC$7),INDEX(Premissas!$C$48:$G$48,AC$7),INDEX(Premissas!$C$49:$G$49,AC$7))</f>
        <v>102375</v>
      </c>
      <c r="AD21" s="84" t="n">
        <f aca="false">AD9*(1-INDEX(Premissas!$C$50:$G$50,AD$7))*CHOOSE(Premissas!$B$6,INDEX(Premissas!$C$47:$G$47,AD$7),INDEX(Premissas!$C$48:$G$48,AD$7),INDEX(Premissas!$C$49:$G$49,AD$7))</f>
        <v>102375</v>
      </c>
      <c r="AE21" s="84" t="n">
        <f aca="false">AE9*(1-INDEX(Premissas!$C$50:$G$50,AE$7))*CHOOSE(Premissas!$B$6,INDEX(Premissas!$C$47:$G$47,AE$7),INDEX(Premissas!$C$48:$G$48,AE$7),INDEX(Premissas!$C$49:$G$49,AE$7))</f>
        <v>102375</v>
      </c>
      <c r="AF21" s="84" t="n">
        <f aca="false">AF9*(1-INDEX(Premissas!$C$50:$G$50,AF$7))*CHOOSE(Premissas!$B$6,INDEX(Premissas!$C$47:$G$47,AF$7),INDEX(Premissas!$C$48:$G$48,AF$7),INDEX(Premissas!$C$49:$G$49,AF$7))</f>
        <v>102375</v>
      </c>
      <c r="AG21" s="84" t="n">
        <f aca="false">AG9*(1-INDEX(Premissas!$C$50:$G$50,AG$7))*CHOOSE(Premissas!$B$6,INDEX(Premissas!$C$47:$G$47,AG$7),INDEX(Premissas!$C$48:$G$48,AG$7),INDEX(Premissas!$C$49:$G$49,AG$7))</f>
        <v>102375</v>
      </c>
      <c r="AH21" s="84" t="n">
        <f aca="false">AH9*(1-INDEX(Premissas!$C$50:$G$50,AH$7))*CHOOSE(Premissas!$B$6,INDEX(Premissas!$C$47:$G$47,AH$7),INDEX(Premissas!$C$48:$G$48,AH$7),INDEX(Premissas!$C$49:$G$49,AH$7))</f>
        <v>102375</v>
      </c>
      <c r="AI21" s="84" t="n">
        <f aca="false">AI9*(1-INDEX(Premissas!$C$50:$G$50,AI$7))*CHOOSE(Premissas!$B$6,INDEX(Premissas!$C$47:$G$47,AI$7),INDEX(Premissas!$C$48:$G$48,AI$7),INDEX(Premissas!$C$49:$G$49,AI$7))</f>
        <v>102375</v>
      </c>
      <c r="AJ21" s="84" t="n">
        <f aca="false">AJ9*(1-INDEX(Premissas!$C$50:$G$50,AJ$7))*CHOOSE(Premissas!$B$6,INDEX(Premissas!$C$47:$G$47,AJ$7),INDEX(Premissas!$C$48:$G$48,AJ$7),INDEX(Premissas!$C$49:$G$49,AJ$7))</f>
        <v>102375</v>
      </c>
      <c r="AK21" s="84" t="n">
        <f aca="false">AK9*(1-INDEX(Premissas!$C$50:$G$50,AK$7))*CHOOSE(Premissas!$B$6,INDEX(Premissas!$C$47:$G$47,AK$7),INDEX(Premissas!$C$48:$G$48,AK$7),INDEX(Premissas!$C$49:$G$49,AK$7))</f>
        <v>102375</v>
      </c>
      <c r="AL21" s="84" t="n">
        <f aca="false">AL9*(1-INDEX(Premissas!$C$50:$G$50,AL$7))*CHOOSE(Premissas!$B$6,INDEX(Premissas!$C$47:$G$47,AL$7),INDEX(Premissas!$C$48:$G$48,AL$7),INDEX(Premissas!$C$49:$G$49,AL$7))</f>
        <v>173600</v>
      </c>
      <c r="AM21" s="84" t="n">
        <f aca="false">AM9*(1-INDEX(Premissas!$C$50:$G$50,AM$7))*CHOOSE(Premissas!$B$6,INDEX(Premissas!$C$47:$G$47,AM$7),INDEX(Premissas!$C$48:$G$48,AM$7),INDEX(Premissas!$C$49:$G$49,AM$7))</f>
        <v>173600</v>
      </c>
      <c r="AN21" s="84" t="n">
        <f aca="false">AN9*(1-INDEX(Premissas!$C$50:$G$50,AN$7))*CHOOSE(Premissas!$B$6,INDEX(Premissas!$C$47:$G$47,AN$7),INDEX(Premissas!$C$48:$G$48,AN$7),INDEX(Premissas!$C$49:$G$49,AN$7))</f>
        <v>173600</v>
      </c>
      <c r="AO21" s="84" t="n">
        <f aca="false">AO9*(1-INDEX(Premissas!$C$50:$G$50,AO$7))*CHOOSE(Premissas!$B$6,INDEX(Premissas!$C$47:$G$47,AO$7),INDEX(Premissas!$C$48:$G$48,AO$7),INDEX(Premissas!$C$49:$G$49,AO$7))</f>
        <v>173600</v>
      </c>
      <c r="AP21" s="84" t="n">
        <f aca="false">AP9*(1-INDEX(Premissas!$C$50:$G$50,AP$7))*CHOOSE(Premissas!$B$6,INDEX(Premissas!$C$47:$G$47,AP$7),INDEX(Premissas!$C$48:$G$48,AP$7),INDEX(Premissas!$C$49:$G$49,AP$7))</f>
        <v>173600</v>
      </c>
      <c r="AQ21" s="84" t="n">
        <f aca="false">AQ9*(1-INDEX(Premissas!$C$50:$G$50,AQ$7))*CHOOSE(Premissas!$B$6,INDEX(Premissas!$C$47:$G$47,AQ$7),INDEX(Premissas!$C$48:$G$48,AQ$7),INDEX(Premissas!$C$49:$G$49,AQ$7))</f>
        <v>173600</v>
      </c>
      <c r="AR21" s="84" t="n">
        <f aca="false">AR9*(1-INDEX(Premissas!$C$50:$G$50,AR$7))*CHOOSE(Premissas!$B$6,INDEX(Premissas!$C$47:$G$47,AR$7),INDEX(Premissas!$C$48:$G$48,AR$7),INDEX(Premissas!$C$49:$G$49,AR$7))</f>
        <v>173600</v>
      </c>
      <c r="AS21" s="84" t="n">
        <f aca="false">AS9*(1-INDEX(Premissas!$C$50:$G$50,AS$7))*CHOOSE(Premissas!$B$6,INDEX(Premissas!$C$47:$G$47,AS$7),INDEX(Premissas!$C$48:$G$48,AS$7),INDEX(Premissas!$C$49:$G$49,AS$7))</f>
        <v>173600</v>
      </c>
      <c r="AT21" s="84" t="n">
        <f aca="false">AT9*(1-INDEX(Premissas!$C$50:$G$50,AT$7))*CHOOSE(Premissas!$B$6,INDEX(Premissas!$C$47:$G$47,AT$7),INDEX(Premissas!$C$48:$G$48,AT$7),INDEX(Premissas!$C$49:$G$49,AT$7))</f>
        <v>173600</v>
      </c>
      <c r="AU21" s="84" t="n">
        <f aca="false">AU9*(1-INDEX(Premissas!$C$50:$G$50,AU$7))*CHOOSE(Premissas!$B$6,INDEX(Premissas!$C$47:$G$47,AU$7),INDEX(Premissas!$C$48:$G$48,AU$7),INDEX(Premissas!$C$49:$G$49,AU$7))</f>
        <v>173600</v>
      </c>
      <c r="AV21" s="84" t="n">
        <f aca="false">AV9*(1-INDEX(Premissas!$C$50:$G$50,AV$7))*CHOOSE(Premissas!$B$6,INDEX(Premissas!$C$47:$G$47,AV$7),INDEX(Premissas!$C$48:$G$48,AV$7),INDEX(Premissas!$C$49:$G$49,AV$7))</f>
        <v>173600</v>
      </c>
      <c r="AW21" s="84" t="n">
        <f aca="false">AW9*(1-INDEX(Premissas!$C$50:$G$50,AW$7))*CHOOSE(Premissas!$B$6,INDEX(Premissas!$C$47:$G$47,AW$7),INDEX(Premissas!$C$48:$G$48,AW$7),INDEX(Premissas!$C$49:$G$49,AW$7))</f>
        <v>173600</v>
      </c>
      <c r="AX21" s="84" t="n">
        <f aca="false">AX9*(1-INDEX(Premissas!$C$50:$G$50,AX$7))*CHOOSE(Premissas!$B$6,INDEX(Premissas!$C$47:$G$47,AX$7),INDEX(Premissas!$C$48:$G$48,AX$7),INDEX(Premissas!$C$49:$G$49,AX$7))</f>
        <v>256500</v>
      </c>
      <c r="AY21" s="84" t="n">
        <f aca="false">AY9*(1-INDEX(Premissas!$C$50:$G$50,AY$7))*CHOOSE(Premissas!$B$6,INDEX(Premissas!$C$47:$G$47,AY$7),INDEX(Premissas!$C$48:$G$48,AY$7),INDEX(Premissas!$C$49:$G$49,AY$7))</f>
        <v>256500</v>
      </c>
      <c r="AZ21" s="84" t="n">
        <f aca="false">AZ9*(1-INDEX(Premissas!$C$50:$G$50,AZ$7))*CHOOSE(Premissas!$B$6,INDEX(Premissas!$C$47:$G$47,AZ$7),INDEX(Premissas!$C$48:$G$48,AZ$7),INDEX(Premissas!$C$49:$G$49,AZ$7))</f>
        <v>256500</v>
      </c>
      <c r="BA21" s="84" t="n">
        <f aca="false">BA9*(1-INDEX(Premissas!$C$50:$G$50,BA$7))*CHOOSE(Premissas!$B$6,INDEX(Premissas!$C$47:$G$47,BA$7),INDEX(Premissas!$C$48:$G$48,BA$7),INDEX(Premissas!$C$49:$G$49,BA$7))</f>
        <v>256500</v>
      </c>
      <c r="BB21" s="84" t="n">
        <f aca="false">BB9*(1-INDEX(Premissas!$C$50:$G$50,BB$7))*CHOOSE(Premissas!$B$6,INDEX(Premissas!$C$47:$G$47,BB$7),INDEX(Premissas!$C$48:$G$48,BB$7),INDEX(Premissas!$C$49:$G$49,BB$7))</f>
        <v>256500</v>
      </c>
      <c r="BC21" s="84" t="n">
        <f aca="false">BC9*(1-INDEX(Premissas!$C$50:$G$50,BC$7))*CHOOSE(Premissas!$B$6,INDEX(Premissas!$C$47:$G$47,BC$7),INDEX(Premissas!$C$48:$G$48,BC$7),INDEX(Premissas!$C$49:$G$49,BC$7))</f>
        <v>256500</v>
      </c>
      <c r="BD21" s="84" t="n">
        <f aca="false">BD9*(1-INDEX(Premissas!$C$50:$G$50,BD$7))*CHOOSE(Premissas!$B$6,INDEX(Premissas!$C$47:$G$47,BD$7),INDEX(Premissas!$C$48:$G$48,BD$7),INDEX(Premissas!$C$49:$G$49,BD$7))</f>
        <v>256500</v>
      </c>
      <c r="BE21" s="84" t="n">
        <f aca="false">BE9*(1-INDEX(Premissas!$C$50:$G$50,BE$7))*CHOOSE(Premissas!$B$6,INDEX(Premissas!$C$47:$G$47,BE$7),INDEX(Premissas!$C$48:$G$48,BE$7),INDEX(Premissas!$C$49:$G$49,BE$7))</f>
        <v>256500</v>
      </c>
      <c r="BF21" s="84" t="n">
        <f aca="false">BF9*(1-INDEX(Premissas!$C$50:$G$50,BF$7))*CHOOSE(Premissas!$B$6,INDEX(Premissas!$C$47:$G$47,BF$7),INDEX(Premissas!$C$48:$G$48,BF$7),INDEX(Premissas!$C$49:$G$49,BF$7))</f>
        <v>256500</v>
      </c>
      <c r="BG21" s="84" t="n">
        <f aca="false">BG9*(1-INDEX(Premissas!$C$50:$G$50,BG$7))*CHOOSE(Premissas!$B$6,INDEX(Premissas!$C$47:$G$47,BG$7),INDEX(Premissas!$C$48:$G$48,BG$7),INDEX(Premissas!$C$49:$G$49,BG$7))</f>
        <v>256500</v>
      </c>
      <c r="BH21" s="84" t="n">
        <f aca="false">BH9*(1-INDEX(Premissas!$C$50:$G$50,BH$7))*CHOOSE(Premissas!$B$6,INDEX(Premissas!$C$47:$G$47,BH$7),INDEX(Premissas!$C$48:$G$48,BH$7),INDEX(Premissas!$C$49:$G$49,BH$7))</f>
        <v>256500</v>
      </c>
      <c r="BI21" s="84" t="n">
        <f aca="false">BI9*(1-INDEX(Premissas!$C$50:$G$50,BI$7))*CHOOSE(Premissas!$B$6,INDEX(Premissas!$C$47:$G$47,BI$7),INDEX(Premissas!$C$48:$G$48,BI$7),INDEX(Premissas!$C$49:$G$49,BI$7))</f>
        <v>256500</v>
      </c>
      <c r="BJ21" s="69" t="n">
        <f aca="false">SUM(B21:BI21)</f>
        <v>7023285</v>
      </c>
    </row>
    <row r="22" customFormat="false" ht="15" hidden="false" customHeight="false" outlineLevel="0" collapsed="false">
      <c r="A22" s="12" t="s">
        <v>323</v>
      </c>
      <c r="B22" s="99" t="n">
        <f aca="false">IFERROR(B21/B9,0)</f>
        <v>0</v>
      </c>
      <c r="C22" s="99" t="n">
        <f aca="false">IFERROR(C21/C9,0)</f>
        <v>0</v>
      </c>
      <c r="D22" s="99" t="n">
        <f aca="false">IFERROR(D21/D9,0)</f>
        <v>0</v>
      </c>
      <c r="E22" s="99" t="n">
        <f aca="false">IFERROR(E21/E9,0)</f>
        <v>0</v>
      </c>
      <c r="F22" s="99" t="n">
        <f aca="false">IFERROR(F21/F9,0)</f>
        <v>0</v>
      </c>
      <c r="G22" s="99" t="n">
        <f aca="false">IFERROR(G21/G9,0)</f>
        <v>0</v>
      </c>
      <c r="H22" s="99" t="n">
        <f aca="false">IFERROR(H21/H9,0)</f>
        <v>0</v>
      </c>
      <c r="I22" s="99" t="n">
        <f aca="false">IFERROR(I21/I9,0)</f>
        <v>0</v>
      </c>
      <c r="J22" s="99" t="n">
        <f aca="false">IFERROR(J21/J9,0)</f>
        <v>0</v>
      </c>
      <c r="K22" s="99" t="n">
        <f aca="false">IFERROR(K21/K9,0)</f>
        <v>1.75</v>
      </c>
      <c r="L22" s="99" t="n">
        <f aca="false">IFERROR(L21/L9,0)</f>
        <v>1.75</v>
      </c>
      <c r="M22" s="99" t="n">
        <f aca="false">IFERROR(M21/M9,0)</f>
        <v>1.75</v>
      </c>
      <c r="N22" s="99" t="n">
        <f aca="false">IFERROR(N21/N9,0)</f>
        <v>2.04</v>
      </c>
      <c r="O22" s="99" t="n">
        <f aca="false">IFERROR(O21/O9,0)</f>
        <v>2.04</v>
      </c>
      <c r="P22" s="99" t="n">
        <f aca="false">IFERROR(P21/P9,0)</f>
        <v>2.04</v>
      </c>
      <c r="Q22" s="99" t="n">
        <f aca="false">IFERROR(Q21/Q9,0)</f>
        <v>2.04</v>
      </c>
      <c r="R22" s="99" t="n">
        <f aca="false">IFERROR(R21/R9,0)</f>
        <v>2.04</v>
      </c>
      <c r="S22" s="99" t="n">
        <f aca="false">IFERROR(S21/S9,0)</f>
        <v>2.04</v>
      </c>
      <c r="T22" s="99" t="n">
        <f aca="false">IFERROR(T21/T9,0)</f>
        <v>2.04</v>
      </c>
      <c r="U22" s="99" t="n">
        <f aca="false">IFERROR(U21/U9,0)</f>
        <v>2.04</v>
      </c>
      <c r="V22" s="99" t="n">
        <f aca="false">IFERROR(V21/V9,0)</f>
        <v>2.04</v>
      </c>
      <c r="W22" s="99" t="n">
        <f aca="false">IFERROR(W21/W9,0)</f>
        <v>2.04</v>
      </c>
      <c r="X22" s="99" t="n">
        <f aca="false">IFERROR(X21/X9,0)</f>
        <v>2.04</v>
      </c>
      <c r="Y22" s="99" t="n">
        <f aca="false">IFERROR(Y21/Y9,0)</f>
        <v>2.04</v>
      </c>
      <c r="Z22" s="99" t="n">
        <f aca="false">IFERROR(Z21/Z9,0)</f>
        <v>2.275</v>
      </c>
      <c r="AA22" s="99" t="n">
        <f aca="false">IFERROR(AA21/AA9,0)</f>
        <v>2.275</v>
      </c>
      <c r="AB22" s="99" t="n">
        <f aca="false">IFERROR(AB21/AB9,0)</f>
        <v>2.275</v>
      </c>
      <c r="AC22" s="99" t="n">
        <f aca="false">IFERROR(AC21/AC9,0)</f>
        <v>2.275</v>
      </c>
      <c r="AD22" s="99" t="n">
        <f aca="false">IFERROR(AD21/AD9,0)</f>
        <v>2.275</v>
      </c>
      <c r="AE22" s="99" t="n">
        <f aca="false">IFERROR(AE21/AE9,0)</f>
        <v>2.275</v>
      </c>
      <c r="AF22" s="99" t="n">
        <f aca="false">IFERROR(AF21/AF9,0)</f>
        <v>2.275</v>
      </c>
      <c r="AG22" s="99" t="n">
        <f aca="false">IFERROR(AG21/AG9,0)</f>
        <v>2.275</v>
      </c>
      <c r="AH22" s="99" t="n">
        <f aca="false">IFERROR(AH21/AH9,0)</f>
        <v>2.275</v>
      </c>
      <c r="AI22" s="99" t="n">
        <f aca="false">IFERROR(AI21/AI9,0)</f>
        <v>2.275</v>
      </c>
      <c r="AJ22" s="99" t="n">
        <f aca="false">IFERROR(AJ21/AJ9,0)</f>
        <v>2.275</v>
      </c>
      <c r="AK22" s="99" t="n">
        <f aca="false">IFERROR(AK21/AK9,0)</f>
        <v>2.275</v>
      </c>
      <c r="AL22" s="99" t="n">
        <f aca="false">IFERROR(AL21/AL9,0)</f>
        <v>2.48</v>
      </c>
      <c r="AM22" s="99" t="n">
        <f aca="false">IFERROR(AM21/AM9,0)</f>
        <v>2.48</v>
      </c>
      <c r="AN22" s="99" t="n">
        <f aca="false">IFERROR(AN21/AN9,0)</f>
        <v>2.48</v>
      </c>
      <c r="AO22" s="99" t="n">
        <f aca="false">IFERROR(AO21/AO9,0)</f>
        <v>2.48</v>
      </c>
      <c r="AP22" s="99" t="n">
        <f aca="false">IFERROR(AP21/AP9,0)</f>
        <v>2.48</v>
      </c>
      <c r="AQ22" s="99" t="n">
        <f aca="false">IFERROR(AQ21/AQ9,0)</f>
        <v>2.48</v>
      </c>
      <c r="AR22" s="99" t="n">
        <f aca="false">IFERROR(AR21/AR9,0)</f>
        <v>2.48</v>
      </c>
      <c r="AS22" s="99" t="n">
        <f aca="false">IFERROR(AS21/AS9,0)</f>
        <v>2.48</v>
      </c>
      <c r="AT22" s="99" t="n">
        <f aca="false">IFERROR(AT21/AT9,0)</f>
        <v>2.48</v>
      </c>
      <c r="AU22" s="99" t="n">
        <f aca="false">IFERROR(AU21/AU9,0)</f>
        <v>2.48</v>
      </c>
      <c r="AV22" s="99" t="n">
        <f aca="false">IFERROR(AV21/AV9,0)</f>
        <v>2.48</v>
      </c>
      <c r="AW22" s="99" t="n">
        <f aca="false">IFERROR(AW21/AW9,0)</f>
        <v>2.48</v>
      </c>
      <c r="AX22" s="99" t="n">
        <f aca="false">IFERROR(AX21/AX9,0)</f>
        <v>2.7</v>
      </c>
      <c r="AY22" s="99" t="n">
        <f aca="false">IFERROR(AY21/AY9,0)</f>
        <v>2.7</v>
      </c>
      <c r="AZ22" s="99" t="n">
        <f aca="false">IFERROR(AZ21/AZ9,0)</f>
        <v>2.7</v>
      </c>
      <c r="BA22" s="99" t="n">
        <f aca="false">IFERROR(BA21/BA9,0)</f>
        <v>2.7</v>
      </c>
      <c r="BB22" s="99" t="n">
        <f aca="false">IFERROR(BB21/BB9,0)</f>
        <v>2.7</v>
      </c>
      <c r="BC22" s="99" t="n">
        <f aca="false">IFERROR(BC21/BC9,0)</f>
        <v>2.7</v>
      </c>
      <c r="BD22" s="99" t="n">
        <f aca="false">IFERROR(BD21/BD9,0)</f>
        <v>2.7</v>
      </c>
      <c r="BE22" s="99" t="n">
        <f aca="false">IFERROR(BE21/BE9,0)</f>
        <v>2.7</v>
      </c>
      <c r="BF22" s="99" t="n">
        <f aca="false">IFERROR(BF21/BF9,0)</f>
        <v>2.7</v>
      </c>
      <c r="BG22" s="99" t="n">
        <f aca="false">IFERROR(BG21/BG9,0)</f>
        <v>2.7</v>
      </c>
      <c r="BH22" s="99" t="n">
        <f aca="false">IFERROR(BH21/BH9,0)</f>
        <v>2.7</v>
      </c>
      <c r="BI22" s="99" t="n">
        <f aca="false">IFERROR(BI21/BI9,0)</f>
        <v>2.7</v>
      </c>
      <c r="BJ22" s="100" t="n">
        <f aca="false">IFERROR(BJ21/BJ9,0)</f>
        <v>2.47446887221224</v>
      </c>
      <c r="BK22" s="14" t="s">
        <v>324</v>
      </c>
    </row>
    <row r="23" customFormat="false" ht="15" hidden="false" customHeight="false" outlineLevel="0" collapsed="false">
      <c r="A23" s="16" t="s">
        <v>325</v>
      </c>
      <c r="B23" s="101" t="n">
        <f aca="false">IFERROR(B21/(B9*B13),0)</f>
        <v>0</v>
      </c>
      <c r="C23" s="101" t="n">
        <f aca="false">IFERROR(C21/(C9*C13),0)</f>
        <v>0</v>
      </c>
      <c r="D23" s="101" t="n">
        <f aca="false">IFERROR(D21/(D9*D13),0)</f>
        <v>0</v>
      </c>
      <c r="E23" s="101" t="n">
        <f aca="false">IFERROR(E21/(E9*E13),0)</f>
        <v>0</v>
      </c>
      <c r="F23" s="101" t="n">
        <f aca="false">IFERROR(F21/(F9*F13),0)</f>
        <v>0</v>
      </c>
      <c r="G23" s="101" t="n">
        <f aca="false">IFERROR(G21/(G9*G13),0)</f>
        <v>0</v>
      </c>
      <c r="H23" s="101" t="n">
        <f aca="false">IFERROR(H21/(H9*H13),0)</f>
        <v>0</v>
      </c>
      <c r="I23" s="101" t="n">
        <f aca="false">IFERROR(I21/(I9*I13),0)</f>
        <v>0</v>
      </c>
      <c r="J23" s="101" t="n">
        <f aca="false">IFERROR(J21/(J9*J13),0)</f>
        <v>0</v>
      </c>
      <c r="K23" s="101" t="n">
        <f aca="false">IFERROR(K21/(K9*K13),0)</f>
        <v>35</v>
      </c>
      <c r="L23" s="101" t="n">
        <f aca="false">IFERROR(L21/(L9*L13),0)</f>
        <v>35</v>
      </c>
      <c r="M23" s="101" t="n">
        <f aca="false">IFERROR(M21/(M9*M13),0)</f>
        <v>35</v>
      </c>
      <c r="N23" s="101" t="n">
        <f aca="false">IFERROR(N21/(N9*N13),0)</f>
        <v>37.0909090909091</v>
      </c>
      <c r="O23" s="101" t="n">
        <f aca="false">IFERROR(O21/(O9*O13),0)</f>
        <v>37.0909090909091</v>
      </c>
      <c r="P23" s="101" t="n">
        <f aca="false">IFERROR(P21/(P9*P13),0)</f>
        <v>37.0909090909091</v>
      </c>
      <c r="Q23" s="101" t="n">
        <f aca="false">IFERROR(Q21/(Q9*Q13),0)</f>
        <v>37.0909090909091</v>
      </c>
      <c r="R23" s="101" t="n">
        <f aca="false">IFERROR(R21/(R9*R13),0)</f>
        <v>37.0909090909091</v>
      </c>
      <c r="S23" s="101" t="n">
        <f aca="false">IFERROR(S21/(S9*S13),0)</f>
        <v>37.0909090909091</v>
      </c>
      <c r="T23" s="101" t="n">
        <f aca="false">IFERROR(T21/(T9*T13),0)</f>
        <v>37.0909090909091</v>
      </c>
      <c r="U23" s="101" t="n">
        <f aca="false">IFERROR(U21/(U9*U13),0)</f>
        <v>37.0909090909091</v>
      </c>
      <c r="V23" s="101" t="n">
        <f aca="false">IFERROR(V21/(V9*V13),0)</f>
        <v>37.0909090909091</v>
      </c>
      <c r="W23" s="101" t="n">
        <f aca="false">IFERROR(W21/(W9*W13),0)</f>
        <v>37.0909090909091</v>
      </c>
      <c r="X23" s="101" t="n">
        <f aca="false">IFERROR(X21/(X9*X13),0)</f>
        <v>37.0909090909091</v>
      </c>
      <c r="Y23" s="101" t="n">
        <f aca="false">IFERROR(Y21/(Y9*Y13),0)</f>
        <v>37.0909090909091</v>
      </c>
      <c r="Z23" s="101" t="n">
        <f aca="false">IFERROR(Z21/(Z9*Z13),0)</f>
        <v>37.9166666666667</v>
      </c>
      <c r="AA23" s="101" t="n">
        <f aca="false">IFERROR(AA21/(AA9*AA13),0)</f>
        <v>37.9166666666667</v>
      </c>
      <c r="AB23" s="101" t="n">
        <f aca="false">IFERROR(AB21/(AB9*AB13),0)</f>
        <v>37.9166666666667</v>
      </c>
      <c r="AC23" s="101" t="n">
        <f aca="false">IFERROR(AC21/(AC9*AC13),0)</f>
        <v>37.9166666666667</v>
      </c>
      <c r="AD23" s="101" t="n">
        <f aca="false">IFERROR(AD21/(AD9*AD13),0)</f>
        <v>37.9166666666667</v>
      </c>
      <c r="AE23" s="101" t="n">
        <f aca="false">IFERROR(AE21/(AE9*AE13),0)</f>
        <v>37.9166666666667</v>
      </c>
      <c r="AF23" s="101" t="n">
        <f aca="false">IFERROR(AF21/(AF9*AF13),0)</f>
        <v>37.9166666666667</v>
      </c>
      <c r="AG23" s="101" t="n">
        <f aca="false">IFERROR(AG21/(AG9*AG13),0)</f>
        <v>37.9166666666667</v>
      </c>
      <c r="AH23" s="101" t="n">
        <f aca="false">IFERROR(AH21/(AH9*AH13),0)</f>
        <v>37.9166666666667</v>
      </c>
      <c r="AI23" s="101" t="n">
        <f aca="false">IFERROR(AI21/(AI9*AI13),0)</f>
        <v>37.9166666666667</v>
      </c>
      <c r="AJ23" s="101" t="n">
        <f aca="false">IFERROR(AJ21/(AJ9*AJ13),0)</f>
        <v>37.9166666666667</v>
      </c>
      <c r="AK23" s="101" t="n">
        <f aca="false">IFERROR(AK21/(AK9*AK13),0)</f>
        <v>37.9166666666667</v>
      </c>
      <c r="AL23" s="101" t="n">
        <f aca="false">IFERROR(AL21/(AL9*AL13),0)</f>
        <v>38.1538461538462</v>
      </c>
      <c r="AM23" s="101" t="n">
        <f aca="false">IFERROR(AM21/(AM9*AM13),0)</f>
        <v>38.1538461538462</v>
      </c>
      <c r="AN23" s="101" t="n">
        <f aca="false">IFERROR(AN21/(AN9*AN13),0)</f>
        <v>38.1538461538462</v>
      </c>
      <c r="AO23" s="101" t="n">
        <f aca="false">IFERROR(AO21/(AO9*AO13),0)</f>
        <v>38.1538461538462</v>
      </c>
      <c r="AP23" s="101" t="n">
        <f aca="false">IFERROR(AP21/(AP9*AP13),0)</f>
        <v>38.1538461538462</v>
      </c>
      <c r="AQ23" s="101" t="n">
        <f aca="false">IFERROR(AQ21/(AQ9*AQ13),0)</f>
        <v>38.1538461538462</v>
      </c>
      <c r="AR23" s="101" t="n">
        <f aca="false">IFERROR(AR21/(AR9*AR13),0)</f>
        <v>38.1538461538462</v>
      </c>
      <c r="AS23" s="101" t="n">
        <f aca="false">IFERROR(AS21/(AS9*AS13),0)</f>
        <v>38.1538461538462</v>
      </c>
      <c r="AT23" s="101" t="n">
        <f aca="false">IFERROR(AT21/(AT9*AT13),0)</f>
        <v>38.1538461538462</v>
      </c>
      <c r="AU23" s="101" t="n">
        <f aca="false">IFERROR(AU21/(AU9*AU13),0)</f>
        <v>38.1538461538462</v>
      </c>
      <c r="AV23" s="101" t="n">
        <f aca="false">IFERROR(AV21/(AV9*AV13),0)</f>
        <v>38.1538461538462</v>
      </c>
      <c r="AW23" s="101" t="n">
        <f aca="false">IFERROR(AW21/(AW9*AW13),0)</f>
        <v>38.1538461538462</v>
      </c>
      <c r="AX23" s="101" t="n">
        <f aca="false">IFERROR(AX21/(AX9*AX13),0)</f>
        <v>38.5714285714286</v>
      </c>
      <c r="AY23" s="101" t="n">
        <f aca="false">IFERROR(AY21/(AY9*AY13),0)</f>
        <v>38.5714285714286</v>
      </c>
      <c r="AZ23" s="101" t="n">
        <f aca="false">IFERROR(AZ21/(AZ9*AZ13),0)</f>
        <v>38.5714285714286</v>
      </c>
      <c r="BA23" s="101" t="n">
        <f aca="false">IFERROR(BA21/(BA9*BA13),0)</f>
        <v>38.5714285714286</v>
      </c>
      <c r="BB23" s="101" t="n">
        <f aca="false">IFERROR(BB21/(BB9*BB13),0)</f>
        <v>38.5714285714286</v>
      </c>
      <c r="BC23" s="101" t="n">
        <f aca="false">IFERROR(BC21/(BC9*BC13),0)</f>
        <v>38.5714285714286</v>
      </c>
      <c r="BD23" s="101" t="n">
        <f aca="false">IFERROR(BD21/(BD9*BD13),0)</f>
        <v>38.5714285714286</v>
      </c>
      <c r="BE23" s="101" t="n">
        <f aca="false">IFERROR(BE21/(BE9*BE13),0)</f>
        <v>38.5714285714286</v>
      </c>
      <c r="BF23" s="101" t="n">
        <f aca="false">IFERROR(BF21/(BF9*BF13),0)</f>
        <v>38.5714285714286</v>
      </c>
      <c r="BG23" s="101" t="n">
        <f aca="false">IFERROR(BG21/(BG9*BG13),0)</f>
        <v>38.5714285714286</v>
      </c>
      <c r="BH23" s="101" t="n">
        <f aca="false">IFERROR(BH21/(BH9*BH13),0)</f>
        <v>38.5714285714286</v>
      </c>
      <c r="BI23" s="101" t="n">
        <f aca="false">IFERROR(BI21/(BI9*BI13),0)</f>
        <v>38.5714285714286</v>
      </c>
      <c r="BK23" s="14" t="s">
        <v>326</v>
      </c>
    </row>
    <row r="24" customFormat="false" ht="15" hidden="false" customHeight="false" outlineLevel="0" collapsed="false">
      <c r="A24" s="12" t="s">
        <v>327</v>
      </c>
      <c r="B24" s="99" t="n">
        <f aca="false">IFERROR(CHOOSE(Premissas!$B$6,Cenários!B22,Cenários!B66,Cenários!B110)/B14,0)</f>
        <v>0</v>
      </c>
      <c r="C24" s="99" t="n">
        <f aca="false">IFERROR(CHOOSE(Premissas!$B$6,Cenários!C22,Cenários!C66,Cenários!C110)/C14,0)</f>
        <v>0</v>
      </c>
      <c r="D24" s="99" t="n">
        <f aca="false">IFERROR(CHOOSE(Premissas!$B$6,Cenários!D22,Cenários!D66,Cenários!D110)/D14,0)</f>
        <v>0</v>
      </c>
      <c r="E24" s="99" t="n">
        <f aca="false">IFERROR(CHOOSE(Premissas!$B$6,Cenários!E22,Cenários!E66,Cenários!E110)/E14,0)</f>
        <v>0</v>
      </c>
      <c r="F24" s="99" t="n">
        <f aca="false">IFERROR(CHOOSE(Premissas!$B$6,Cenários!F22,Cenários!F66,Cenários!F110)/F14,0)</f>
        <v>0</v>
      </c>
      <c r="G24" s="99" t="n">
        <f aca="false">IFERROR(CHOOSE(Premissas!$B$6,Cenários!G22,Cenários!G66,Cenários!G110)/G14,0)</f>
        <v>0</v>
      </c>
      <c r="H24" s="99" t="n">
        <f aca="false">IFERROR(CHOOSE(Premissas!$B$6,Cenários!H22,Cenários!H66,Cenários!H110)/H14,0)</f>
        <v>0</v>
      </c>
      <c r="I24" s="99" t="n">
        <f aca="false">IFERROR(CHOOSE(Premissas!$B$6,Cenários!I22,Cenários!I66,Cenários!I110)/I14,0)</f>
        <v>0</v>
      </c>
      <c r="J24" s="99" t="n">
        <f aca="false">IFERROR(CHOOSE(Premissas!$B$6,Cenários!J22,Cenários!J66,Cenários!J110)/J14,0)</f>
        <v>0</v>
      </c>
      <c r="K24" s="99" t="n">
        <f aca="false">IFERROR(CHOOSE(Premissas!$B$6,Cenários!K22,Cenários!K66,Cenários!K110)/K14,0)</f>
        <v>26.8834254143646</v>
      </c>
      <c r="L24" s="99" t="n">
        <f aca="false">IFERROR(CHOOSE(Premissas!$B$6,Cenários!L22,Cenários!L66,Cenários!L110)/L14,0)</f>
        <v>26.8735327963176</v>
      </c>
      <c r="M24" s="99" t="n">
        <f aca="false">IFERROR(CHOOSE(Premissas!$B$6,Cenários!M22,Cenários!M66,Cenários!M110)/M14,0)</f>
        <v>26.8968051118211</v>
      </c>
      <c r="N24" s="99" t="n">
        <f aca="false">IFERROR(CHOOSE(Premissas!$B$6,Cenários!N22,Cenários!N66,Cenários!N110)/N14,0)</f>
        <v>29.1510496406707</v>
      </c>
      <c r="O24" s="99" t="n">
        <f aca="false">IFERROR(CHOOSE(Premissas!$B$6,Cenários!O22,Cenários!O66,Cenários!O110)/O14,0)</f>
        <v>29.1537159624413</v>
      </c>
      <c r="P24" s="99" t="n">
        <f aca="false">IFERROR(CHOOSE(Premissas!$B$6,Cenários!P22,Cenários!P66,Cenários!P110)/P14,0)</f>
        <v>29.1494682539682</v>
      </c>
      <c r="Q24" s="99" t="n">
        <f aca="false">IFERROR(CHOOSE(Premissas!$B$6,Cenários!Q22,Cenários!Q66,Cenários!Q110)/Q14,0)</f>
        <v>29.1614356263806</v>
      </c>
      <c r="R24" s="99" t="n">
        <f aca="false">IFERROR(CHOOSE(Premissas!$B$6,Cenários!R22,Cenários!R66,Cenários!R110)/R14,0)</f>
        <v>29.1519541213064</v>
      </c>
      <c r="S24" s="99" t="n">
        <f aca="false">IFERROR(CHOOSE(Premissas!$B$6,Cenários!S22,Cenários!S66,Cenários!S110)/S14,0)</f>
        <v>29.154960853863</v>
      </c>
      <c r="T24" s="99" t="n">
        <f aca="false">IFERROR(CHOOSE(Premissas!$B$6,Cenários!T22,Cenários!T66,Cenários!T110)/T14,0)</f>
        <v>29.1569962414986</v>
      </c>
      <c r="U24" s="99" t="n">
        <f aca="false">IFERROR(CHOOSE(Premissas!$B$6,Cenários!U22,Cenários!U66,Cenários!U110)/U14,0)</f>
        <v>29.1513022762776</v>
      </c>
      <c r="V24" s="99" t="n">
        <f aca="false">IFERROR(CHOOSE(Premissas!$B$6,Cenários!V22,Cenários!V66,Cenários!V110)/V14,0)</f>
        <v>29.1555</v>
      </c>
      <c r="W24" s="99" t="n">
        <f aca="false">IFERROR(CHOOSE(Premissas!$B$6,Cenários!W22,Cenários!W66,Cenários!W110)/W14,0)</f>
        <v>29.150901080216</v>
      </c>
      <c r="X24" s="99" t="n">
        <f aca="false">IFERROR(CHOOSE(Premissas!$B$6,Cenários!X22,Cenários!X66,Cenários!X110)/X14,0)</f>
        <v>29.1531018359151</v>
      </c>
      <c r="Y24" s="99" t="n">
        <f aca="false">IFERROR(CHOOSE(Premissas!$B$6,Cenários!Y22,Cenários!Y66,Cenários!Y110)/Y14,0)</f>
        <v>29.1601085997795</v>
      </c>
      <c r="Z24" s="99" t="n">
        <f aca="false">IFERROR(CHOOSE(Premissas!$B$6,Cenários!Z22,Cenários!Z66,Cenários!Z110)/Z14,0)</f>
        <v>32.2128938833503</v>
      </c>
      <c r="AA24" s="99" t="n">
        <f aca="false">IFERROR(CHOOSE(Premissas!$B$6,Cenários!AA22,Cenários!AA66,Cenários!AA110)/AA14,0)</f>
        <v>32.2169949160207</v>
      </c>
      <c r="AB24" s="99" t="n">
        <f aca="false">IFERROR(CHOOSE(Premissas!$B$6,Cenários!AB22,Cenários!AB66,Cenários!AB110)/AB14,0)</f>
        <v>32.2159128193729</v>
      </c>
      <c r="AC24" s="99" t="n">
        <f aca="false">IFERROR(CHOOSE(Premissas!$B$6,Cenários!AC22,Cenários!AC66,Cenários!AC110)/AC14,0)</f>
        <v>32.2147375</v>
      </c>
      <c r="AD24" s="99" t="n">
        <f aca="false">IFERROR(CHOOSE(Premissas!$B$6,Cenários!AD22,Cenários!AD66,Cenários!AD110)/AD14,0)</f>
        <v>32.2125095462046</v>
      </c>
      <c r="AE24" s="99" t="n">
        <f aca="false">IFERROR(CHOOSE(Premissas!$B$6,Cenários!AE22,Cenários!AE66,Cenários!AE110)/AE14,0)</f>
        <v>32.2126455373744</v>
      </c>
      <c r="AF24" s="99" t="n">
        <f aca="false">IFERROR(CHOOSE(Premissas!$B$6,Cenários!AF22,Cenários!AF66,Cenários!AF110)/AF14,0)</f>
        <v>32.2134177736926</v>
      </c>
      <c r="AG24" s="99" t="n">
        <f aca="false">IFERROR(CHOOSE(Premissas!$B$6,Cenários!AG22,Cenários!AG66,Cenários!AG110)/AG14,0)</f>
        <v>32.2157726385891</v>
      </c>
      <c r="AH24" s="99" t="n">
        <f aca="false">IFERROR(CHOOSE(Premissas!$B$6,Cenários!AH22,Cenários!AH66,Cenários!AH110)/AH14,0)</f>
        <v>32.2165430120152</v>
      </c>
      <c r="AI24" s="99" t="n">
        <f aca="false">IFERROR(CHOOSE(Premissas!$B$6,Cenários!AI22,Cenários!AI66,Cenários!AI110)/AI14,0)</f>
        <v>32.2147375</v>
      </c>
      <c r="AJ24" s="99" t="n">
        <f aca="false">IFERROR(CHOOSE(Premissas!$B$6,Cenários!AJ22,Cenários!AJ66,Cenários!AJ110)/AJ14,0)</f>
        <v>32.2139808057166</v>
      </c>
      <c r="AK24" s="99" t="n">
        <f aca="false">IFERROR(CHOOSE(Premissas!$B$6,Cenários!AK22,Cenários!AK66,Cenários!AK110)/AK14,0)</f>
        <v>32.2154709377281</v>
      </c>
      <c r="AL24" s="99" t="n">
        <f aca="false">IFERROR(CHOOSE(Premissas!$B$6,Cenários!AL22,Cenários!AL66,Cenários!AL110)/AL14,0)</f>
        <v>35.4906621982217</v>
      </c>
      <c r="AM24" s="99" t="n">
        <f aca="false">IFERROR(CHOOSE(Premissas!$B$6,Cenários!AM22,Cenários!AM66,Cenários!AM110)/AM14,0)</f>
        <v>35.4902664875</v>
      </c>
      <c r="AN24" s="99" t="n">
        <f aca="false">IFERROR(CHOOSE(Premissas!$B$6,Cenários!AN22,Cenários!AN66,Cenários!AN110)/AN14,0)</f>
        <v>35.4902911340511</v>
      </c>
      <c r="AO24" s="99" t="n">
        <f aca="false">IFERROR(CHOOSE(Premissas!$B$6,Cenários!AO22,Cenários!AO66,Cenários!AO110)/AO14,0)</f>
        <v>35.48966072353</v>
      </c>
      <c r="AP24" s="99" t="n">
        <f aca="false">IFERROR(CHOOSE(Premissas!$B$6,Cenários!AP22,Cenários!AP66,Cenários!AP110)/AP14,0)</f>
        <v>35.4893133684406</v>
      </c>
      <c r="AQ24" s="99" t="n">
        <f aca="false">IFERROR(CHOOSE(Premissas!$B$6,Cenários!AQ22,Cenários!AQ66,Cenários!AQ110)/AQ14,0)</f>
        <v>35.4902452855933</v>
      </c>
      <c r="AR24" s="99" t="n">
        <f aca="false">IFERROR(CHOOSE(Premissas!$B$6,Cenários!AR22,Cenários!AR66,Cenários!AR110)/AR14,0)</f>
        <v>35.4901849956431</v>
      </c>
      <c r="AS24" s="99" t="n">
        <f aca="false">IFERROR(CHOOSE(Premissas!$B$6,Cenários!AS22,Cenários!AS66,Cenários!AS110)/AS14,0)</f>
        <v>35.4903254523359</v>
      </c>
      <c r="AT24" s="99" t="n">
        <f aca="false">IFERROR(CHOOSE(Premissas!$B$6,Cenários!AT22,Cenários!AT66,Cenários!AT110)/AT14,0)</f>
        <v>35.4892009329365</v>
      </c>
      <c r="AU24" s="99" t="n">
        <f aca="false">IFERROR(CHOOSE(Premissas!$B$6,Cenários!AU22,Cenários!AU66,Cenários!AU110)/AU14,0)</f>
        <v>35.4904512543286</v>
      </c>
      <c r="AV24" s="99" t="n">
        <f aca="false">IFERROR(CHOOSE(Premissas!$B$6,Cenários!AV22,Cenários!AV66,Cenários!AV110)/AV14,0)</f>
        <v>35.4905183360212</v>
      </c>
      <c r="AW24" s="99" t="n">
        <f aca="false">IFERROR(CHOOSE(Premissas!$B$6,Cenários!AW22,Cenários!AW66,Cenários!AW110)/AW14,0)</f>
        <v>35.4902664875</v>
      </c>
      <c r="AX24" s="99" t="n">
        <f aca="false">IFERROR(CHOOSE(Premissas!$B$6,Cenários!AX22,Cenários!AX66,Cenários!AX110)/AX14,0)</f>
        <v>38.9955191469783</v>
      </c>
      <c r="AY24" s="99" t="n">
        <f aca="false">IFERROR(CHOOSE(Premissas!$B$6,Cenários!AY22,Cenários!AY66,Cenários!AY110)/AY14,0)</f>
        <v>38.9955570508868</v>
      </c>
      <c r="AZ24" s="99" t="n">
        <f aca="false">IFERROR(CHOOSE(Premissas!$B$6,Cenários!AZ22,Cenários!AZ66,Cenários!AZ110)/AZ14,0)</f>
        <v>38.9955043600394</v>
      </c>
      <c r="BA24" s="99" t="n">
        <f aca="false">IFERROR(CHOOSE(Premissas!$B$6,Cenários!BA22,Cenários!BA66,Cenários!BA110)/BA14,0)</f>
        <v>38.995680817578</v>
      </c>
      <c r="BB24" s="99" t="n">
        <f aca="false">IFERROR(CHOOSE(Premissas!$B$6,Cenários!BB22,Cenários!BB66,Cenários!BB110)/BB14,0)</f>
        <v>38.9952771523486</v>
      </c>
      <c r="BC24" s="99" t="n">
        <f aca="false">IFERROR(CHOOSE(Premissas!$B$6,Cenários!BC22,Cenários!BC66,Cenários!BC110)/BC14,0)</f>
        <v>38.9956195964763</v>
      </c>
      <c r="BD24" s="99" t="n">
        <f aca="false">IFERROR(CHOOSE(Premissas!$B$6,Cenários!BD22,Cenários!BD66,Cenários!BD110)/BD14,0)</f>
        <v>38.9953582404375</v>
      </c>
      <c r="BE24" s="99" t="n">
        <f aca="false">IFERROR(CHOOSE(Premissas!$B$6,Cenários!BE22,Cenários!BE66,Cenários!BE110)/BE14,0)</f>
        <v>38.995432186481</v>
      </c>
      <c r="BF24" s="99" t="n">
        <f aca="false">IFERROR(CHOOSE(Premissas!$B$6,Cenários!BF22,Cenários!BF66,Cenários!BF110)/BF14,0)</f>
        <v>38.9956705831843</v>
      </c>
      <c r="BG24" s="99" t="n">
        <f aca="false">IFERROR(CHOOSE(Premissas!$B$6,Cenários!BG22,Cenários!BG66,Cenários!BG110)/BG14,0)</f>
        <v>38.9955459947529</v>
      </c>
      <c r="BH24" s="99" t="n">
        <f aca="false">IFERROR(CHOOSE(Premissas!$B$6,Cenários!BH22,Cenários!BH66,Cenários!BH110)/BH14,0)</f>
        <v>38.9949448045128</v>
      </c>
      <c r="BI24" s="99" t="n">
        <f aca="false">IFERROR(CHOOSE(Premissas!$B$6,Cenários!BI22,Cenários!BI66,Cenários!BI110)/BI14,0)</f>
        <v>38.9957297722483</v>
      </c>
    </row>
    <row r="25" customFormat="false" ht="15" hidden="false" customHeight="false" outlineLevel="0" collapsed="false">
      <c r="A25" s="12" t="s">
        <v>328</v>
      </c>
      <c r="B25" s="99" t="n">
        <f aca="false">IFERROR(CHOOSE(Premissas!$B$6,Cenários!B25,Cenários!B69,Cenários!B113)/B12,0)</f>
        <v>0</v>
      </c>
      <c r="C25" s="99" t="n">
        <f aca="false">IFERROR(CHOOSE(Premissas!$B$6,Cenários!C25,Cenários!C69,Cenários!C113)/C12,0)</f>
        <v>0</v>
      </c>
      <c r="D25" s="99" t="n">
        <f aca="false">IFERROR(CHOOSE(Premissas!$B$6,Cenários!D25,Cenários!D69,Cenários!D113)/D12,0)</f>
        <v>0</v>
      </c>
      <c r="E25" s="99" t="n">
        <f aca="false">IFERROR(CHOOSE(Premissas!$B$6,Cenários!E25,Cenários!E69,Cenários!E113)/E12,0)</f>
        <v>0</v>
      </c>
      <c r="F25" s="99" t="n">
        <f aca="false">IFERROR(CHOOSE(Premissas!$B$6,Cenários!F25,Cenários!F69,Cenários!F113)/F12,0)</f>
        <v>0</v>
      </c>
      <c r="G25" s="99" t="n">
        <f aca="false">IFERROR(CHOOSE(Premissas!$B$6,Cenários!G25,Cenários!G69,Cenários!G113)/G12,0)</f>
        <v>0</v>
      </c>
      <c r="H25" s="99" t="n">
        <f aca="false">IFERROR(CHOOSE(Premissas!$B$6,Cenários!H25,Cenários!H69,Cenários!H113)/H12,0)</f>
        <v>0</v>
      </c>
      <c r="I25" s="99" t="n">
        <f aca="false">IFERROR(CHOOSE(Premissas!$B$6,Cenários!I25,Cenários!I69,Cenários!I113)/I12,0)</f>
        <v>0</v>
      </c>
      <c r="J25" s="99" t="n">
        <f aca="false">IFERROR(CHOOSE(Premissas!$B$6,Cenários!J25,Cenários!J69,Cenários!J113)/J12,0)</f>
        <v>0</v>
      </c>
      <c r="K25" s="99" t="n">
        <f aca="false">IFERROR(CHOOSE(Premissas!$B$6,Cenários!K25,Cenários!K69,Cenários!K113)/K12,0)</f>
        <v>1.34417127071823</v>
      </c>
      <c r="L25" s="99" t="n">
        <f aca="false">IFERROR(CHOOSE(Premissas!$B$6,Cenários!L25,Cenários!L69,Cenários!L113)/L12,0)</f>
        <v>1.34398595764273</v>
      </c>
      <c r="M25" s="99" t="n">
        <f aca="false">IFERROR(CHOOSE(Premissas!$B$6,Cenários!M25,Cenários!M69,Cenários!M113)/M12,0)</f>
        <v>1.34505941862732</v>
      </c>
      <c r="N25" s="99" t="n">
        <f aca="false">IFERROR(CHOOSE(Premissas!$B$6,Cenários!N25,Cenários!N69,Cenários!N113)/N12,0)</f>
        <v>1.6556349739884</v>
      </c>
      <c r="O25" s="99" t="n">
        <f aca="false">IFERROR(CHOOSE(Premissas!$B$6,Cenários!O25,Cenários!O69,Cenários!O113)/O12,0)</f>
        <v>1.65609143418386</v>
      </c>
      <c r="P25" s="99" t="n">
        <f aca="false">IFERROR(CHOOSE(Premissas!$B$6,Cenários!P25,Cenários!P69,Cenários!P113)/P12,0)</f>
        <v>1.65566883797762</v>
      </c>
      <c r="Q25" s="99" t="n">
        <f aca="false">IFERROR(CHOOSE(Premissas!$B$6,Cenários!Q25,Cenários!Q69,Cenários!Q113)/Q12,0)</f>
        <v>1.65628632843256</v>
      </c>
      <c r="R25" s="99" t="n">
        <f aca="false">IFERROR(CHOOSE(Premissas!$B$6,Cenários!R25,Cenários!R69,Cenários!R113)/R12,0)</f>
        <v>1.65586005791336</v>
      </c>
      <c r="S25" s="99" t="n">
        <f aca="false">IFERROR(CHOOSE(Premissas!$B$6,Cenários!S25,Cenários!S69,Cenários!S113)/S12,0)</f>
        <v>1.6561232741087</v>
      </c>
      <c r="T25" s="99" t="n">
        <f aca="false">IFERROR(CHOOSE(Premissas!$B$6,Cenários!T25,Cenários!T69,Cenários!T113)/T12,0)</f>
        <v>1.65612027398862</v>
      </c>
      <c r="U25" s="99" t="n">
        <f aca="false">IFERROR(CHOOSE(Premissas!$B$6,Cenários!U25,Cenários!U69,Cenários!U113)/U12,0)</f>
        <v>1.65573303932185</v>
      </c>
      <c r="V25" s="99" t="n">
        <f aca="false">IFERROR(CHOOSE(Premissas!$B$6,Cenários!V25,Cenários!V69,Cenários!V113)/V12,0)</f>
        <v>1.65600050410107</v>
      </c>
      <c r="W25" s="99" t="n">
        <f aca="false">IFERROR(CHOOSE(Premissas!$B$6,Cenários!W25,Cenários!W69,Cenários!W113)/W12,0)</f>
        <v>1.65583404635858</v>
      </c>
      <c r="X25" s="99" t="n">
        <f aca="false">IFERROR(CHOOSE(Premissas!$B$6,Cenários!X25,Cenários!X69,Cenários!X113)/X12,0)</f>
        <v>1.65592810192682</v>
      </c>
      <c r="Y25" s="99" t="n">
        <f aca="false">IFERROR(CHOOSE(Premissas!$B$6,Cenários!Y25,Cenários!Y69,Cenários!Y113)/Y12,0)</f>
        <v>1.65636421754791</v>
      </c>
      <c r="Z25" s="99" t="n">
        <f aca="false">IFERROR(CHOOSE(Premissas!$B$6,Cenários!Z25,Cenários!Z69,Cenários!Z113)/Z12,0)</f>
        <v>2.02028604883832</v>
      </c>
      <c r="AA25" s="99" t="n">
        <f aca="false">IFERROR(CHOOSE(Premissas!$B$6,Cenários!AA25,Cenários!AA69,Cenários!AA113)/AA12,0)</f>
        <v>2.0205224542123</v>
      </c>
      <c r="AB25" s="99" t="n">
        <f aca="false">IFERROR(CHOOSE(Premissas!$B$6,Cenários!AB25,Cenários!AB69,Cenários!AB113)/AB12,0)</f>
        <v>2.0204118676803</v>
      </c>
      <c r="AC25" s="99" t="n">
        <f aca="false">IFERROR(CHOOSE(Premissas!$B$6,Cenários!AC25,Cenários!AC69,Cenários!AC113)/AC12,0)</f>
        <v>2.02042240041588</v>
      </c>
      <c r="AD25" s="99" t="n">
        <f aca="false">IFERROR(CHOOSE(Premissas!$B$6,Cenários!AD25,Cenários!AD69,Cenários!AD113)/AD12,0)</f>
        <v>2.02028356999677</v>
      </c>
      <c r="AE25" s="99" t="n">
        <f aca="false">IFERROR(CHOOSE(Premissas!$B$6,Cenários!AE25,Cenários!AE69,Cenários!AE113)/AE12,0)</f>
        <v>2.02027484153683</v>
      </c>
      <c r="AF25" s="99" t="n">
        <f aca="false">IFERROR(CHOOSE(Premissas!$B$6,Cenários!AF25,Cenários!AF69,Cenários!AF113)/AF12,0)</f>
        <v>2.02030722092386</v>
      </c>
      <c r="AG25" s="99" t="n">
        <f aca="false">IFERROR(CHOOSE(Premissas!$B$6,Cenários!AG25,Cenários!AG69,Cenários!AG113)/AG12,0)</f>
        <v>2.0204065511537</v>
      </c>
      <c r="AH25" s="99" t="n">
        <f aca="false">IFERROR(CHOOSE(Premissas!$B$6,Cenários!AH25,Cenários!AH69,Cenários!AH113)/AH12,0)</f>
        <v>2.02047044435236</v>
      </c>
      <c r="AI25" s="99" t="n">
        <f aca="false">IFERROR(CHOOSE(Premissas!$B$6,Cenários!AI25,Cenários!AI69,Cenários!AI113)/AI12,0)</f>
        <v>2.02039383392611</v>
      </c>
      <c r="AJ25" s="99" t="n">
        <f aca="false">IFERROR(CHOOSE(Premissas!$B$6,Cenários!AJ25,Cenários!AJ69,Cenários!AJ113)/AJ12,0)</f>
        <v>2.02031106361918</v>
      </c>
      <c r="AK25" s="99" t="n">
        <f aca="false">IFERROR(CHOOSE(Premissas!$B$6,Cenários!AK25,Cenários!AK69,Cenários!AK113)/AK12,0)</f>
        <v>2.02045824258699</v>
      </c>
      <c r="AL25" s="99" t="n">
        <f aca="false">IFERROR(CHOOSE(Premissas!$B$6,Cenários!AL25,Cenários!AL69,Cenários!AL113)/AL12,0)</f>
        <v>2.44686200917073</v>
      </c>
      <c r="AM25" s="99" t="n">
        <f aca="false">IFERROR(CHOOSE(Premissas!$B$6,Cenários!AM25,Cenários!AM69,Cenários!AM113)/AM12,0)</f>
        <v>2.44686922904083</v>
      </c>
      <c r="AN25" s="99" t="n">
        <f aca="false">IFERROR(CHOOSE(Premissas!$B$6,Cenários!AN25,Cenários!AN69,Cenários!AN113)/AN12,0)</f>
        <v>2.44685502717045</v>
      </c>
      <c r="AO25" s="99" t="n">
        <f aca="false">IFERROR(CHOOSE(Premissas!$B$6,Cenários!AO25,Cenários!AO69,Cenários!AO113)/AO12,0)</f>
        <v>2.44685481449758</v>
      </c>
      <c r="AP25" s="99" t="n">
        <f aca="false">IFERROR(CHOOSE(Premissas!$B$6,Cenários!AP25,Cenários!AP69,Cenários!AP113)/AP12,0)</f>
        <v>2.44682702771395</v>
      </c>
      <c r="AQ25" s="99" t="n">
        <f aca="false">IFERROR(CHOOSE(Premissas!$B$6,Cenários!AQ25,Cenários!AQ69,Cenários!AQ113)/AQ12,0)</f>
        <v>2.44684004422926</v>
      </c>
      <c r="AR25" s="99" t="n">
        <f aca="false">IFERROR(CHOOSE(Premissas!$B$6,Cenários!AR25,Cenários!AR69,Cenários!AR113)/AR12,0)</f>
        <v>2.44688174121351</v>
      </c>
      <c r="AS25" s="99" t="n">
        <f aca="false">IFERROR(CHOOSE(Premissas!$B$6,Cenários!AS25,Cenários!AS69,Cenários!AS113)/AS12,0)</f>
        <v>2.4468747848185</v>
      </c>
      <c r="AT25" s="99" t="n">
        <f aca="false">IFERROR(CHOOSE(Premissas!$B$6,Cenários!AT25,Cenários!AT69,Cenários!AT113)/AT12,0)</f>
        <v>2.44680711621016</v>
      </c>
      <c r="AU25" s="99" t="n">
        <f aca="false">IFERROR(CHOOSE(Premissas!$B$6,Cenários!AU25,Cenários!AU69,Cenários!AU113)/AU12,0)</f>
        <v>2.44687051225532</v>
      </c>
      <c r="AV25" s="99" t="n">
        <f aca="false">IFERROR(CHOOSE(Premissas!$B$6,Cenários!AV25,Cenários!AV69,Cenários!AV113)/AV12,0)</f>
        <v>2.44690521041824</v>
      </c>
      <c r="AW25" s="99" t="n">
        <f aca="false">IFERROR(CHOOSE(Premissas!$B$6,Cenários!AW25,Cenários!AW69,Cenários!AW113)/AW12,0)</f>
        <v>2.4468729829182</v>
      </c>
      <c r="AX25" s="99" t="n">
        <f aca="false">IFERROR(CHOOSE(Premissas!$B$6,Cenários!AX25,Cenários!AX69,Cenários!AX113)/AX12,0)</f>
        <v>2.90469228780002</v>
      </c>
      <c r="AY25" s="99" t="n">
        <f aca="false">IFERROR(CHOOSE(Premissas!$B$6,Cenários!AY25,Cenários!AY69,Cenários!AY113)/AY12,0)</f>
        <v>2.90466805268982</v>
      </c>
      <c r="AZ25" s="99" t="n">
        <f aca="false">IFERROR(CHOOSE(Premissas!$B$6,Cenários!AZ25,Cenários!AZ69,Cenários!AZ113)/AZ12,0)</f>
        <v>2.90470496148209</v>
      </c>
      <c r="BA25" s="99" t="n">
        <f aca="false">IFERROR(CHOOSE(Premissas!$B$6,Cenários!BA25,Cenários!BA69,Cenários!BA113)/BA12,0)</f>
        <v>2.90469131422598</v>
      </c>
      <c r="BB25" s="99" t="n">
        <f aca="false">IFERROR(CHOOSE(Premissas!$B$6,Cenários!BB25,Cenários!BB69,Cenários!BB113)/BB12,0)</f>
        <v>2.90467602930801</v>
      </c>
      <c r="BC25" s="99" t="n">
        <f aca="false">IFERROR(CHOOSE(Premissas!$B$6,Cenários!BC25,Cenários!BC69,Cenários!BC113)/BC12,0)</f>
        <v>2.90467920588753</v>
      </c>
      <c r="BD25" s="99" t="n">
        <f aca="false">IFERROR(CHOOSE(Premissas!$B$6,Cenários!BD25,Cenários!BD69,Cenários!BD113)/BD12,0)</f>
        <v>2.9046730413051</v>
      </c>
      <c r="BE25" s="99" t="n">
        <f aca="false">IFERROR(CHOOSE(Premissas!$B$6,Cenários!BE25,Cenários!BE69,Cenários!BE113)/BE12,0)</f>
        <v>2.90469602403724</v>
      </c>
      <c r="BF25" s="99" t="n">
        <f aca="false">IFERROR(CHOOSE(Premissas!$B$6,Cenários!BF25,Cenários!BF69,Cenários!BF113)/BF12,0)</f>
        <v>2.90469557968946</v>
      </c>
      <c r="BG25" s="99" t="n">
        <f aca="false">IFERROR(CHOOSE(Premissas!$B$6,Cenários!BG25,Cenários!BG69,Cenários!BG113)/BG12,0)</f>
        <v>2.9046815977062</v>
      </c>
      <c r="BH25" s="99" t="n">
        <f aca="false">IFERROR(CHOOSE(Premissas!$B$6,Cenários!BH25,Cenários!BH69,Cenários!BH113)/BH12,0)</f>
        <v>2.90463807303439</v>
      </c>
      <c r="BI25" s="99" t="n">
        <f aca="false">IFERROR(CHOOSE(Premissas!$B$6,Cenários!BI25,Cenários!BI69,Cenários!BI113)/BI12,0)</f>
        <v>2.90470202900951</v>
      </c>
    </row>
    <row r="26" customFormat="false" ht="15" hidden="false" customHeight="false" outlineLevel="0" collapsed="false">
      <c r="A26" s="12" t="s">
        <v>329</v>
      </c>
      <c r="B26" s="99" t="n">
        <f aca="false">IFERROR((CHOOSE(Premissas!$B$6,Cenários!B31,Cenários!B75,Cenários!B119)+CHOOSE(Premissas!$B$6,Cenários!B32,Cenários!B76,Cenários!B120)+CHOOSE(Premissas!$B$6,Cenários!B33,Cenários!B77,Cenários!B121))/B14,0)</f>
        <v>0</v>
      </c>
      <c r="C26" s="99" t="n">
        <f aca="false">IFERROR((CHOOSE(Premissas!$B$6,Cenários!C31,Cenários!C75,Cenários!C119)+CHOOSE(Premissas!$B$6,Cenários!C32,Cenários!C76,Cenários!C120)+CHOOSE(Premissas!$B$6,Cenários!C33,Cenários!C77,Cenários!C121))/C14,0)</f>
        <v>0</v>
      </c>
      <c r="D26" s="99" t="n">
        <f aca="false">IFERROR((CHOOSE(Premissas!$B$6,Cenários!D31,Cenários!D75,Cenários!D119)+CHOOSE(Premissas!$B$6,Cenários!D32,Cenários!D76,Cenários!D120)+CHOOSE(Premissas!$B$6,Cenários!D33,Cenários!D77,Cenários!D121))/D14,0)</f>
        <v>0</v>
      </c>
      <c r="E26" s="99" t="n">
        <f aca="false">IFERROR((CHOOSE(Premissas!$B$6,Cenários!E31,Cenários!E75,Cenários!E119)+CHOOSE(Premissas!$B$6,Cenários!E32,Cenários!E76,Cenários!E120)+CHOOSE(Premissas!$B$6,Cenários!E33,Cenários!E77,Cenários!E121))/E14,0)</f>
        <v>0</v>
      </c>
      <c r="F26" s="99" t="n">
        <f aca="false">IFERROR((CHOOSE(Premissas!$B$6,Cenários!F31,Cenários!F75,Cenários!F119)+CHOOSE(Premissas!$B$6,Cenários!F32,Cenários!F76,Cenários!F120)+CHOOSE(Premissas!$B$6,Cenários!F33,Cenários!F77,Cenários!F121))/F14,0)</f>
        <v>0</v>
      </c>
      <c r="G26" s="99" t="n">
        <f aca="false">IFERROR((CHOOSE(Premissas!$B$6,Cenários!G31,Cenários!G75,Cenários!G119)+CHOOSE(Premissas!$B$6,Cenários!G32,Cenários!G76,Cenários!G120)+CHOOSE(Premissas!$B$6,Cenários!G33,Cenários!G77,Cenários!G121))/G14,0)</f>
        <v>0</v>
      </c>
      <c r="H26" s="99" t="n">
        <f aca="false">IFERROR((CHOOSE(Premissas!$B$6,Cenários!H31,Cenários!H75,Cenários!H119)+CHOOSE(Premissas!$B$6,Cenários!H32,Cenários!H76,Cenários!H120)+CHOOSE(Premissas!$B$6,Cenários!H33,Cenários!H77,Cenários!H121))/H14,0)</f>
        <v>0</v>
      </c>
      <c r="I26" s="99" t="n">
        <f aca="false">IFERROR((CHOOSE(Premissas!$B$6,Cenários!I31,Cenários!I75,Cenários!I119)+CHOOSE(Premissas!$B$6,Cenários!I32,Cenários!I76,Cenários!I120)+CHOOSE(Premissas!$B$6,Cenários!I33,Cenários!I77,Cenários!I121))/I14,0)</f>
        <v>0</v>
      </c>
      <c r="J26" s="99" t="n">
        <f aca="false">IFERROR((CHOOSE(Premissas!$B$6,Cenários!J31,Cenários!J75,Cenários!J119)+CHOOSE(Premissas!$B$6,Cenários!J32,Cenários!J76,Cenários!J120)+CHOOSE(Premissas!$B$6,Cenários!J33,Cenários!J77,Cenários!J121))/J14,0)</f>
        <v>0</v>
      </c>
      <c r="K26" s="99" t="n">
        <f aca="false">IFERROR((CHOOSE(Premissas!$B$6,Cenários!K31,Cenários!K75,Cenários!K119)+CHOOSE(Premissas!$B$6,Cenários!K32,Cenários!K76,Cenários!K120)+CHOOSE(Premissas!$B$6,Cenários!K33,Cenários!K77,Cenários!K121))/K14,0)</f>
        <v>18.7683366022099</v>
      </c>
      <c r="L26" s="99" t="n">
        <f aca="false">IFERROR((CHOOSE(Premissas!$B$6,Cenários!L31,Cenários!L75,Cenários!L119)+CHOOSE(Premissas!$B$6,Cenários!L32,Cenários!L76,Cenários!L120)+CHOOSE(Premissas!$B$6,Cenários!L33,Cenários!L77,Cenários!L121))/L14,0)</f>
        <v>19.0782167146145</v>
      </c>
      <c r="M26" s="99" t="n">
        <f aca="false">IFERROR((CHOOSE(Premissas!$B$6,Cenários!M31,Cenários!M75,Cenários!M119)+CHOOSE(Premissas!$B$6,Cenários!M32,Cenários!M76,Cenários!M120)+CHOOSE(Premissas!$B$6,Cenários!M33,Cenários!M77,Cenários!M121))/M14,0)</f>
        <v>19.2025492811502</v>
      </c>
      <c r="N26" s="99" t="n">
        <f aca="false">IFERROR((CHOOSE(Premissas!$B$6,Cenários!N31,Cenários!N75,Cenários!N119)+CHOOSE(Premissas!$B$6,Cenários!N32,Cenários!N76,Cenários!N120)+CHOOSE(Premissas!$B$6,Cenários!N33,Cenários!N77,Cenários!N121))/N14,0)</f>
        <v>20.9883019634948</v>
      </c>
      <c r="O26" s="99" t="n">
        <f aca="false">IFERROR((CHOOSE(Premissas!$B$6,Cenários!O31,Cenários!O75,Cenários!O119)+CHOOSE(Premissas!$B$6,Cenários!O32,Cenários!O76,Cenários!O120)+CHOOSE(Premissas!$B$6,Cenários!O33,Cenários!O77,Cenários!O121))/O14,0)</f>
        <v>20.8355301745358</v>
      </c>
      <c r="P26" s="99" t="n">
        <f aca="false">IFERROR((CHOOSE(Premissas!$B$6,Cenários!P31,Cenários!P75,Cenários!P119)+CHOOSE(Premissas!$B$6,Cenários!P32,Cenários!P76,Cenários!P120)+CHOOSE(Premissas!$B$6,Cenários!P33,Cenários!P77,Cenários!P121))/P14,0)</f>
        <v>20.553732497495</v>
      </c>
      <c r="Q26" s="99" t="n">
        <f aca="false">IFERROR((CHOOSE(Premissas!$B$6,Cenários!Q31,Cenários!Q75,Cenários!Q119)+CHOOSE(Premissas!$B$6,Cenários!Q32,Cenários!Q76,Cenários!Q120)+CHOOSE(Premissas!$B$6,Cenários!Q33,Cenários!Q77,Cenários!Q121))/Q14,0)</f>
        <v>20.283693469757</v>
      </c>
      <c r="R26" s="99" t="n">
        <f aca="false">IFERROR((CHOOSE(Premissas!$B$6,Cenários!R31,Cenários!R75,Cenários!R119)+CHOOSE(Premissas!$B$6,Cenários!R32,Cenários!R76,Cenários!R120)+CHOOSE(Premissas!$B$6,Cenários!R33,Cenários!R77,Cenários!R121))/R14,0)</f>
        <v>20.09465144959</v>
      </c>
      <c r="S26" s="99" t="n">
        <f aca="false">IFERROR((CHOOSE(Premissas!$B$6,Cenários!S31,Cenários!S75,Cenários!S119)+CHOOSE(Premissas!$B$6,Cenários!S32,Cenários!S76,Cenários!S120)+CHOOSE(Premissas!$B$6,Cenários!S33,Cenários!S77,Cenários!S121))/S14,0)</f>
        <v>19.8489667043525</v>
      </c>
      <c r="T26" s="99" t="n">
        <f aca="false">IFERROR((CHOOSE(Premissas!$B$6,Cenários!T31,Cenários!T75,Cenários!T119)+CHOOSE(Premissas!$B$6,Cenários!T32,Cenários!T76,Cenários!T120)+CHOOSE(Premissas!$B$6,Cenários!T33,Cenários!T77,Cenários!T121))/T14,0)</f>
        <v>19.6863630680565</v>
      </c>
      <c r="U26" s="99" t="n">
        <f aca="false">IFERROR((CHOOSE(Premissas!$B$6,Cenários!U31,Cenários!U75,Cenários!U119)+CHOOSE(Premissas!$B$6,Cenários!U32,Cenários!U76,Cenários!U120)+CHOOSE(Premissas!$B$6,Cenários!U33,Cenários!U77,Cenários!U121))/U14,0)</f>
        <v>19.5685654539469</v>
      </c>
      <c r="V26" s="99" t="n">
        <f aca="false">IFERROR((CHOOSE(Premissas!$B$6,Cenários!V31,Cenários!V75,Cenários!V119)+CHOOSE(Premissas!$B$6,Cenários!V32,Cenários!V76,Cenários!V120)+CHOOSE(Premissas!$B$6,Cenários!V33,Cenários!V77,Cenários!V121))/V14,0)</f>
        <v>19.490158598366</v>
      </c>
      <c r="W26" s="99" t="n">
        <f aca="false">IFERROR((CHOOSE(Premissas!$B$6,Cenários!W31,Cenários!W75,Cenários!W119)+CHOOSE(Premissas!$B$6,Cenários!W32,Cenários!W76,Cenários!W120)+CHOOSE(Premissas!$B$6,Cenários!W33,Cenários!W77,Cenários!W121))/W14,0)</f>
        <v>19.272678834523</v>
      </c>
      <c r="X26" s="99" t="n">
        <f aca="false">IFERROR((CHOOSE(Premissas!$B$6,Cenários!X31,Cenários!X75,Cenários!X119)+CHOOSE(Premissas!$B$6,Cenários!X32,Cenários!X76,Cenários!X120)+CHOOSE(Premissas!$B$6,Cenários!X33,Cenários!X77,Cenários!X121))/X14,0)</f>
        <v>19.0696988051198</v>
      </c>
      <c r="Y26" s="99" t="n">
        <f aca="false">IFERROR((CHOOSE(Premissas!$B$6,Cenários!Y31,Cenários!Y75,Cenários!Y119)+CHOOSE(Premissas!$B$6,Cenários!Y32,Cenários!Y76,Cenários!Y120)+CHOOSE(Premissas!$B$6,Cenários!Y33,Cenários!Y77,Cenários!Y121))/Y14,0)</f>
        <v>18.9208849136458</v>
      </c>
      <c r="Z26" s="99" t="n">
        <f aca="false">IFERROR((CHOOSE(Premissas!$B$6,Cenários!Z31,Cenários!Z75,Cenários!Z119)+CHOOSE(Premissas!$B$6,Cenários!Z32,Cenários!Z76,Cenários!Z120)+CHOOSE(Premissas!$B$6,Cenários!Z33,Cenários!Z77,Cenários!Z121))/Z14,0)</f>
        <v>20.6479871115359</v>
      </c>
      <c r="AA26" s="99" t="n">
        <f aca="false">IFERROR((CHOOSE(Premissas!$B$6,Cenários!AA31,Cenários!AA75,Cenários!AA119)+CHOOSE(Premissas!$B$6,Cenários!AA32,Cenários!AA76,Cenários!AA120)+CHOOSE(Premissas!$B$6,Cenários!AA33,Cenários!AA77,Cenários!AA121))/AA14,0)</f>
        <v>20.6722415262099</v>
      </c>
      <c r="AB26" s="99" t="n">
        <f aca="false">IFERROR((CHOOSE(Premissas!$B$6,Cenários!AB31,Cenários!AB75,Cenários!AB119)+CHOOSE(Premissas!$B$6,Cenários!AB32,Cenários!AB76,Cenários!AB120)+CHOOSE(Premissas!$B$6,Cenários!AB33,Cenários!AB77,Cenários!AB121))/AB14,0)</f>
        <v>20.6681335924094</v>
      </c>
      <c r="AC26" s="99" t="n">
        <f aca="false">IFERROR((CHOOSE(Premissas!$B$6,Cenários!AC31,Cenários!AC75,Cenários!AC119)+CHOOSE(Premissas!$B$6,Cenários!AC32,Cenários!AC76,Cenários!AC120)+CHOOSE(Premissas!$B$6,Cenários!AC33,Cenários!AC77,Cenários!AC121))/AC14,0)</f>
        <v>21.065944975022</v>
      </c>
      <c r="AD26" s="99" t="n">
        <f aca="false">IFERROR((CHOOSE(Premissas!$B$6,Cenários!AD31,Cenários!AD75,Cenários!AD119)+CHOOSE(Premissas!$B$6,Cenários!AD32,Cenários!AD76,Cenários!AD120)+CHOOSE(Premissas!$B$6,Cenários!AD33,Cenários!AD77,Cenários!AD121))/AD14,0)</f>
        <v>20.6020270666641</v>
      </c>
      <c r="AE26" s="99" t="n">
        <f aca="false">IFERROR((CHOOSE(Premissas!$B$6,Cenários!AE31,Cenários!AE75,Cenários!AE119)+CHOOSE(Premissas!$B$6,Cenários!AE32,Cenários!AE76,Cenários!AE120)+CHOOSE(Premissas!$B$6,Cenários!AE33,Cenários!AE77,Cenários!AE121))/AE14,0)</f>
        <v>21.3086474063509</v>
      </c>
      <c r="AF26" s="99" t="n">
        <f aca="false">IFERROR((CHOOSE(Premissas!$B$6,Cenários!AF31,Cenários!AF75,Cenários!AF119)+CHOOSE(Premissas!$B$6,Cenários!AF32,Cenários!AF76,Cenários!AF120)+CHOOSE(Premissas!$B$6,Cenários!AF33,Cenários!AF77,Cenários!AF121))/AF14,0)</f>
        <v>21.3672134527313</v>
      </c>
      <c r="AG26" s="99" t="n">
        <f aca="false">IFERROR((CHOOSE(Premissas!$B$6,Cenários!AG31,Cenários!AG75,Cenários!AG119)+CHOOSE(Premissas!$B$6,Cenários!AG32,Cenários!AG76,Cenários!AG120)+CHOOSE(Premissas!$B$6,Cenários!AG33,Cenários!AG77,Cenários!AG121))/AG14,0)</f>
        <v>21.4175174151277</v>
      </c>
      <c r="AH26" s="99" t="n">
        <f aca="false">IFERROR((CHOOSE(Premissas!$B$6,Cenários!AH31,Cenários!AH75,Cenários!AH119)+CHOOSE(Premissas!$B$6,Cenários!AH32,Cenários!AH76,Cenários!AH120)+CHOOSE(Premissas!$B$6,Cenários!AH33,Cenários!AH77,Cenários!AH121))/AH14,0)</f>
        <v>21.4593146444493</v>
      </c>
      <c r="AI26" s="99" t="n">
        <f aca="false">IFERROR((CHOOSE(Premissas!$B$6,Cenários!AI31,Cenários!AI75,Cenários!AI119)+CHOOSE(Premissas!$B$6,Cenários!AI32,Cenários!AI76,Cenários!AI120)+CHOOSE(Premissas!$B$6,Cenários!AI33,Cenários!AI77,Cenários!AI121))/AI14,0)</f>
        <v>21.4933692035778</v>
      </c>
      <c r="AJ26" s="99" t="n">
        <f aca="false">IFERROR((CHOOSE(Premissas!$B$6,Cenários!AJ31,Cenários!AJ75,Cenários!AJ119)+CHOOSE(Premissas!$B$6,Cenários!AJ32,Cenários!AJ76,Cenários!AJ120)+CHOOSE(Premissas!$B$6,Cenários!AJ33,Cenários!AJ77,Cenários!AJ121))/AJ14,0)</f>
        <v>21.5233728760325</v>
      </c>
      <c r="AK26" s="99" t="n">
        <f aca="false">IFERROR((CHOOSE(Premissas!$B$6,Cenários!AK31,Cenários!AK75,Cenários!AK119)+CHOOSE(Premissas!$B$6,Cenários!AK32,Cenários!AK76,Cenários!AK120)+CHOOSE(Premissas!$B$6,Cenários!AK33,Cenários!AK77,Cenários!AK121))/AK14,0)</f>
        <v>21.5510306292975</v>
      </c>
      <c r="AL26" s="99" t="n">
        <f aca="false">IFERROR((CHOOSE(Premissas!$B$6,Cenários!AL31,Cenários!AL75,Cenários!AL119)+CHOOSE(Premissas!$B$6,Cenários!AL32,Cenários!AL76,Cenários!AL120)+CHOOSE(Premissas!$B$6,Cenários!AL33,Cenários!AL77,Cenários!AL121))/AL14,0)</f>
        <v>23.6737890205253</v>
      </c>
      <c r="AM26" s="99" t="n">
        <f aca="false">IFERROR((CHOOSE(Premissas!$B$6,Cenários!AM31,Cenários!AM75,Cenários!AM119)+CHOOSE(Premissas!$B$6,Cenários!AM32,Cenários!AM76,Cenários!AM120)+CHOOSE(Premissas!$B$6,Cenários!AM33,Cenários!AM77,Cenários!AM121))/AM14,0)</f>
        <v>23.8110597415608</v>
      </c>
      <c r="AN26" s="99" t="n">
        <f aca="false">IFERROR((CHOOSE(Premissas!$B$6,Cenários!AN31,Cenários!AN75,Cenários!AN119)+CHOOSE(Premissas!$B$6,Cenários!AN32,Cenários!AN76,Cenários!AN120)+CHOOSE(Premissas!$B$6,Cenários!AN33,Cenários!AN77,Cenários!AN121))/AN14,0)</f>
        <v>23.9232191198539</v>
      </c>
      <c r="AO26" s="99" t="n">
        <f aca="false">IFERROR((CHOOSE(Premissas!$B$6,Cenários!AO31,Cenários!AO75,Cenários!AO119)+CHOOSE(Premissas!$B$6,Cenários!AO32,Cenários!AO76,Cenários!AO120)+CHOOSE(Premissas!$B$6,Cenários!AO33,Cenários!AO77,Cenários!AO121))/AO14,0)</f>
        <v>24.0157605392816</v>
      </c>
      <c r="AP26" s="99" t="n">
        <f aca="false">IFERROR((CHOOSE(Premissas!$B$6,Cenários!AP31,Cenários!AP75,Cenários!AP119)+CHOOSE(Premissas!$B$6,Cenários!AP32,Cenários!AP76,Cenários!AP120)+CHOOSE(Premissas!$B$6,Cenários!AP33,Cenários!AP77,Cenários!AP121))/AP14,0)</f>
        <v>24.0937053717984</v>
      </c>
      <c r="AQ26" s="99" t="n">
        <f aca="false">IFERROR((CHOOSE(Premissas!$B$6,Cenários!AQ31,Cenários!AQ75,Cenários!AQ119)+CHOOSE(Premissas!$B$6,Cenários!AQ32,Cenários!AQ76,Cenários!AQ120)+CHOOSE(Premissas!$B$6,Cenários!AQ33,Cenários!AQ77,Cenários!AQ121))/AQ14,0)</f>
        <v>24.1609032142094</v>
      </c>
      <c r="AR26" s="99" t="n">
        <f aca="false">IFERROR((CHOOSE(Premissas!$B$6,Cenários!AR31,Cenários!AR75,Cenários!AR119)+CHOOSE(Premissas!$B$6,Cenários!AR32,Cenários!AR76,Cenários!AR120)+CHOOSE(Premissas!$B$6,Cenários!AR33,Cenários!AR77,Cenários!AR121))/AR14,0)</f>
        <v>24.2180348427597</v>
      </c>
      <c r="AS26" s="99" t="n">
        <f aca="false">IFERROR((CHOOSE(Premissas!$B$6,Cenários!AS31,Cenários!AS75,Cenários!AS119)+CHOOSE(Premissas!$B$6,Cenários!AS32,Cenários!AS76,Cenários!AS120)+CHOOSE(Premissas!$B$6,Cenários!AS33,Cenários!AS77,Cenários!AS121))/AS14,0)</f>
        <v>24.2676950109645</v>
      </c>
      <c r="AT26" s="99" t="n">
        <f aca="false">IFERROR((CHOOSE(Premissas!$B$6,Cenários!AT31,Cenários!AT75,Cenários!AT119)+CHOOSE(Premissas!$B$6,Cenários!AT32,Cenários!AT76,Cenários!AT120)+CHOOSE(Premissas!$B$6,Cenários!AT33,Cenários!AT77,Cenários!AT121))/AT14,0)</f>
        <v>24.3101672992214</v>
      </c>
      <c r="AU26" s="99" t="n">
        <f aca="false">IFERROR((CHOOSE(Premissas!$B$6,Cenários!AU31,Cenários!AU75,Cenários!AU119)+CHOOSE(Premissas!$B$6,Cenários!AU32,Cenários!AU76,Cenários!AU120)+CHOOSE(Premissas!$B$6,Cenários!AU33,Cenários!AU77,Cenários!AU121))/AU14,0)</f>
        <v>24.349103011934</v>
      </c>
      <c r="AV26" s="99" t="n">
        <f aca="false">IFERROR((CHOOSE(Premissas!$B$6,Cenários!AV31,Cenários!AV75,Cenários!AV119)+CHOOSE(Premissas!$B$6,Cenários!AV32,Cenários!AV76,Cenários!AV120)+CHOOSE(Premissas!$B$6,Cenários!AV33,Cenários!AV77,Cenários!AV121))/AV14,0)</f>
        <v>24.3827734248126</v>
      </c>
      <c r="AW26" s="99" t="n">
        <f aca="false">IFERROR((CHOOSE(Premissas!$B$6,Cenários!AW31,Cenários!AW75,Cenários!AW119)+CHOOSE(Premissas!$B$6,Cenários!AW32,Cenários!AW76,Cenários!AW120)+CHOOSE(Premissas!$B$6,Cenários!AW33,Cenários!AW77,Cenários!AW121))/AW14,0)</f>
        <v>24.4124685210329</v>
      </c>
      <c r="AX26" s="99" t="n">
        <f aca="false">IFERROR((CHOOSE(Premissas!$B$6,Cenários!AX31,Cenários!AX75,Cenários!AX119)+CHOOSE(Premissas!$B$6,Cenários!AX32,Cenários!AX76,Cenários!AX120)+CHOOSE(Premissas!$B$6,Cenários!AX33,Cenários!AX77,Cenários!AX121))/AX14,0)</f>
        <v>26.6125922156343</v>
      </c>
      <c r="AY26" s="99" t="n">
        <f aca="false">IFERROR((CHOOSE(Premissas!$B$6,Cenários!AY31,Cenários!AY75,Cenários!AY119)+CHOOSE(Premissas!$B$6,Cenários!AY32,Cenários!AY76,Cenários!AY120)+CHOOSE(Premissas!$B$6,Cenários!AY33,Cenários!AY77,Cenários!AY121))/AY14,0)</f>
        <v>26.7129550828591</v>
      </c>
      <c r="AZ26" s="99" t="n">
        <f aca="false">IFERROR((CHOOSE(Premissas!$B$6,Cenários!AZ31,Cenários!AZ75,Cenários!AZ119)+CHOOSE(Premissas!$B$6,Cenários!AZ32,Cenários!AZ76,Cenários!AZ120)+CHOOSE(Premissas!$B$6,Cenários!AZ33,Cenários!AZ77,Cenários!AZ121))/AZ14,0)</f>
        <v>26.7985690629668</v>
      </c>
      <c r="BA26" s="99" t="n">
        <f aca="false">IFERROR((CHOOSE(Premissas!$B$6,Cenários!BA31,Cenários!BA75,Cenários!BA119)+CHOOSE(Premissas!$B$6,Cenários!BA32,Cenários!BA76,Cenários!BA120)+CHOOSE(Premissas!$B$6,Cenários!BA33,Cenários!BA77,Cenários!BA121))/BA14,0)</f>
        <v>26.8725312174086</v>
      </c>
      <c r="BB26" s="99" t="n">
        <f aca="false">IFERROR((CHOOSE(Premissas!$B$6,Cenários!BB31,Cenários!BB75,Cenários!BB119)+CHOOSE(Premissas!$B$6,Cenários!BB32,Cenários!BB76,Cenários!BB120)+CHOOSE(Premissas!$B$6,Cenários!BB33,Cenários!BB77,Cenários!BB121))/BB14,0)</f>
        <v>26.9364346312831</v>
      </c>
      <c r="BC26" s="99" t="n">
        <f aca="false">IFERROR((CHOOSE(Premissas!$B$6,Cenários!BC31,Cenários!BC75,Cenários!BC119)+CHOOSE(Premissas!$B$6,Cenários!BC32,Cenários!BC76,Cenários!BC120)+CHOOSE(Premissas!$B$6,Cenários!BC33,Cenários!BC77,Cenários!BC121))/BC14,0)</f>
        <v>26.9929044066432</v>
      </c>
      <c r="BD26" s="99" t="n">
        <f aca="false">IFERROR((CHOOSE(Premissas!$B$6,Cenários!BD31,Cenários!BD75,Cenários!BD119)+CHOOSE(Premissas!$B$6,Cenários!BD32,Cenários!BD76,Cenários!BD120)+CHOOSE(Premissas!$B$6,Cenários!BD33,Cenários!BD77,Cenários!BD121))/BD14,0)</f>
        <v>27.0422771242772</v>
      </c>
      <c r="BE26" s="99" t="n">
        <f aca="false">IFERROR((CHOOSE(Premissas!$B$6,Cenários!BE31,Cenários!BE75,Cenários!BE119)+CHOOSE(Premissas!$B$6,Cenários!BE32,Cenários!BE76,Cenários!BE120)+CHOOSE(Premissas!$B$6,Cenários!BE33,Cenários!BE77,Cenários!BE121))/BE14,0)</f>
        <v>27.0862661446255</v>
      </c>
      <c r="BF26" s="99" t="n">
        <f aca="false">IFERROR((CHOOSE(Premissas!$B$6,Cenários!BF31,Cenários!BF75,Cenários!BF119)+CHOOSE(Premissas!$B$6,Cenários!BF32,Cenários!BF76,Cenários!BF120)+CHOOSE(Premissas!$B$6,Cenários!BF33,Cenários!BF77,Cenários!BF121))/BF14,0)</f>
        <v>27.1255872013088</v>
      </c>
      <c r="BG26" s="99" t="n">
        <f aca="false">IFERROR((CHOOSE(Premissas!$B$6,Cenários!BG31,Cenários!BG75,Cenários!BG119)+CHOOSE(Premissas!$B$6,Cenários!BG32,Cenários!BG76,Cenários!BG120)+CHOOSE(Premissas!$B$6,Cenários!BG33,Cenários!BG77,Cenários!BG121))/BG14,0)</f>
        <v>27.1605367852334</v>
      </c>
      <c r="BH26" s="99" t="n">
        <f aca="false">IFERROR((CHOOSE(Premissas!$B$6,Cenários!BH31,Cenários!BH75,Cenários!BH119)+CHOOSE(Premissas!$B$6,Cenários!BH32,Cenários!BH76,Cenários!BH120)+CHOOSE(Premissas!$B$6,Cenários!BH33,Cenários!BH77,Cenários!BH121))/BH14,0)</f>
        <v>27.1915914226486</v>
      </c>
      <c r="BI26" s="99" t="n">
        <f aca="false">IFERROR((CHOOSE(Premissas!$B$6,Cenários!BI31,Cenários!BI75,Cenários!BI119)+CHOOSE(Premissas!$B$6,Cenários!BI32,Cenários!BI76,Cenários!BI120)+CHOOSE(Premissas!$B$6,Cenários!BI33,Cenários!BI77,Cenários!BI121))/BI14,0)</f>
        <v>27.2205503676173</v>
      </c>
      <c r="BK26" s="14" t="s">
        <v>330</v>
      </c>
    </row>
    <row r="27" customFormat="false" ht="15" hidden="false" customHeight="false" outlineLevel="0" collapsed="false">
      <c r="A27" s="16" t="s">
        <v>331</v>
      </c>
      <c r="B27" s="101" t="n">
        <f aca="false">IFERROR(B26/CHOOSE(Premissas!$B$6,INDEX(Premissas!$C$39:$G$39,B$7),INDEX(Premissas!$C$40:$G$40,B$7),INDEX(Premissas!$C$41:$G$41,B$7)),0)</f>
        <v>0</v>
      </c>
      <c r="C27" s="101" t="n">
        <f aca="false">IFERROR(C26/CHOOSE(Premissas!$B$6,INDEX(Premissas!$C$39:$G$39,C$7),INDEX(Premissas!$C$40:$G$40,C$7),INDEX(Premissas!$C$41:$G$41,C$7)),0)</f>
        <v>0</v>
      </c>
      <c r="D27" s="101" t="n">
        <f aca="false">IFERROR(D26/CHOOSE(Premissas!$B$6,INDEX(Premissas!$C$39:$G$39,D$7),INDEX(Premissas!$C$40:$G$40,D$7),INDEX(Premissas!$C$41:$G$41,D$7)),0)</f>
        <v>0</v>
      </c>
      <c r="E27" s="101" t="n">
        <f aca="false">IFERROR(E26/CHOOSE(Premissas!$B$6,INDEX(Premissas!$C$39:$G$39,E$7),INDEX(Premissas!$C$40:$G$40,E$7),INDEX(Premissas!$C$41:$G$41,E$7)),0)</f>
        <v>0</v>
      </c>
      <c r="F27" s="101" t="n">
        <f aca="false">IFERROR(F26/CHOOSE(Premissas!$B$6,INDEX(Premissas!$C$39:$G$39,F$7),INDEX(Premissas!$C$40:$G$40,F$7),INDEX(Premissas!$C$41:$G$41,F$7)),0)</f>
        <v>0</v>
      </c>
      <c r="G27" s="101" t="n">
        <f aca="false">IFERROR(G26/CHOOSE(Premissas!$B$6,INDEX(Premissas!$C$39:$G$39,G$7),INDEX(Premissas!$C$40:$G$40,G$7),INDEX(Premissas!$C$41:$G$41,G$7)),0)</f>
        <v>0</v>
      </c>
      <c r="H27" s="101" t="n">
        <f aca="false">IFERROR(H26/CHOOSE(Premissas!$B$6,INDEX(Premissas!$C$39:$G$39,H$7),INDEX(Premissas!$C$40:$G$40,H$7),INDEX(Premissas!$C$41:$G$41,H$7)),0)</f>
        <v>0</v>
      </c>
      <c r="I27" s="101" t="n">
        <f aca="false">IFERROR(I26/CHOOSE(Premissas!$B$6,INDEX(Premissas!$C$39:$G$39,I$7),INDEX(Premissas!$C$40:$G$40,I$7),INDEX(Premissas!$C$41:$G$41,I$7)),0)</f>
        <v>0</v>
      </c>
      <c r="J27" s="101" t="n">
        <f aca="false">IFERROR(J26/CHOOSE(Premissas!$B$6,INDEX(Premissas!$C$39:$G$39,J$7),INDEX(Premissas!$C$40:$G$40,J$7),INDEX(Premissas!$C$41:$G$41,J$7)),0)</f>
        <v>0</v>
      </c>
      <c r="K27" s="101" t="n">
        <f aca="false">IFERROR(K26/CHOOSE(Premissas!$B$6,INDEX(Premissas!$C$39:$G$39,K$7),INDEX(Premissas!$C$40:$G$40,K$7),INDEX(Premissas!$C$41:$G$41,K$7)),0)</f>
        <v>234.604207527624</v>
      </c>
      <c r="L27" s="101" t="n">
        <f aca="false">IFERROR(L26/CHOOSE(Premissas!$B$6,INDEX(Premissas!$C$39:$G$39,L$7),INDEX(Premissas!$C$40:$G$40,L$7),INDEX(Premissas!$C$41:$G$41,L$7)),0)</f>
        <v>238.477708932681</v>
      </c>
      <c r="M27" s="101" t="n">
        <f aca="false">IFERROR(M26/CHOOSE(Premissas!$B$6,INDEX(Premissas!$C$39:$G$39,M$7),INDEX(Premissas!$C$40:$G$40,M$7),INDEX(Premissas!$C$41:$G$41,M$7)),0)</f>
        <v>240.031866014377</v>
      </c>
      <c r="N27" s="101" t="n">
        <f aca="false">IFERROR(N26/CHOOSE(Premissas!$B$6,INDEX(Premissas!$C$39:$G$39,N$7),INDEX(Premissas!$C$40:$G$40,N$7),INDEX(Premissas!$C$41:$G$41,N$7)),0)</f>
        <v>279.844026179931</v>
      </c>
      <c r="O27" s="101" t="n">
        <f aca="false">IFERROR(O26/CHOOSE(Premissas!$B$6,INDEX(Premissas!$C$39:$G$39,O$7),INDEX(Premissas!$C$40:$G$40,O$7),INDEX(Premissas!$C$41:$G$41,O$7)),0)</f>
        <v>277.807068993811</v>
      </c>
      <c r="P27" s="101" t="n">
        <f aca="false">IFERROR(P26/CHOOSE(Premissas!$B$6,INDEX(Premissas!$C$39:$G$39,P$7),INDEX(Premissas!$C$40:$G$40,P$7),INDEX(Premissas!$C$41:$G$41,P$7)),0)</f>
        <v>274.049766633266</v>
      </c>
      <c r="Q27" s="101" t="n">
        <f aca="false">IFERROR(Q26/CHOOSE(Premissas!$B$6,INDEX(Premissas!$C$39:$G$39,Q$7),INDEX(Premissas!$C$40:$G$40,Q$7),INDEX(Premissas!$C$41:$G$41,Q$7)),0)</f>
        <v>270.449246263426</v>
      </c>
      <c r="R27" s="101" t="n">
        <f aca="false">IFERROR(R26/CHOOSE(Premissas!$B$6,INDEX(Premissas!$C$39:$G$39,R$7),INDEX(Premissas!$C$40:$G$40,R$7),INDEX(Premissas!$C$41:$G$41,R$7)),0)</f>
        <v>267.928685994534</v>
      </c>
      <c r="S27" s="101" t="n">
        <f aca="false">IFERROR(S26/CHOOSE(Premissas!$B$6,INDEX(Premissas!$C$39:$G$39,S$7),INDEX(Premissas!$C$40:$G$40,S$7),INDEX(Premissas!$C$41:$G$41,S$7)),0)</f>
        <v>264.652889391367</v>
      </c>
      <c r="T27" s="101" t="n">
        <f aca="false">IFERROR(T26/CHOOSE(Premissas!$B$6,INDEX(Premissas!$C$39:$G$39,T$7),INDEX(Premissas!$C$40:$G$40,T$7),INDEX(Premissas!$C$41:$G$41,T$7)),0)</f>
        <v>262.484840907421</v>
      </c>
      <c r="U27" s="101" t="n">
        <f aca="false">IFERROR(U26/CHOOSE(Premissas!$B$6,INDEX(Premissas!$C$39:$G$39,U$7),INDEX(Premissas!$C$40:$G$40,U$7),INDEX(Premissas!$C$41:$G$41,U$7)),0)</f>
        <v>260.914206052625</v>
      </c>
      <c r="V27" s="101" t="n">
        <f aca="false">IFERROR(V26/CHOOSE(Premissas!$B$6,INDEX(Premissas!$C$39:$G$39,V$7),INDEX(Premissas!$C$40:$G$40,V$7),INDEX(Premissas!$C$41:$G$41,V$7)),0)</f>
        <v>259.868781311547</v>
      </c>
      <c r="W27" s="101" t="n">
        <f aca="false">IFERROR(W26/CHOOSE(Premissas!$B$6,INDEX(Premissas!$C$39:$G$39,W$7),INDEX(Premissas!$C$40:$G$40,W$7),INDEX(Premissas!$C$41:$G$41,W$7)),0)</f>
        <v>256.969051126973</v>
      </c>
      <c r="X27" s="101" t="n">
        <f aca="false">IFERROR(X26/CHOOSE(Premissas!$B$6,INDEX(Premissas!$C$39:$G$39,X$7),INDEX(Premissas!$C$40:$G$40,X$7),INDEX(Premissas!$C$41:$G$41,X$7)),0)</f>
        <v>254.26265073493</v>
      </c>
      <c r="Y27" s="101" t="n">
        <f aca="false">IFERROR(Y26/CHOOSE(Premissas!$B$6,INDEX(Premissas!$C$39:$G$39,Y$7),INDEX(Premissas!$C$40:$G$40,Y$7),INDEX(Premissas!$C$41:$G$41,Y$7)),0)</f>
        <v>252.278465515277</v>
      </c>
      <c r="Z27" s="101" t="n">
        <f aca="false">IFERROR(Z26/CHOOSE(Premissas!$B$6,INDEX(Premissas!$C$39:$G$39,Z$7),INDEX(Premissas!$C$40:$G$40,Z$7),INDEX(Premissas!$C$41:$G$41,Z$7)),0)</f>
        <v>294.971244450513</v>
      </c>
      <c r="AA27" s="101" t="n">
        <f aca="false">IFERROR(AA26/CHOOSE(Premissas!$B$6,INDEX(Premissas!$C$39:$G$39,AA$7),INDEX(Premissas!$C$40:$G$40,AA$7),INDEX(Premissas!$C$41:$G$41,AA$7)),0)</f>
        <v>295.317736088713</v>
      </c>
      <c r="AB27" s="101" t="n">
        <f aca="false">IFERROR(AB26/CHOOSE(Premissas!$B$6,INDEX(Premissas!$C$39:$G$39,AB$7),INDEX(Premissas!$C$40:$G$40,AB$7),INDEX(Premissas!$C$41:$G$41,AB$7)),0)</f>
        <v>295.259051320135</v>
      </c>
      <c r="AC27" s="101" t="n">
        <f aca="false">IFERROR(AC26/CHOOSE(Premissas!$B$6,INDEX(Premissas!$C$39:$G$39,AC$7),INDEX(Premissas!$C$40:$G$40,AC$7),INDEX(Premissas!$C$41:$G$41,AC$7)),0)</f>
        <v>300.942071071743</v>
      </c>
      <c r="AD27" s="101" t="n">
        <f aca="false">IFERROR(AD26/CHOOSE(Premissas!$B$6,INDEX(Premissas!$C$39:$G$39,AD$7),INDEX(Premissas!$C$40:$G$40,AD$7),INDEX(Premissas!$C$41:$G$41,AD$7)),0)</f>
        <v>294.314672380916</v>
      </c>
      <c r="AE27" s="101" t="n">
        <f aca="false">IFERROR(AE26/CHOOSE(Premissas!$B$6,INDEX(Premissas!$C$39:$G$39,AE$7),INDEX(Premissas!$C$40:$G$40,AE$7),INDEX(Premissas!$C$41:$G$41,AE$7)),0)</f>
        <v>304.409248662156</v>
      </c>
      <c r="AF27" s="101" t="n">
        <f aca="false">IFERROR(AF26/CHOOSE(Premissas!$B$6,INDEX(Premissas!$C$39:$G$39,AF$7),INDEX(Premissas!$C$40:$G$40,AF$7),INDEX(Premissas!$C$41:$G$41,AF$7)),0)</f>
        <v>305.24590646759</v>
      </c>
      <c r="AG27" s="101" t="n">
        <f aca="false">IFERROR(AG26/CHOOSE(Premissas!$B$6,INDEX(Premissas!$C$39:$G$39,AG$7),INDEX(Premissas!$C$40:$G$40,AG$7),INDEX(Premissas!$C$41:$G$41,AG$7)),0)</f>
        <v>305.964534501824</v>
      </c>
      <c r="AH27" s="101" t="n">
        <f aca="false">IFERROR(AH26/CHOOSE(Premissas!$B$6,INDEX(Premissas!$C$39:$G$39,AH$7),INDEX(Premissas!$C$40:$G$40,AH$7),INDEX(Premissas!$C$41:$G$41,AH$7)),0)</f>
        <v>306.561637777847</v>
      </c>
      <c r="AI27" s="101" t="n">
        <f aca="false">IFERROR(AI26/CHOOSE(Premissas!$B$6,INDEX(Premissas!$C$39:$G$39,AI$7),INDEX(Premissas!$C$40:$G$40,AI$7),INDEX(Premissas!$C$41:$G$41,AI$7)),0)</f>
        <v>307.048131479683</v>
      </c>
      <c r="AJ27" s="101" t="n">
        <f aca="false">IFERROR(AJ26/CHOOSE(Premissas!$B$6,INDEX(Premissas!$C$39:$G$39,AJ$7),INDEX(Premissas!$C$40:$G$40,AJ$7),INDEX(Premissas!$C$41:$G$41,AJ$7)),0)</f>
        <v>307.476755371892</v>
      </c>
      <c r="AK27" s="101" t="n">
        <f aca="false">IFERROR(AK26/CHOOSE(Premissas!$B$6,INDEX(Premissas!$C$39:$G$39,AK$7),INDEX(Premissas!$C$40:$G$40,AK$7),INDEX(Premissas!$C$41:$G$41,AK$7)),0)</f>
        <v>307.871866132822</v>
      </c>
      <c r="AL27" s="101" t="n">
        <f aca="false">IFERROR(AL26/CHOOSE(Premissas!$B$6,INDEX(Premissas!$C$39:$G$39,AL$7),INDEX(Premissas!$C$40:$G$40,AL$7),INDEX(Premissas!$C$41:$G$41,AL$7)),0)</f>
        <v>364.212138777312</v>
      </c>
      <c r="AM27" s="101" t="n">
        <f aca="false">IFERROR(AM26/CHOOSE(Premissas!$B$6,INDEX(Premissas!$C$39:$G$39,AM$7),INDEX(Premissas!$C$40:$G$40,AM$7),INDEX(Premissas!$C$41:$G$41,AM$7)),0)</f>
        <v>366.323996024012</v>
      </c>
      <c r="AN27" s="101" t="n">
        <f aca="false">IFERROR(AN26/CHOOSE(Premissas!$B$6,INDEX(Premissas!$C$39:$G$39,AN$7),INDEX(Premissas!$C$40:$G$40,AN$7),INDEX(Premissas!$C$41:$G$41,AN$7)),0)</f>
        <v>368.049524920829</v>
      </c>
      <c r="AO27" s="101" t="n">
        <f aca="false">IFERROR(AO26/CHOOSE(Premissas!$B$6,INDEX(Premissas!$C$39:$G$39,AO$7),INDEX(Premissas!$C$40:$G$40,AO$7),INDEX(Premissas!$C$41:$G$41,AO$7)),0)</f>
        <v>369.473239065871</v>
      </c>
      <c r="AP27" s="101" t="n">
        <f aca="false">IFERROR(AP26/CHOOSE(Premissas!$B$6,INDEX(Premissas!$C$39:$G$39,AP$7),INDEX(Premissas!$C$40:$G$40,AP$7),INDEX(Premissas!$C$41:$G$41,AP$7)),0)</f>
        <v>370.67239033536</v>
      </c>
      <c r="AQ27" s="101" t="n">
        <f aca="false">IFERROR(AQ26/CHOOSE(Premissas!$B$6,INDEX(Premissas!$C$39:$G$39,AQ$7),INDEX(Premissas!$C$40:$G$40,AQ$7),INDEX(Premissas!$C$41:$G$41,AQ$7)),0)</f>
        <v>371.706203295528</v>
      </c>
      <c r="AR27" s="101" t="n">
        <f aca="false">IFERROR(AR26/CHOOSE(Premissas!$B$6,INDEX(Premissas!$C$39:$G$39,AR$7),INDEX(Premissas!$C$40:$G$40,AR$7),INDEX(Premissas!$C$41:$G$41,AR$7)),0)</f>
        <v>372.585151427073</v>
      </c>
      <c r="AS27" s="101" t="n">
        <f aca="false">IFERROR(AS26/CHOOSE(Premissas!$B$6,INDEX(Premissas!$C$39:$G$39,AS$7),INDEX(Premissas!$C$40:$G$40,AS$7),INDEX(Premissas!$C$41:$G$41,AS$7)),0)</f>
        <v>373.349154014838</v>
      </c>
      <c r="AT27" s="101" t="n">
        <f aca="false">IFERROR(AT26/CHOOSE(Premissas!$B$6,INDEX(Premissas!$C$39:$G$39,AT$7),INDEX(Premissas!$C$40:$G$40,AT$7),INDEX(Premissas!$C$41:$G$41,AT$7)),0)</f>
        <v>374.002573834176</v>
      </c>
      <c r="AU27" s="101" t="n">
        <f aca="false">IFERROR(AU26/CHOOSE(Premissas!$B$6,INDEX(Premissas!$C$39:$G$39,AU$7),INDEX(Premissas!$C$40:$G$40,AU$7),INDEX(Premissas!$C$41:$G$41,AU$7)),0)</f>
        <v>374.601584798985</v>
      </c>
      <c r="AV27" s="101" t="n">
        <f aca="false">IFERROR(AV26/CHOOSE(Premissas!$B$6,INDEX(Premissas!$C$39:$G$39,AV$7),INDEX(Premissas!$C$40:$G$40,AV$7),INDEX(Premissas!$C$41:$G$41,AV$7)),0)</f>
        <v>375.119591150963</v>
      </c>
      <c r="AW27" s="101" t="n">
        <f aca="false">IFERROR(AW26/CHOOSE(Premissas!$B$6,INDEX(Premissas!$C$39:$G$39,AW$7),INDEX(Premissas!$C$40:$G$40,AW$7),INDEX(Premissas!$C$41:$G$41,AW$7)),0)</f>
        <v>375.576438785121</v>
      </c>
      <c r="AX27" s="101" t="n">
        <f aca="false">IFERROR(AX26/CHOOSE(Premissas!$B$6,INDEX(Premissas!$C$39:$G$39,AX$7),INDEX(Premissas!$C$40:$G$40,AX$7),INDEX(Premissas!$C$41:$G$41,AX$7)),0)</f>
        <v>443.543203593905</v>
      </c>
      <c r="AY27" s="101" t="n">
        <f aca="false">IFERROR(AY26/CHOOSE(Premissas!$B$6,INDEX(Premissas!$C$39:$G$39,AY$7),INDEX(Premissas!$C$40:$G$40,AY$7),INDEX(Premissas!$C$41:$G$41,AY$7)),0)</f>
        <v>445.215918047652</v>
      </c>
      <c r="AZ27" s="101" t="n">
        <f aca="false">IFERROR(AZ26/CHOOSE(Premissas!$B$6,INDEX(Premissas!$C$39:$G$39,AZ$7),INDEX(Premissas!$C$40:$G$40,AZ$7),INDEX(Premissas!$C$41:$G$41,AZ$7)),0)</f>
        <v>446.642817716114</v>
      </c>
      <c r="BA27" s="101" t="n">
        <f aca="false">IFERROR(BA26/CHOOSE(Premissas!$B$6,INDEX(Premissas!$C$39:$G$39,BA$7),INDEX(Premissas!$C$40:$G$40,BA$7),INDEX(Premissas!$C$41:$G$41,BA$7)),0)</f>
        <v>447.875520290143</v>
      </c>
      <c r="BB27" s="101" t="n">
        <f aca="false">IFERROR(BB26/CHOOSE(Premissas!$B$6,INDEX(Premissas!$C$39:$G$39,BB$7),INDEX(Premissas!$C$40:$G$40,BB$7),INDEX(Premissas!$C$41:$G$41,BB$7)),0)</f>
        <v>448.940577188052</v>
      </c>
      <c r="BC27" s="101" t="n">
        <f aca="false">IFERROR(BC26/CHOOSE(Premissas!$B$6,INDEX(Premissas!$C$39:$G$39,BC$7),INDEX(Premissas!$C$40:$G$40,BC$7),INDEX(Premissas!$C$41:$G$41,BC$7)),0)</f>
        <v>449.881740110719</v>
      </c>
      <c r="BD27" s="101" t="n">
        <f aca="false">IFERROR(BD26/CHOOSE(Premissas!$B$6,INDEX(Premissas!$C$39:$G$39,BD$7),INDEX(Premissas!$C$40:$G$40,BD$7),INDEX(Premissas!$C$41:$G$41,BD$7)),0)</f>
        <v>450.704618737954</v>
      </c>
      <c r="BE27" s="101" t="n">
        <f aca="false">IFERROR(BE26/CHOOSE(Premissas!$B$6,INDEX(Premissas!$C$39:$G$39,BE$7),INDEX(Premissas!$C$40:$G$40,BE$7),INDEX(Premissas!$C$41:$G$41,BE$7)),0)</f>
        <v>451.437769077091</v>
      </c>
      <c r="BF27" s="101" t="n">
        <f aca="false">IFERROR(BF26/CHOOSE(Premissas!$B$6,INDEX(Premissas!$C$39:$G$39,BF$7),INDEX(Premissas!$C$40:$G$40,BF$7),INDEX(Premissas!$C$41:$G$41,BF$7)),0)</f>
        <v>452.093120021814</v>
      </c>
      <c r="BG27" s="101" t="n">
        <f aca="false">IFERROR(BG26/CHOOSE(Premissas!$B$6,INDEX(Premissas!$C$39:$G$39,BG$7),INDEX(Premissas!$C$40:$G$40,BG$7),INDEX(Premissas!$C$41:$G$41,BG$7)),0)</f>
        <v>452.675613087224</v>
      </c>
      <c r="BH27" s="101" t="n">
        <f aca="false">IFERROR(BH26/CHOOSE(Premissas!$B$6,INDEX(Premissas!$C$39:$G$39,BH$7),INDEX(Premissas!$C$40:$G$40,BH$7),INDEX(Premissas!$C$41:$G$41,BH$7)),0)</f>
        <v>453.193190377477</v>
      </c>
      <c r="BI27" s="101" t="n">
        <f aca="false">IFERROR(BI26/CHOOSE(Premissas!$B$6,INDEX(Premissas!$C$39:$G$39,BI$7),INDEX(Premissas!$C$40:$G$40,BI$7),INDEX(Premissas!$C$41:$G$41,BI$7)),0)</f>
        <v>453.675839460289</v>
      </c>
      <c r="BK27" s="14" t="s">
        <v>332</v>
      </c>
    </row>
    <row r="28" customFormat="false" ht="15" hidden="false" customHeight="false" outlineLevel="0" collapsed="false">
      <c r="A28" s="16" t="s">
        <v>333</v>
      </c>
      <c r="B28" s="102" t="n">
        <f aca="false">IFERROR(B27/B23,0)</f>
        <v>0</v>
      </c>
      <c r="C28" s="102" t="n">
        <f aca="false">IFERROR(C27/C23,0)</f>
        <v>0</v>
      </c>
      <c r="D28" s="102" t="n">
        <f aca="false">IFERROR(D27/D23,0)</f>
        <v>0</v>
      </c>
      <c r="E28" s="102" t="n">
        <f aca="false">IFERROR(E27/E23,0)</f>
        <v>0</v>
      </c>
      <c r="F28" s="102" t="n">
        <f aca="false">IFERROR(F27/F23,0)</f>
        <v>0</v>
      </c>
      <c r="G28" s="102" t="n">
        <f aca="false">IFERROR(G27/G23,0)</f>
        <v>0</v>
      </c>
      <c r="H28" s="102" t="n">
        <f aca="false">IFERROR(H27/H23,0)</f>
        <v>0</v>
      </c>
      <c r="I28" s="102" t="n">
        <f aca="false">IFERROR(I27/I23,0)</f>
        <v>0</v>
      </c>
      <c r="J28" s="102" t="n">
        <f aca="false">IFERROR(J27/J23,0)</f>
        <v>0</v>
      </c>
      <c r="K28" s="102" t="n">
        <f aca="false">IFERROR(K27/K23,0)</f>
        <v>6.70297735793212</v>
      </c>
      <c r="L28" s="102" t="n">
        <f aca="false">IFERROR(L27/L23,0)</f>
        <v>6.81364882664804</v>
      </c>
      <c r="M28" s="102" t="n">
        <f aca="false">IFERROR(M27/M23,0)</f>
        <v>6.85805331469649</v>
      </c>
      <c r="N28" s="102" t="n">
        <f aca="false">IFERROR(N27/N23,0)</f>
        <v>7.54481443132167</v>
      </c>
      <c r="O28" s="102" t="n">
        <f aca="false">IFERROR(O27/O23,0)</f>
        <v>7.48989646797039</v>
      </c>
      <c r="P28" s="102" t="n">
        <f aca="false">IFERROR(P27/P23,0)</f>
        <v>7.3885966494263</v>
      </c>
      <c r="Q28" s="102" t="n">
        <f aca="false">IFERROR(Q27/Q23,0)</f>
        <v>7.29152379631786</v>
      </c>
      <c r="R28" s="102" t="n">
        <f aca="false">IFERROR(R27/R23,0)</f>
        <v>7.22356751455851</v>
      </c>
      <c r="S28" s="102" t="n">
        <f aca="false">IFERROR(S27/S23,0)</f>
        <v>7.13524946888489</v>
      </c>
      <c r="T28" s="102" t="n">
        <f aca="false">IFERROR(T27/T23,0)</f>
        <v>7.07679718132752</v>
      </c>
      <c r="U28" s="102" t="n">
        <f aca="false">IFERROR(U27/U23,0)</f>
        <v>7.03445163377175</v>
      </c>
      <c r="V28" s="102" t="n">
        <f aca="false">IFERROR(V27/V23,0)</f>
        <v>7.00626616281133</v>
      </c>
      <c r="W28" s="102" t="n">
        <f aca="false">IFERROR(W27/W23,0)</f>
        <v>6.92808716273703</v>
      </c>
      <c r="X28" s="102" t="n">
        <f aca="false">IFERROR(X27/X23,0)</f>
        <v>6.85512048550057</v>
      </c>
      <c r="Y28" s="102" t="n">
        <f aca="false">IFERROR(Y27/Y23,0)</f>
        <v>6.80162529575503</v>
      </c>
      <c r="Z28" s="102" t="n">
        <f aca="false">IFERROR(Z27/Z23,0)</f>
        <v>7.77946139210145</v>
      </c>
      <c r="AA28" s="102" t="n">
        <f aca="false">IFERROR(AA27/AA23,0)</f>
        <v>7.78859963310892</v>
      </c>
      <c r="AB28" s="102" t="n">
        <f aca="false">IFERROR(AB27/AB23,0)</f>
        <v>7.78705190294861</v>
      </c>
      <c r="AC28" s="102" t="n">
        <f aca="false">IFERROR(AC27/AC23,0)</f>
        <v>7.93693374255147</v>
      </c>
      <c r="AD28" s="102" t="n">
        <f aca="false">IFERROR(AD27/AD23,0)</f>
        <v>7.76214520565054</v>
      </c>
      <c r="AE28" s="102" t="n">
        <f aca="false">IFERROR(AE27/AE23,0)</f>
        <v>8.02837578889204</v>
      </c>
      <c r="AF28" s="102" t="n">
        <f aca="false">IFERROR(AF27/AF23,0)</f>
        <v>8.05044148925512</v>
      </c>
      <c r="AG28" s="102" t="n">
        <f aca="false">IFERROR(AG27/AG23,0)</f>
        <v>8.06939431653162</v>
      </c>
      <c r="AH28" s="102" t="n">
        <f aca="false">IFERROR(AH27/AH23,0)</f>
        <v>8.08514209523992</v>
      </c>
      <c r="AI28" s="102" t="n">
        <f aca="false">IFERROR(AI27/AI23,0)</f>
        <v>8.09797269836526</v>
      </c>
      <c r="AJ28" s="102" t="n">
        <f aca="false">IFERROR(AJ27/AJ23,0)</f>
        <v>8.10927706475321</v>
      </c>
      <c r="AK28" s="102" t="n">
        <f aca="false">IFERROR(AK27/AK23,0)</f>
        <v>8.11969756833815</v>
      </c>
      <c r="AL28" s="102" t="n">
        <f aca="false">IFERROR(AL27/AL23,0)</f>
        <v>9.54588266956663</v>
      </c>
      <c r="AM28" s="102" t="n">
        <f aca="false">IFERROR(AM27/AM23,0)</f>
        <v>9.60123376675837</v>
      </c>
      <c r="AN28" s="102" t="n">
        <f aca="false">IFERROR(AN27/AN23,0)</f>
        <v>9.64645932252172</v>
      </c>
      <c r="AO28" s="102" t="n">
        <f aca="false">IFERROR(AO27/AO23,0)</f>
        <v>9.68377441100065</v>
      </c>
      <c r="AP28" s="102" t="n">
        <f aca="false">IFERROR(AP27/AP23,0)</f>
        <v>9.71520377895098</v>
      </c>
      <c r="AQ28" s="102" t="n">
        <f aca="false">IFERROR(AQ27/AQ23,0)</f>
        <v>9.74229968314893</v>
      </c>
      <c r="AR28" s="102" t="n">
        <f aca="false">IFERROR(AR27/AR23,0)</f>
        <v>9.76533663014506</v>
      </c>
      <c r="AS28" s="102" t="n">
        <f aca="false">IFERROR(AS27/AS23,0)</f>
        <v>9.78536089151794</v>
      </c>
      <c r="AT28" s="102" t="n">
        <f aca="false">IFERROR(AT27/AT23,0)</f>
        <v>9.8024868142022</v>
      </c>
      <c r="AU28" s="102" t="n">
        <f aca="false">IFERROR(AU27/AU23,0)</f>
        <v>9.81818669836049</v>
      </c>
      <c r="AV28" s="102" t="n">
        <f aca="false">IFERROR(AV27/AV23,0)</f>
        <v>9.83176347774701</v>
      </c>
      <c r="AW28" s="102" t="n">
        <f aca="false">IFERROR(AW27/AW23,0)</f>
        <v>9.84373730686809</v>
      </c>
      <c r="AX28" s="102" t="n">
        <f aca="false">IFERROR(AX27/AX23,0)</f>
        <v>11.4992682413235</v>
      </c>
      <c r="AY28" s="102" t="n">
        <f aca="false">IFERROR(AY27/AY23,0)</f>
        <v>11.5426349123465</v>
      </c>
      <c r="AZ28" s="102" t="n">
        <f aca="false">IFERROR(AZ27/AZ23,0)</f>
        <v>11.5796286074548</v>
      </c>
      <c r="BA28" s="102" t="n">
        <f aca="false">IFERROR(BA27/BA23,0)</f>
        <v>11.6115875630778</v>
      </c>
      <c r="BB28" s="102" t="n">
        <f aca="false">IFERROR(BB27/BB23,0)</f>
        <v>11.6392001493199</v>
      </c>
      <c r="BC28" s="102" t="n">
        <f aca="false">IFERROR(BC27/BC23,0)</f>
        <v>11.6636006695372</v>
      </c>
      <c r="BD28" s="102" t="n">
        <f aca="false">IFERROR(BD27/BD23,0)</f>
        <v>11.6849345598729</v>
      </c>
      <c r="BE28" s="102" t="n">
        <f aca="false">IFERROR(BE27/BE23,0)</f>
        <v>11.7039421612579</v>
      </c>
      <c r="BF28" s="102" t="n">
        <f aca="false">IFERROR(BF27/BF23,0)</f>
        <v>11.7209327413063</v>
      </c>
      <c r="BG28" s="102" t="n">
        <f aca="false">IFERROR(BG27/BG23,0)</f>
        <v>11.7360344133725</v>
      </c>
      <c r="BH28" s="102" t="n">
        <f aca="false">IFERROR(BH27/BH23,0)</f>
        <v>11.7494530838605</v>
      </c>
      <c r="BI28" s="102" t="n">
        <f aca="false">IFERROR(BI27/BI23,0)</f>
        <v>11.7619662082297</v>
      </c>
      <c r="BK28" s="14" t="s">
        <v>334</v>
      </c>
    </row>
    <row r="29" customFormat="false" ht="15" hidden="false" customHeight="false" outlineLevel="0" collapsed="false">
      <c r="A29" s="12" t="s">
        <v>55</v>
      </c>
      <c r="B29" s="103" t="n">
        <f aca="false">IFERROR(B23/B26,0)</f>
        <v>0</v>
      </c>
      <c r="C29" s="103" t="n">
        <f aca="false">IFERROR(C23/C26,0)</f>
        <v>0</v>
      </c>
      <c r="D29" s="103" t="n">
        <f aca="false">IFERROR(D23/D26,0)</f>
        <v>0</v>
      </c>
      <c r="E29" s="103" t="n">
        <f aca="false">IFERROR(E23/E26,0)</f>
        <v>0</v>
      </c>
      <c r="F29" s="103" t="n">
        <f aca="false">IFERROR(F23/F26,0)</f>
        <v>0</v>
      </c>
      <c r="G29" s="103" t="n">
        <f aca="false">IFERROR(G23/G26,0)</f>
        <v>0</v>
      </c>
      <c r="H29" s="103" t="n">
        <f aca="false">IFERROR(H23/H26,0)</f>
        <v>0</v>
      </c>
      <c r="I29" s="103" t="n">
        <f aca="false">IFERROR(I23/I26,0)</f>
        <v>0</v>
      </c>
      <c r="J29" s="103" t="n">
        <f aca="false">IFERROR(J23/J26,0)</f>
        <v>0</v>
      </c>
      <c r="K29" s="103" t="n">
        <f aca="false">IFERROR(K23/K26,0)</f>
        <v>1.86484293956444</v>
      </c>
      <c r="L29" s="103" t="n">
        <f aca="false">IFERROR(L23/L26,0)</f>
        <v>1.83455301528203</v>
      </c>
      <c r="M29" s="103" t="n">
        <f aca="false">IFERROR(M23/M26,0)</f>
        <v>1.82267466092938</v>
      </c>
      <c r="N29" s="103" t="n">
        <f aca="false">IFERROR(N23/N26,0)</f>
        <v>1.7672181939931</v>
      </c>
      <c r="O29" s="103" t="n">
        <f aca="false">IFERROR(O23/O26,0)</f>
        <v>1.78017591970085</v>
      </c>
      <c r="P29" s="103" t="n">
        <f aca="false">IFERROR(P23/P26,0)</f>
        <v>1.80458265161472</v>
      </c>
      <c r="Q29" s="103" t="n">
        <f aca="false">IFERROR(Q23/Q26,0)</f>
        <v>1.82860725765807</v>
      </c>
      <c r="R29" s="103" t="n">
        <f aca="false">IFERROR(R23/R26,0)</f>
        <v>1.84581002481961</v>
      </c>
      <c r="S29" s="103" t="n">
        <f aca="false">IFERROR(S23/S26,0)</f>
        <v>1.86865692523812</v>
      </c>
      <c r="T29" s="103" t="n">
        <f aca="false">IFERROR(T23/T26,0)</f>
        <v>1.88409148823906</v>
      </c>
      <c r="U29" s="103" t="n">
        <f aca="false">IFERROR(U23/U26,0)</f>
        <v>1.89543322315577</v>
      </c>
      <c r="V29" s="103" t="n">
        <f aca="false">IFERROR(V23/V26,0)</f>
        <v>1.90305835140914</v>
      </c>
      <c r="W29" s="103" t="n">
        <f aca="false">IFERROR(W23/W26,0)</f>
        <v>1.9245331388218</v>
      </c>
      <c r="X29" s="103" t="n">
        <f aca="false">IFERROR(X23/X26,0)</f>
        <v>1.94501808706864</v>
      </c>
      <c r="Y29" s="103" t="n">
        <f aca="false">IFERROR(Y23/Y26,0)</f>
        <v>1.96031577065188</v>
      </c>
      <c r="Z29" s="103" t="n">
        <f aca="false">IFERROR(Z23/Z26,0)</f>
        <v>1.83633719170053</v>
      </c>
      <c r="AA29" s="103" t="n">
        <f aca="false">IFERROR(AA23/AA26,0)</f>
        <v>1.83418264625986</v>
      </c>
      <c r="AB29" s="103" t="n">
        <f aca="false">IFERROR(AB23/AB26,0)</f>
        <v>1.83454720268461</v>
      </c>
      <c r="AC29" s="103" t="n">
        <f aca="false">IFERROR(AC23/AC26,0)</f>
        <v>1.79990343237033</v>
      </c>
      <c r="AD29" s="103" t="n">
        <f aca="false">IFERROR(AD23/AD26,0)</f>
        <v>1.84043378566467</v>
      </c>
      <c r="AE29" s="103" t="n">
        <f aca="false">IFERROR(AE23/AE26,0)</f>
        <v>1.77940279097048</v>
      </c>
      <c r="AF29" s="103" t="n">
        <f aca="false">IFERROR(AF23/AF26,0)</f>
        <v>1.7745255716449</v>
      </c>
      <c r="AG29" s="103" t="n">
        <f aca="false">IFERROR(AG23/AG26,0)</f>
        <v>1.77035769047094</v>
      </c>
      <c r="AH29" s="103" t="n">
        <f aca="false">IFERROR(AH23/AH26,0)</f>
        <v>1.76690948871819</v>
      </c>
      <c r="AI29" s="103" t="n">
        <f aca="false">IFERROR(AI23/AI26,0)</f>
        <v>1.76410995910102</v>
      </c>
      <c r="AJ29" s="103" t="n">
        <f aca="false">IFERROR(AJ23/AJ26,0)</f>
        <v>1.76165078238686</v>
      </c>
      <c r="AK29" s="103" t="n">
        <f aca="false">IFERROR(AK23/AK26,0)</f>
        <v>1.75938994839165</v>
      </c>
      <c r="AL29" s="103" t="n">
        <f aca="false">IFERROR(AL23/AL26,0)</f>
        <v>1.61164932748056</v>
      </c>
      <c r="AM29" s="103" t="n">
        <f aca="false">IFERROR(AM23/AM26,0)</f>
        <v>1.60235817170501</v>
      </c>
      <c r="AN29" s="103" t="n">
        <f aca="false">IFERROR(AN23/AN26,0)</f>
        <v>1.59484582583547</v>
      </c>
      <c r="AO29" s="103" t="n">
        <f aca="false">IFERROR(AO23/AO26,0)</f>
        <v>1.58870030751012</v>
      </c>
      <c r="AP29" s="103" t="n">
        <f aca="false">IFERROR(AP23/AP26,0)</f>
        <v>1.58356075020761</v>
      </c>
      <c r="AQ29" s="103" t="n">
        <f aca="false">IFERROR(AQ23/AQ26,0)</f>
        <v>1.57915645021943</v>
      </c>
      <c r="AR29" s="103" t="n">
        <f aca="false">IFERROR(AR23/AR26,0)</f>
        <v>1.57543113640588</v>
      </c>
      <c r="AS29" s="103" t="n">
        <f aca="false">IFERROR(AS23/AS26,0)</f>
        <v>1.57220725481376</v>
      </c>
      <c r="AT29" s="103" t="n">
        <f aca="false">IFERROR(AT23/AT26,0)</f>
        <v>1.56946045184428</v>
      </c>
      <c r="AU29" s="103" t="n">
        <f aca="false">IFERROR(AU23/AU26,0)</f>
        <v>1.56695078809047</v>
      </c>
      <c r="AV29" s="103" t="n">
        <f aca="false">IFERROR(AV23/AV26,0)</f>
        <v>1.5647869702558</v>
      </c>
      <c r="AW29" s="103" t="n">
        <f aca="false">IFERROR(AW23/AW26,0)</f>
        <v>1.56288357815901</v>
      </c>
      <c r="AX29" s="103" t="n">
        <f aca="false">IFERROR(AX23/AX26,0)</f>
        <v>1.4493675873021</v>
      </c>
      <c r="AY29" s="103" t="n">
        <f aca="false">IFERROR(AY23/AY26,0)</f>
        <v>1.44392218875772</v>
      </c>
      <c r="AZ29" s="103" t="n">
        <f aca="false">IFERROR(AZ23/AZ26,0)</f>
        <v>1.43930925866974</v>
      </c>
      <c r="BA29" s="103" t="n">
        <f aca="false">IFERROR(BA23/BA26,0)</f>
        <v>1.43534780030105</v>
      </c>
      <c r="BB29" s="103" t="n">
        <f aca="false">IFERROR(BB23/BB26,0)</f>
        <v>1.43194261227998</v>
      </c>
      <c r="BC29" s="103" t="n">
        <f aca="false">IFERROR(BC23/BC26,0)</f>
        <v>1.42894695547975</v>
      </c>
      <c r="BD29" s="103" t="n">
        <f aca="false">IFERROR(BD23/BD26,0)</f>
        <v>1.42633804077102</v>
      </c>
      <c r="BE29" s="103" t="n">
        <f aca="false">IFERROR(BE23/BE26,0)</f>
        <v>1.424021619129</v>
      </c>
      <c r="BF29" s="103" t="n">
        <f aca="false">IFERROR(BF23/BF26,0)</f>
        <v>1.42195736760189</v>
      </c>
      <c r="BG29" s="103" t="n">
        <f aca="false">IFERROR(BG23/BG26,0)</f>
        <v>1.42012762400186</v>
      </c>
      <c r="BH29" s="103" t="n">
        <f aca="false">IFERROR(BH23/BH26,0)</f>
        <v>1.41850574215753</v>
      </c>
      <c r="BI29" s="103" t="n">
        <f aca="false">IFERROR(BI23/BI26,0)</f>
        <v>1.41699664593537</v>
      </c>
      <c r="BK29" s="14" t="s">
        <v>335</v>
      </c>
    </row>
    <row r="31" customFormat="false" ht="18" hidden="false" customHeight="true" outlineLevel="0" collapsed="false">
      <c r="A31" s="10" t="s">
        <v>336</v>
      </c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  <c r="AA31" s="11"/>
      <c r="AB31" s="11"/>
      <c r="AC31" s="11"/>
      <c r="AD31" s="11"/>
      <c r="AE31" s="11"/>
      <c r="AF31" s="11"/>
      <c r="AG31" s="11"/>
      <c r="AH31" s="11"/>
      <c r="AI31" s="11"/>
      <c r="AJ31" s="11"/>
      <c r="AK31" s="11"/>
      <c r="AL31" s="11"/>
      <c r="AM31" s="11"/>
      <c r="AN31" s="11"/>
      <c r="AO31" s="11"/>
      <c r="AP31" s="11"/>
      <c r="AQ31" s="11"/>
      <c r="AR31" s="11"/>
      <c r="AS31" s="11"/>
      <c r="AT31" s="11"/>
      <c r="AU31" s="11"/>
      <c r="AV31" s="11"/>
      <c r="AW31" s="11"/>
      <c r="AX31" s="11"/>
      <c r="AY31" s="11"/>
      <c r="AZ31" s="11"/>
      <c r="BA31" s="11"/>
      <c r="BB31" s="11"/>
      <c r="BC31" s="11"/>
      <c r="BD31" s="11"/>
      <c r="BE31" s="11"/>
      <c r="BF31" s="11"/>
      <c r="BG31" s="11"/>
      <c r="BH31" s="11"/>
      <c r="BI31" s="11"/>
      <c r="BJ31" s="11"/>
      <c r="BK31" s="11"/>
    </row>
    <row r="32" customFormat="false" ht="15" hidden="false" customHeight="false" outlineLevel="0" collapsed="false">
      <c r="A32" s="16" t="s">
        <v>337</v>
      </c>
      <c r="B32" s="75" t="n">
        <f aca="false">CHOOSE(Premissas!$B$6,Cenários!B46,Cenários!B90,Cenários!B134)</f>
        <v>0</v>
      </c>
      <c r="C32" s="75" t="n">
        <f aca="false">CHOOSE(Premissas!$B$6,Cenários!C46,Cenários!C90,Cenários!C134)</f>
        <v>0</v>
      </c>
      <c r="D32" s="75" t="n">
        <f aca="false">CHOOSE(Premissas!$B$6,Cenários!D46,Cenários!D90,Cenários!D134)</f>
        <v>0</v>
      </c>
      <c r="E32" s="75" t="n">
        <f aca="false">CHOOSE(Premissas!$B$6,Cenários!E46,Cenários!E90,Cenários!E134)</f>
        <v>8500</v>
      </c>
      <c r="F32" s="75" t="n">
        <f aca="false">CHOOSE(Premissas!$B$6,Cenários!F46,Cenários!F90,Cenários!F134)</f>
        <v>400</v>
      </c>
      <c r="G32" s="75" t="n">
        <f aca="false">CHOOSE(Premissas!$B$6,Cenários!G46,Cenários!G90,Cenários!G134)</f>
        <v>-1700</v>
      </c>
      <c r="H32" s="75" t="n">
        <f aca="false">CHOOSE(Premissas!$B$6,Cenários!H46,Cenários!H90,Cenários!H134)</f>
        <v>1200</v>
      </c>
      <c r="I32" s="75" t="n">
        <f aca="false">CHOOSE(Premissas!$B$6,Cenários!I46,Cenários!I90,Cenários!I134)</f>
        <v>972.18</v>
      </c>
      <c r="J32" s="75" t="n">
        <f aca="false">CHOOSE(Premissas!$B$6,Cenários!J46,Cenários!J90,Cenários!J134)</f>
        <v>-8127.82</v>
      </c>
      <c r="K32" s="75" t="n">
        <f aca="false">CHOOSE(Premissas!$B$6,Cenários!K46,Cenários!K90,Cenários!K134)</f>
        <v>20682.524625</v>
      </c>
      <c r="L32" s="75" t="n">
        <f aca="false">CHOOSE(Premissas!$B$6,Cenários!L46,Cenários!L90,Cenários!L134)</f>
        <v>53665.465275</v>
      </c>
      <c r="M32" s="75" t="n">
        <f aca="false">CHOOSE(Premissas!$B$6,Cenários!M46,Cenários!M90,Cenários!M134)</f>
        <v>78573.648675</v>
      </c>
      <c r="N32" s="75" t="n">
        <f aca="false">CHOOSE(Premissas!$B$6,Cenários!N46,Cenários!N90,Cenários!N134)</f>
        <v>36546.69915185</v>
      </c>
      <c r="O32" s="75" t="n">
        <f aca="false">CHOOSE(Premissas!$B$6,Cenários!O46,Cenários!O90,Cenários!O134)</f>
        <v>28301.9935497248</v>
      </c>
      <c r="P32" s="75" t="n">
        <f aca="false">CHOOSE(Premissas!$B$6,Cenários!P46,Cenários!P90,Cenários!P134)</f>
        <v>24371.8865158369</v>
      </c>
      <c r="Q32" s="75" t="n">
        <f aca="false">CHOOSE(Premissas!$B$6,Cenários!Q46,Cenários!Q90,Cenários!Q134)</f>
        <v>47049.9357271566</v>
      </c>
      <c r="R32" s="75" t="n">
        <f aca="false">CHOOSE(Premissas!$B$6,Cenários!R46,Cenários!R90,Cenários!R134)</f>
        <v>83299.4054301068</v>
      </c>
      <c r="S32" s="75" t="n">
        <f aca="false">CHOOSE(Premissas!$B$6,Cenários!S46,Cenários!S90,Cenários!S134)</f>
        <v>140308.444288952</v>
      </c>
      <c r="T32" s="75" t="n">
        <f aca="false">CHOOSE(Premissas!$B$6,Cenários!T46,Cenários!T90,Cenários!T134)</f>
        <v>174419.853162334</v>
      </c>
      <c r="U32" s="75" t="n">
        <f aca="false">CHOOSE(Premissas!$B$6,Cenários!U46,Cenários!U90,Cenários!U134)</f>
        <v>243913.336760606</v>
      </c>
      <c r="V32" s="75" t="n">
        <f aca="false">CHOOSE(Premissas!$B$6,Cenários!V46,Cenários!V90,Cenários!V134)</f>
        <v>323189.843445083</v>
      </c>
      <c r="W32" s="75" t="n">
        <f aca="false">CHOOSE(Premissas!$B$6,Cenários!W46,Cenários!W90,Cenários!W134)</f>
        <v>409998.086432644</v>
      </c>
      <c r="X32" s="75" t="n">
        <f aca="false">CHOOSE(Premissas!$B$6,Cenários!X46,Cenários!X90,Cenários!X134)</f>
        <v>503548.996536586</v>
      </c>
      <c r="Y32" s="75" t="n">
        <f aca="false">CHOOSE(Premissas!$B$6,Cenários!Y46,Cenários!Y90,Cenários!Y134)</f>
        <v>618603.907936707</v>
      </c>
      <c r="Z32" s="75" t="n">
        <f aca="false">CHOOSE(Premissas!$B$6,Cenários!Z46,Cenários!Z90,Cenários!Z134)</f>
        <v>539973.546823434</v>
      </c>
      <c r="AA32" s="75" t="n">
        <f aca="false">CHOOSE(Premissas!$B$6,Cenários!AA46,Cenários!AA90,Cenários!AA134)</f>
        <v>542604.845649164</v>
      </c>
      <c r="AB32" s="75" t="n">
        <f aca="false">CHOOSE(Premissas!$B$6,Cenários!AB46,Cenários!AB90,Cenários!AB134)</f>
        <v>578572.257544996</v>
      </c>
      <c r="AC32" s="75" t="n">
        <f aca="false">CHOOSE(Premissas!$B$6,Cenários!AC46,Cenários!AC90,Cenários!AC134)</f>
        <v>653023.834080405</v>
      </c>
      <c r="AD32" s="75" t="n">
        <f aca="false">CHOOSE(Premissas!$B$6,Cenários!AD46,Cenários!AD90,Cenários!AD134)</f>
        <v>747648.171359554</v>
      </c>
      <c r="AE32" s="75" t="n">
        <f aca="false">CHOOSE(Premissas!$B$6,Cenários!AE46,Cenários!AE90,Cenários!AE134)</f>
        <v>869104.743820017</v>
      </c>
      <c r="AF32" s="75" t="n">
        <f aca="false">CHOOSE(Premissas!$B$6,Cenários!AF46,Cenários!AF90,Cenários!AF134)</f>
        <v>1032641.61700064</v>
      </c>
      <c r="AG32" s="75" t="n">
        <f aca="false">CHOOSE(Premissas!$B$6,Cenários!AG46,Cenários!AG90,Cenários!AG134)</f>
        <v>1221383.97103752</v>
      </c>
      <c r="AH32" s="75" t="n">
        <f aca="false">CHOOSE(Premissas!$B$6,Cenários!AH46,Cenários!AH90,Cenários!AH134)</f>
        <v>1433560.4785186</v>
      </c>
      <c r="AI32" s="75" t="n">
        <f aca="false">CHOOSE(Premissas!$B$6,Cenários!AI46,Cenários!AI90,Cenários!AI134)</f>
        <v>1667490.39859037</v>
      </c>
      <c r="AJ32" s="75" t="n">
        <f aca="false">CHOOSE(Premissas!$B$6,Cenários!AJ46,Cenários!AJ90,Cenários!AJ134)</f>
        <v>1921647.04194053</v>
      </c>
      <c r="AK32" s="75" t="n">
        <f aca="false">CHOOSE(Premissas!$B$6,Cenários!AK46,Cenários!AK90,Cenários!AK134)</f>
        <v>2194684.07706077</v>
      </c>
      <c r="AL32" s="75" t="n">
        <f aca="false">CHOOSE(Premissas!$B$6,Cenários!AL46,Cenários!AL90,Cenários!AL134)</f>
        <v>2225723.78863471</v>
      </c>
      <c r="AM32" s="75" t="n">
        <f aca="false">CHOOSE(Premissas!$B$6,Cenários!AM46,Cenários!AM90,Cenários!AM134)</f>
        <v>2379558.11465395</v>
      </c>
      <c r="AN32" s="75" t="n">
        <f aca="false">CHOOSE(Premissas!$B$6,Cenários!AN46,Cenários!AN90,Cenários!AN134)</f>
        <v>2592098.07407246</v>
      </c>
      <c r="AO32" s="75" t="n">
        <f aca="false">CHOOSE(Premissas!$B$6,Cenários!AO46,Cenários!AO90,Cenários!AO134)</f>
        <v>2859531.63504367</v>
      </c>
      <c r="AP32" s="75" t="n">
        <f aca="false">CHOOSE(Premissas!$B$6,Cenários!AP46,Cenários!AP90,Cenários!AP134)</f>
        <v>3178279.07819193</v>
      </c>
      <c r="AQ32" s="75" t="n">
        <f aca="false">CHOOSE(Premissas!$B$6,Cenários!AQ46,Cenários!AQ90,Cenários!AQ134)</f>
        <v>3520023.40969257</v>
      </c>
      <c r="AR32" s="75" t="n">
        <f aca="false">CHOOSE(Premissas!$B$6,Cenários!AR46,Cenários!AR90,Cenários!AR134)</f>
        <v>3931657.76903148</v>
      </c>
      <c r="AS32" s="75" t="n">
        <f aca="false">CHOOSE(Premissas!$B$6,Cenários!AS46,Cenários!AS90,Cenários!AS134)</f>
        <v>4385243.66690075</v>
      </c>
      <c r="AT32" s="75" t="n">
        <f aca="false">CHOOSE(Premissas!$B$6,Cenários!AT46,Cenários!AT90,Cenários!AT134)</f>
        <v>4878021.1837501</v>
      </c>
      <c r="AU32" s="75" t="n">
        <f aca="false">CHOOSE(Premissas!$B$6,Cenários!AU46,Cenários!AU90,Cenários!AU134)</f>
        <v>5407510.36356976</v>
      </c>
      <c r="AV32" s="75" t="n">
        <f aca="false">CHOOSE(Premissas!$B$6,Cenários!AV46,Cenários!AV90,Cenários!AV134)</f>
        <v>5971311.73210557</v>
      </c>
      <c r="AW32" s="75" t="n">
        <f aca="false">CHOOSE(Premissas!$B$6,Cenários!AW46,Cenários!AW90,Cenários!AW134)</f>
        <v>6567160.09519928</v>
      </c>
      <c r="AX32" s="75" t="n">
        <f aca="false">CHOOSE(Premissas!$B$6,Cenários!AX46,Cenários!AX90,Cenários!AX134)</f>
        <v>6898520.68766424</v>
      </c>
      <c r="AY32" s="75" t="n">
        <f aca="false">CHOOSE(Premissas!$B$6,Cenários!AY46,Cenários!AY90,Cenários!AY134)</f>
        <v>7388428.25164316</v>
      </c>
      <c r="AZ32" s="75" t="n">
        <f aca="false">CHOOSE(Premissas!$B$6,Cenários!AZ46,Cenários!AZ90,Cenários!AZ134)</f>
        <v>7961606.82576426</v>
      </c>
      <c r="BA32" s="75" t="n">
        <f aca="false">CHOOSE(Premissas!$B$6,Cenários!BA46,Cenários!BA90,Cenários!BA134)</f>
        <v>8613030.14423483</v>
      </c>
      <c r="BB32" s="75" t="n">
        <f aca="false">CHOOSE(Premissas!$B$6,Cenários!BB46,Cenários!BB90,Cenários!BB134)</f>
        <v>9338000.00129173</v>
      </c>
      <c r="BC32" s="75" t="n">
        <f aca="false">CHOOSE(Premissas!$B$6,Cenários!BC46,Cenários!BC90,Cenários!BC134)</f>
        <v>10102116.9874987</v>
      </c>
      <c r="BD32" s="75" t="n">
        <f aca="false">CHOOSE(Premissas!$B$6,Cenários!BD46,Cenários!BD90,Cenários!BD134)</f>
        <v>10961224.3980287</v>
      </c>
      <c r="BE32" s="75" t="n">
        <f aca="false">CHOOSE(Premissas!$B$6,Cenários!BE46,Cenários!BE90,Cenários!BE134)</f>
        <v>11881445.174018</v>
      </c>
      <c r="BF32" s="75" t="n">
        <f aca="false">CHOOSE(Premissas!$B$6,Cenários!BF46,Cenários!BF90,Cenários!BF134)</f>
        <v>12859096.5560227</v>
      </c>
      <c r="BG32" s="75" t="n">
        <f aca="false">CHOOSE(Premissas!$B$6,Cenários!BG46,Cenários!BG90,Cenários!BG134)</f>
        <v>13890721.0361254</v>
      </c>
      <c r="BH32" s="75" t="n">
        <f aca="false">CHOOSE(Premissas!$B$6,Cenários!BH46,Cenários!BH90,Cenários!BH134)</f>
        <v>14973053.7271963</v>
      </c>
      <c r="BI32" s="75" t="n">
        <f aca="false">CHOOSE(Premissas!$B$6,Cenários!BI46,Cenários!BI90,Cenários!BI134)</f>
        <v>16103141.5036971</v>
      </c>
    </row>
    <row r="33" customFormat="false" ht="15" hidden="false" customHeight="false" outlineLevel="0" collapsed="false">
      <c r="A33" s="12" t="s">
        <v>338</v>
      </c>
      <c r="B33" s="84" t="n">
        <f aca="false">MAX(0,-CHOOSE(Premissas!$B$6,Cenários!B39,Cenários!B83,Cenários!B127))</f>
        <v>-0</v>
      </c>
      <c r="C33" s="84" t="n">
        <f aca="false">MAX(0,-CHOOSE(Premissas!$B$6,Cenários!C39,Cenários!C83,Cenários!C127))</f>
        <v>-0</v>
      </c>
      <c r="D33" s="84" t="n">
        <f aca="false">MAX(0,-CHOOSE(Premissas!$B$6,Cenários!D39,Cenários!D83,Cenários!D127))</f>
        <v>-0</v>
      </c>
      <c r="E33" s="84" t="n">
        <f aca="false">MAX(0,-CHOOSE(Premissas!$B$6,Cenários!E39,Cenários!E83,Cenários!E127))</f>
        <v>1500</v>
      </c>
      <c r="F33" s="84" t="n">
        <f aca="false">MAX(0,-CHOOSE(Premissas!$B$6,Cenários!F39,Cenários!F83,Cenários!F127))</f>
        <v>8100</v>
      </c>
      <c r="G33" s="84" t="n">
        <f aca="false">MAX(0,-CHOOSE(Premissas!$B$6,Cenários!G39,Cenários!G83,Cenários!G127))</f>
        <v>2100</v>
      </c>
      <c r="H33" s="84" t="n">
        <f aca="false">MAX(0,-CHOOSE(Premissas!$B$6,Cenários!H39,Cenários!H83,Cenários!H127))</f>
        <v>2100</v>
      </c>
      <c r="I33" s="84" t="n">
        <f aca="false">MAX(0,-CHOOSE(Premissas!$B$6,Cenários!I39,Cenários!I83,Cenários!I127))</f>
        <v>18227.82</v>
      </c>
      <c r="J33" s="84" t="n">
        <f aca="false">MAX(0,-CHOOSE(Premissas!$B$6,Cenários!J39,Cenários!J83,Cenários!J127))</f>
        <v>9100</v>
      </c>
      <c r="K33" s="84" t="n">
        <f aca="false">MAX(0,-CHOOSE(Premissas!$B$6,Cenários!K39,Cenários!K83,Cenários!K127))</f>
        <v>51189.655375</v>
      </c>
      <c r="L33" s="84" t="n">
        <f aca="false">MAX(0,-CHOOSE(Premissas!$B$6,Cenários!L39,Cenários!L83,Cenários!L127))</f>
        <v>7017.05935</v>
      </c>
      <c r="M33" s="84" t="n">
        <f aca="false">MAX(0,-CHOOSE(Premissas!$B$6,Cenários!M39,Cenários!M83,Cenários!M127))</f>
        <v>0</v>
      </c>
      <c r="N33" s="84" t="n">
        <f aca="false">MAX(0,-CHOOSE(Premissas!$B$6,Cenários!N39,Cenários!N83,Cenários!N127))</f>
        <v>42026.94952315</v>
      </c>
      <c r="O33" s="84" t="n">
        <f aca="false">MAX(0,-CHOOSE(Premissas!$B$6,Cenários!O39,Cenários!O83,Cenários!O127))</f>
        <v>8244.70560212516</v>
      </c>
      <c r="P33" s="84" t="n">
        <f aca="false">MAX(0,-CHOOSE(Premissas!$B$6,Cenários!P39,Cenários!P83,Cenários!P127))</f>
        <v>3930.1070338879</v>
      </c>
      <c r="Q33" s="84" t="n">
        <f aca="false">MAX(0,-CHOOSE(Premissas!$B$6,Cenários!Q39,Cenários!Q83,Cenários!Q127))</f>
        <v>0</v>
      </c>
      <c r="R33" s="84" t="n">
        <f aca="false">MAX(0,-CHOOSE(Premissas!$B$6,Cenários!R39,Cenários!R83,Cenários!R127))</f>
        <v>0</v>
      </c>
      <c r="S33" s="84" t="n">
        <f aca="false">MAX(0,-CHOOSE(Premissas!$B$6,Cenários!S39,Cenários!S83,Cenários!S127))</f>
        <v>0</v>
      </c>
      <c r="T33" s="84" t="n">
        <f aca="false">MAX(0,-CHOOSE(Premissas!$B$6,Cenários!T39,Cenários!T83,Cenários!T127))</f>
        <v>0</v>
      </c>
      <c r="U33" s="84" t="n">
        <f aca="false">MAX(0,-CHOOSE(Premissas!$B$6,Cenários!U39,Cenários!U83,Cenários!U127))</f>
        <v>0</v>
      </c>
      <c r="V33" s="84" t="n">
        <f aca="false">MAX(0,-CHOOSE(Premissas!$B$6,Cenários!V39,Cenários!V83,Cenários!V127))</f>
        <v>0</v>
      </c>
      <c r="W33" s="84" t="n">
        <f aca="false">MAX(0,-CHOOSE(Premissas!$B$6,Cenários!W39,Cenários!W83,Cenários!W127))</f>
        <v>0</v>
      </c>
      <c r="X33" s="84" t="n">
        <f aca="false">MAX(0,-CHOOSE(Premissas!$B$6,Cenários!X39,Cenários!X83,Cenários!X127))</f>
        <v>0</v>
      </c>
      <c r="Y33" s="84" t="n">
        <f aca="false">MAX(0,-CHOOSE(Premissas!$B$6,Cenários!Y39,Cenários!Y83,Cenários!Y127))</f>
        <v>0</v>
      </c>
      <c r="Z33" s="84" t="n">
        <f aca="false">MAX(0,-CHOOSE(Premissas!$B$6,Cenários!Z39,Cenários!Z83,Cenários!Z127))</f>
        <v>78630.3611132733</v>
      </c>
      <c r="AA33" s="84" t="n">
        <f aca="false">MAX(0,-CHOOSE(Premissas!$B$6,Cenários!AA39,Cenários!AA83,Cenários!AA127))</f>
        <v>0</v>
      </c>
      <c r="AB33" s="84" t="n">
        <f aca="false">MAX(0,-CHOOSE(Premissas!$B$6,Cenários!AB39,Cenários!AB83,Cenários!AB127))</f>
        <v>0</v>
      </c>
      <c r="AC33" s="84" t="n">
        <f aca="false">MAX(0,-CHOOSE(Premissas!$B$6,Cenários!AC39,Cenários!AC83,Cenários!AC127))</f>
        <v>0</v>
      </c>
      <c r="AD33" s="84" t="n">
        <f aca="false">MAX(0,-CHOOSE(Premissas!$B$6,Cenários!AD39,Cenários!AD83,Cenários!AD127))</f>
        <v>0</v>
      </c>
      <c r="AE33" s="84" t="n">
        <f aca="false">MAX(0,-CHOOSE(Premissas!$B$6,Cenários!AE39,Cenários!AE83,Cenários!AE127))</f>
        <v>0</v>
      </c>
      <c r="AF33" s="84" t="n">
        <f aca="false">MAX(0,-CHOOSE(Premissas!$B$6,Cenários!AF39,Cenários!AF83,Cenários!AF127))</f>
        <v>0</v>
      </c>
      <c r="AG33" s="84" t="n">
        <f aca="false">MAX(0,-CHOOSE(Premissas!$B$6,Cenários!AG39,Cenários!AG83,Cenários!AG127))</f>
        <v>0</v>
      </c>
      <c r="AH33" s="84" t="n">
        <f aca="false">MAX(0,-CHOOSE(Premissas!$B$6,Cenários!AH39,Cenários!AH83,Cenários!AH127))</f>
        <v>0</v>
      </c>
      <c r="AI33" s="84" t="n">
        <f aca="false">MAX(0,-CHOOSE(Premissas!$B$6,Cenários!AI39,Cenários!AI83,Cenários!AI127))</f>
        <v>0</v>
      </c>
      <c r="AJ33" s="84" t="n">
        <f aca="false">MAX(0,-CHOOSE(Premissas!$B$6,Cenários!AJ39,Cenários!AJ83,Cenários!AJ127))</f>
        <v>0</v>
      </c>
      <c r="AK33" s="84" t="n">
        <f aca="false">MAX(0,-CHOOSE(Premissas!$B$6,Cenários!AK39,Cenários!AK83,Cenários!AK127))</f>
        <v>0</v>
      </c>
      <c r="AL33" s="84" t="n">
        <f aca="false">MAX(0,-CHOOSE(Premissas!$B$6,Cenários!AL39,Cenários!AL83,Cenários!AL127))</f>
        <v>0</v>
      </c>
      <c r="AM33" s="84" t="n">
        <f aca="false">MAX(0,-CHOOSE(Premissas!$B$6,Cenários!AM39,Cenários!AM83,Cenários!AM127))</f>
        <v>0</v>
      </c>
      <c r="AN33" s="84" t="n">
        <f aca="false">MAX(0,-CHOOSE(Premissas!$B$6,Cenários!AN39,Cenários!AN83,Cenários!AN127))</f>
        <v>0</v>
      </c>
      <c r="AO33" s="84" t="n">
        <f aca="false">MAX(0,-CHOOSE(Premissas!$B$6,Cenários!AO39,Cenários!AO83,Cenários!AO127))</f>
        <v>0</v>
      </c>
      <c r="AP33" s="84" t="n">
        <f aca="false">MAX(0,-CHOOSE(Premissas!$B$6,Cenários!AP39,Cenários!AP83,Cenários!AP127))</f>
        <v>0</v>
      </c>
      <c r="AQ33" s="84" t="n">
        <f aca="false">MAX(0,-CHOOSE(Premissas!$B$6,Cenários!AQ39,Cenários!AQ83,Cenários!AQ127))</f>
        <v>0</v>
      </c>
      <c r="AR33" s="84" t="n">
        <f aca="false">MAX(0,-CHOOSE(Premissas!$B$6,Cenários!AR39,Cenários!AR83,Cenários!AR127))</f>
        <v>0</v>
      </c>
      <c r="AS33" s="84" t="n">
        <f aca="false">MAX(0,-CHOOSE(Premissas!$B$6,Cenários!AS39,Cenários!AS83,Cenários!AS127))</f>
        <v>0</v>
      </c>
      <c r="AT33" s="84" t="n">
        <f aca="false">MAX(0,-CHOOSE(Premissas!$B$6,Cenários!AT39,Cenários!AT83,Cenários!AT127))</f>
        <v>0</v>
      </c>
      <c r="AU33" s="84" t="n">
        <f aca="false">MAX(0,-CHOOSE(Premissas!$B$6,Cenários!AU39,Cenários!AU83,Cenários!AU127))</f>
        <v>0</v>
      </c>
      <c r="AV33" s="84" t="n">
        <f aca="false">MAX(0,-CHOOSE(Premissas!$B$6,Cenários!AV39,Cenários!AV83,Cenários!AV127))</f>
        <v>0</v>
      </c>
      <c r="AW33" s="84" t="n">
        <f aca="false">MAX(0,-CHOOSE(Premissas!$B$6,Cenários!AW39,Cenários!AW83,Cenários!AW127))</f>
        <v>0</v>
      </c>
      <c r="AX33" s="84" t="n">
        <f aca="false">MAX(0,-CHOOSE(Premissas!$B$6,Cenários!AX39,Cenários!AX83,Cenários!AX127))</f>
        <v>0</v>
      </c>
      <c r="AY33" s="84" t="n">
        <f aca="false">MAX(0,-CHOOSE(Premissas!$B$6,Cenários!AY39,Cenários!AY83,Cenários!AY127))</f>
        <v>0</v>
      </c>
      <c r="AZ33" s="84" t="n">
        <f aca="false">MAX(0,-CHOOSE(Premissas!$B$6,Cenários!AZ39,Cenários!AZ83,Cenários!AZ127))</f>
        <v>0</v>
      </c>
      <c r="BA33" s="84" t="n">
        <f aca="false">MAX(0,-CHOOSE(Premissas!$B$6,Cenários!BA39,Cenários!BA83,Cenários!BA127))</f>
        <v>0</v>
      </c>
      <c r="BB33" s="84" t="n">
        <f aca="false">MAX(0,-CHOOSE(Premissas!$B$6,Cenários!BB39,Cenários!BB83,Cenários!BB127))</f>
        <v>0</v>
      </c>
      <c r="BC33" s="84" t="n">
        <f aca="false">MAX(0,-CHOOSE(Premissas!$B$6,Cenários!BC39,Cenários!BC83,Cenários!BC127))</f>
        <v>0</v>
      </c>
      <c r="BD33" s="84" t="n">
        <f aca="false">MAX(0,-CHOOSE(Premissas!$B$6,Cenários!BD39,Cenários!BD83,Cenários!BD127))</f>
        <v>0</v>
      </c>
      <c r="BE33" s="84" t="n">
        <f aca="false">MAX(0,-CHOOSE(Premissas!$B$6,Cenários!BE39,Cenários!BE83,Cenários!BE127))</f>
        <v>0</v>
      </c>
      <c r="BF33" s="84" t="n">
        <f aca="false">MAX(0,-CHOOSE(Premissas!$B$6,Cenários!BF39,Cenários!BF83,Cenários!BF127))</f>
        <v>0</v>
      </c>
      <c r="BG33" s="84" t="n">
        <f aca="false">MAX(0,-CHOOSE(Premissas!$B$6,Cenários!BG39,Cenários!BG83,Cenários!BG127))</f>
        <v>0</v>
      </c>
      <c r="BH33" s="84" t="n">
        <f aca="false">MAX(0,-CHOOSE(Premissas!$B$6,Cenários!BH39,Cenários!BH83,Cenários!BH127))</f>
        <v>0</v>
      </c>
      <c r="BI33" s="84" t="n">
        <f aca="false">MAX(0,-CHOOSE(Premissas!$B$6,Cenários!BI39,Cenários!BI83,Cenários!BI127))</f>
        <v>0</v>
      </c>
    </row>
    <row r="34" customFormat="false" ht="15" hidden="false" customHeight="false" outlineLevel="0" collapsed="false">
      <c r="A34" s="16" t="s">
        <v>339</v>
      </c>
      <c r="B34" s="104" t="n">
        <f aca="false">IF(B32&lt;=0,0,IF(AVERAGE(B33:B33)&lt;=0,999,B32/AVERAGE(B33:B33)))</f>
        <v>0</v>
      </c>
      <c r="C34" s="104" t="n">
        <f aca="false">IF(C32&lt;=0,0,IF(AVERAGE(B33:C33)&lt;=0,999,C32/AVERAGE(B33:C33)))</f>
        <v>0</v>
      </c>
      <c r="D34" s="104" t="n">
        <f aca="false">IF(D32&lt;=0,0,IF(AVERAGE(B33:D33)&lt;=0,999,D32/AVERAGE(B33:D33)))</f>
        <v>0</v>
      </c>
      <c r="E34" s="104" t="n">
        <f aca="false">IF(E32&lt;=0,0,IF(AVERAGE(C33:E33)&lt;=0,999,E32/AVERAGE(C33:E33)))</f>
        <v>17</v>
      </c>
      <c r="F34" s="104" t="n">
        <f aca="false">IF(F32&lt;=0,0,IF(AVERAGE(D33:F33)&lt;=0,999,F32/AVERAGE(D33:F33)))</f>
        <v>0.125</v>
      </c>
      <c r="G34" s="104" t="n">
        <f aca="false">IF(G32&lt;=0,0,IF(AVERAGE(E33:G33)&lt;=0,999,G32/AVERAGE(E33:G33)))</f>
        <v>0</v>
      </c>
      <c r="H34" s="104" t="n">
        <f aca="false">IF(H32&lt;=0,0,IF(AVERAGE(F33:H33)&lt;=0,999,H32/AVERAGE(F33:H33)))</f>
        <v>0.292682926829268</v>
      </c>
      <c r="I34" s="104" t="n">
        <f aca="false">IF(I32&lt;=0,0,IF(AVERAGE(G33:I33)&lt;=0,999,I32/AVERAGE(G33:I33)))</f>
        <v>0.130041172080033</v>
      </c>
      <c r="J34" s="104" t="n">
        <f aca="false">IF(J32&lt;=0,0,IF(AVERAGE(H33:J33)&lt;=0,999,J32/AVERAGE(H33:J33)))</f>
        <v>0</v>
      </c>
      <c r="K34" s="104" t="n">
        <f aca="false">IF(K32&lt;=0,0,IF(AVERAGE(I33:K33)&lt;=0,999,K32/AVERAGE(I33:K33)))</f>
        <v>0.790239033777644</v>
      </c>
      <c r="L34" s="104" t="n">
        <f aca="false">IF(L32&lt;=0,0,IF(AVERAGE(J33:L33)&lt;=0,999,L32/AVERAGE(J33:L33)))</f>
        <v>2.39198119359703</v>
      </c>
      <c r="M34" s="104" t="n">
        <f aca="false">IF(M32&lt;=0,0,IF(AVERAGE(K33:M33)&lt;=0,999,M32/AVERAGE(K33:M33)))</f>
        <v>4.04972084644655</v>
      </c>
      <c r="N34" s="104" t="n">
        <f aca="false">IF(N32&lt;=0,0,IF(AVERAGE(L33:N33)&lt;=0,999,N32/AVERAGE(L33:N33)))</f>
        <v>2.23554517615248</v>
      </c>
      <c r="O34" s="104" t="n">
        <f aca="false">IF(O32&lt;=0,0,IF(AVERAGE(M33:O33)&lt;=0,999,O32/AVERAGE(M33:O33)))</f>
        <v>1.68894341030929</v>
      </c>
      <c r="P34" s="104" t="n">
        <f aca="false">IF(P32&lt;=0,0,IF(AVERAGE(N33:P33)&lt;=0,999,P32/AVERAGE(N33:P33)))</f>
        <v>1.3489535512297</v>
      </c>
      <c r="Q34" s="104" t="n">
        <f aca="false">IF(Q32&lt;=0,0,IF(AVERAGE(O33:Q33)&lt;=0,999,Q32/AVERAGE(O33:Q33)))</f>
        <v>11.5935917374161</v>
      </c>
      <c r="R34" s="104" t="n">
        <f aca="false">IF(R32&lt;=0,0,IF(AVERAGE(P33:R33)&lt;=0,999,R32/AVERAGE(P33:R33)))</f>
        <v>63.5856006300943</v>
      </c>
      <c r="S34" s="104" t="n">
        <f aca="false">IF(S32&lt;=0,0,IF(AVERAGE(Q33:S33)&lt;=0,999,S32/AVERAGE(Q33:S33)))</f>
        <v>999</v>
      </c>
      <c r="T34" s="104" t="n">
        <f aca="false">IF(T32&lt;=0,0,IF(AVERAGE(R33:T33)&lt;=0,999,T32/AVERAGE(R33:T33)))</f>
        <v>999</v>
      </c>
      <c r="U34" s="104" t="n">
        <f aca="false">IF(U32&lt;=0,0,IF(AVERAGE(S33:U33)&lt;=0,999,U32/AVERAGE(S33:U33)))</f>
        <v>999</v>
      </c>
      <c r="V34" s="104" t="n">
        <f aca="false">IF(V32&lt;=0,0,IF(AVERAGE(T33:V33)&lt;=0,999,V32/AVERAGE(T33:V33)))</f>
        <v>999</v>
      </c>
      <c r="W34" s="104" t="n">
        <f aca="false">IF(W32&lt;=0,0,IF(AVERAGE(U33:W33)&lt;=0,999,W32/AVERAGE(U33:W33)))</f>
        <v>999</v>
      </c>
      <c r="X34" s="104" t="n">
        <f aca="false">IF(X32&lt;=0,0,IF(AVERAGE(V33:X33)&lt;=0,999,X32/AVERAGE(V33:X33)))</f>
        <v>999</v>
      </c>
      <c r="Y34" s="104" t="n">
        <f aca="false">IF(Y32&lt;=0,0,IF(AVERAGE(W33:Y33)&lt;=0,999,Y32/AVERAGE(W33:Y33)))</f>
        <v>999</v>
      </c>
      <c r="Z34" s="104" t="n">
        <f aca="false">IF(Z32&lt;=0,0,IF(AVERAGE(X33:Z33)&lt;=0,999,Z32/AVERAGE(X33:Z33)))</f>
        <v>20.6017194571532</v>
      </c>
      <c r="AA34" s="104" t="n">
        <f aca="false">IF(AA32&lt;=0,0,IF(AVERAGE(Y33:AA33)&lt;=0,999,AA32/AVERAGE(Y33:AA33)))</f>
        <v>20.7021119310707</v>
      </c>
      <c r="AB34" s="104" t="n">
        <f aca="false">IF(AB32&lt;=0,0,IF(AVERAGE(Z33:AB33)&lt;=0,999,AB32/AVERAGE(Z33:AB33)))</f>
        <v>22.0743838392723</v>
      </c>
      <c r="AC34" s="104" t="n">
        <f aca="false">IF(AC32&lt;=0,0,IF(AVERAGE(AA33:AC33)&lt;=0,999,AC32/AVERAGE(AA33:AC33)))</f>
        <v>999</v>
      </c>
      <c r="AD34" s="104" t="n">
        <f aca="false">IF(AD32&lt;=0,0,IF(AVERAGE(AB33:AD33)&lt;=0,999,AD32/AVERAGE(AB33:AD33)))</f>
        <v>999</v>
      </c>
      <c r="AE34" s="104" t="n">
        <f aca="false">IF(AE32&lt;=0,0,IF(AVERAGE(AC33:AE33)&lt;=0,999,AE32/AVERAGE(AC33:AE33)))</f>
        <v>999</v>
      </c>
      <c r="AF34" s="104" t="n">
        <f aca="false">IF(AF32&lt;=0,0,IF(AVERAGE(AD33:AF33)&lt;=0,999,AF32/AVERAGE(AD33:AF33)))</f>
        <v>999</v>
      </c>
      <c r="AG34" s="104" t="n">
        <f aca="false">IF(AG32&lt;=0,0,IF(AVERAGE(AE33:AG33)&lt;=0,999,AG32/AVERAGE(AE33:AG33)))</f>
        <v>999</v>
      </c>
      <c r="AH34" s="104" t="n">
        <f aca="false">IF(AH32&lt;=0,0,IF(AVERAGE(AF33:AH33)&lt;=0,999,AH32/AVERAGE(AF33:AH33)))</f>
        <v>999</v>
      </c>
      <c r="AI34" s="104" t="n">
        <f aca="false">IF(AI32&lt;=0,0,IF(AVERAGE(AG33:AI33)&lt;=0,999,AI32/AVERAGE(AG33:AI33)))</f>
        <v>999</v>
      </c>
      <c r="AJ34" s="104" t="n">
        <f aca="false">IF(AJ32&lt;=0,0,IF(AVERAGE(AH33:AJ33)&lt;=0,999,AJ32/AVERAGE(AH33:AJ33)))</f>
        <v>999</v>
      </c>
      <c r="AK34" s="104" t="n">
        <f aca="false">IF(AK32&lt;=0,0,IF(AVERAGE(AI33:AK33)&lt;=0,999,AK32/AVERAGE(AI33:AK33)))</f>
        <v>999</v>
      </c>
      <c r="AL34" s="104" t="n">
        <f aca="false">IF(AL32&lt;=0,0,IF(AVERAGE(AJ33:AL33)&lt;=0,999,AL32/AVERAGE(AJ33:AL33)))</f>
        <v>999</v>
      </c>
      <c r="AM34" s="104" t="n">
        <f aca="false">IF(AM32&lt;=0,0,IF(AVERAGE(AK33:AM33)&lt;=0,999,AM32/AVERAGE(AK33:AM33)))</f>
        <v>999</v>
      </c>
      <c r="AN34" s="104" t="n">
        <f aca="false">IF(AN32&lt;=0,0,IF(AVERAGE(AL33:AN33)&lt;=0,999,AN32/AVERAGE(AL33:AN33)))</f>
        <v>999</v>
      </c>
      <c r="AO34" s="104" t="n">
        <f aca="false">IF(AO32&lt;=0,0,IF(AVERAGE(AM33:AO33)&lt;=0,999,AO32/AVERAGE(AM33:AO33)))</f>
        <v>999</v>
      </c>
      <c r="AP34" s="104" t="n">
        <f aca="false">IF(AP32&lt;=0,0,IF(AVERAGE(AN33:AP33)&lt;=0,999,AP32/AVERAGE(AN33:AP33)))</f>
        <v>999</v>
      </c>
      <c r="AQ34" s="104" t="n">
        <f aca="false">IF(AQ32&lt;=0,0,IF(AVERAGE(AO33:AQ33)&lt;=0,999,AQ32/AVERAGE(AO33:AQ33)))</f>
        <v>999</v>
      </c>
      <c r="AR34" s="104" t="n">
        <f aca="false">IF(AR32&lt;=0,0,IF(AVERAGE(AP33:AR33)&lt;=0,999,AR32/AVERAGE(AP33:AR33)))</f>
        <v>999</v>
      </c>
      <c r="AS34" s="104" t="n">
        <f aca="false">IF(AS32&lt;=0,0,IF(AVERAGE(AQ33:AS33)&lt;=0,999,AS32/AVERAGE(AQ33:AS33)))</f>
        <v>999</v>
      </c>
      <c r="AT34" s="104" t="n">
        <f aca="false">IF(AT32&lt;=0,0,IF(AVERAGE(AR33:AT33)&lt;=0,999,AT32/AVERAGE(AR33:AT33)))</f>
        <v>999</v>
      </c>
      <c r="AU34" s="104" t="n">
        <f aca="false">IF(AU32&lt;=0,0,IF(AVERAGE(AS33:AU33)&lt;=0,999,AU32/AVERAGE(AS33:AU33)))</f>
        <v>999</v>
      </c>
      <c r="AV34" s="104" t="n">
        <f aca="false">IF(AV32&lt;=0,0,IF(AVERAGE(AT33:AV33)&lt;=0,999,AV32/AVERAGE(AT33:AV33)))</f>
        <v>999</v>
      </c>
      <c r="AW34" s="104" t="n">
        <f aca="false">IF(AW32&lt;=0,0,IF(AVERAGE(AU33:AW33)&lt;=0,999,AW32/AVERAGE(AU33:AW33)))</f>
        <v>999</v>
      </c>
      <c r="AX34" s="104" t="n">
        <f aca="false">IF(AX32&lt;=0,0,IF(AVERAGE(AV33:AX33)&lt;=0,999,AX32/AVERAGE(AV33:AX33)))</f>
        <v>999</v>
      </c>
      <c r="AY34" s="104" t="n">
        <f aca="false">IF(AY32&lt;=0,0,IF(AVERAGE(AW33:AY33)&lt;=0,999,AY32/AVERAGE(AW33:AY33)))</f>
        <v>999</v>
      </c>
      <c r="AZ34" s="104" t="n">
        <f aca="false">IF(AZ32&lt;=0,0,IF(AVERAGE(AX33:AZ33)&lt;=0,999,AZ32/AVERAGE(AX33:AZ33)))</f>
        <v>999</v>
      </c>
      <c r="BA34" s="104" t="n">
        <f aca="false">IF(BA32&lt;=0,0,IF(AVERAGE(AY33:BA33)&lt;=0,999,BA32/AVERAGE(AY33:BA33)))</f>
        <v>999</v>
      </c>
      <c r="BB34" s="104" t="n">
        <f aca="false">IF(BB32&lt;=0,0,IF(AVERAGE(AZ33:BB33)&lt;=0,999,BB32/AVERAGE(AZ33:BB33)))</f>
        <v>999</v>
      </c>
      <c r="BC34" s="104" t="n">
        <f aca="false">IF(BC32&lt;=0,0,IF(AVERAGE(BA33:BC33)&lt;=0,999,BC32/AVERAGE(BA33:BC33)))</f>
        <v>999</v>
      </c>
      <c r="BD34" s="104" t="n">
        <f aca="false">IF(BD32&lt;=0,0,IF(AVERAGE(BB33:BD33)&lt;=0,999,BD32/AVERAGE(BB33:BD33)))</f>
        <v>999</v>
      </c>
      <c r="BE34" s="104" t="n">
        <f aca="false">IF(BE32&lt;=0,0,IF(AVERAGE(BC33:BE33)&lt;=0,999,BE32/AVERAGE(BC33:BE33)))</f>
        <v>999</v>
      </c>
      <c r="BF34" s="104" t="n">
        <f aca="false">IF(BF32&lt;=0,0,IF(AVERAGE(BD33:BF33)&lt;=0,999,BF32/AVERAGE(BD33:BF33)))</f>
        <v>999</v>
      </c>
      <c r="BG34" s="104" t="n">
        <f aca="false">IF(BG32&lt;=0,0,IF(AVERAGE(BE33:BG33)&lt;=0,999,BG32/AVERAGE(BE33:BG33)))</f>
        <v>999</v>
      </c>
      <c r="BH34" s="104" t="n">
        <f aca="false">IF(BH32&lt;=0,0,IF(AVERAGE(BF33:BH33)&lt;=0,999,BH32/AVERAGE(BF33:BH33)))</f>
        <v>999</v>
      </c>
      <c r="BI34" s="104" t="n">
        <f aca="false">IF(BI32&lt;=0,0,IF(AVERAGE(BG33:BI33)&lt;=0,999,BI32/AVERAGE(BG33:BI33)))</f>
        <v>999</v>
      </c>
      <c r="BK34" s="14" t="s">
        <v>340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30A0"/>
    <pageSetUpPr fitToPage="false"/>
  </sheetPr>
  <dimension ref="A1:BK1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8" topLeftCell="B9" activePane="bottomRight" state="frozen"/>
      <selection pane="topLeft" activeCell="A1" activeCellId="0" sqref="A1"/>
      <selection pane="topRight" activeCell="B1" activeCellId="0" sqref="B1"/>
      <selection pane="bottomLeft" activeCell="A9" activeCellId="0" sqref="A9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61" min="2" style="0" width="11"/>
    <col collapsed="false" customWidth="true" hidden="false" outlineLevel="0" max="62" min="62" style="0" width="15"/>
    <col collapsed="false" customWidth="true" hidden="false" outlineLevel="0" max="63" min="63" style="0" width="34"/>
  </cols>
  <sheetData>
    <row r="1" customFormat="false" ht="25.5" hidden="false" customHeight="true" outlineLevel="0" collapsed="false">
      <c r="A1" s="1" t="s">
        <v>341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</row>
    <row r="2" customFormat="false" ht="15.75" hidden="false" customHeight="true" outlineLevel="0" collapsed="false">
      <c r="A2" s="3" t="s">
        <v>342</v>
      </c>
    </row>
    <row r="4" customFormat="false" ht="15" hidden="false" customHeight="false" outlineLevel="0" collapsed="false">
      <c r="A4" s="59" t="s">
        <v>189</v>
      </c>
      <c r="B4" s="60" t="n">
        <v>46023</v>
      </c>
      <c r="C4" s="60" t="n">
        <v>46054</v>
      </c>
      <c r="D4" s="60" t="n">
        <v>46082</v>
      </c>
      <c r="E4" s="60" t="n">
        <v>46113</v>
      </c>
      <c r="F4" s="60" t="n">
        <v>46143</v>
      </c>
      <c r="G4" s="60" t="n">
        <v>46174</v>
      </c>
      <c r="H4" s="60" t="n">
        <v>46204</v>
      </c>
      <c r="I4" s="60" t="n">
        <v>46235</v>
      </c>
      <c r="J4" s="60" t="n">
        <v>46266</v>
      </c>
      <c r="K4" s="60" t="n">
        <v>46296</v>
      </c>
      <c r="L4" s="60" t="n">
        <v>46327</v>
      </c>
      <c r="M4" s="60" t="n">
        <v>46357</v>
      </c>
      <c r="N4" s="60" t="n">
        <v>46388</v>
      </c>
      <c r="O4" s="60" t="n">
        <v>46419</v>
      </c>
      <c r="P4" s="60" t="n">
        <v>46447</v>
      </c>
      <c r="Q4" s="60" t="n">
        <v>46478</v>
      </c>
      <c r="R4" s="60" t="n">
        <v>46508</v>
      </c>
      <c r="S4" s="60" t="n">
        <v>46539</v>
      </c>
      <c r="T4" s="60" t="n">
        <v>46569</v>
      </c>
      <c r="U4" s="60" t="n">
        <v>46600</v>
      </c>
      <c r="V4" s="60" t="n">
        <v>46631</v>
      </c>
      <c r="W4" s="60" t="n">
        <v>46661</v>
      </c>
      <c r="X4" s="60" t="n">
        <v>46692</v>
      </c>
      <c r="Y4" s="60" t="n">
        <v>46722</v>
      </c>
      <c r="Z4" s="60" t="n">
        <v>46753</v>
      </c>
      <c r="AA4" s="60" t="n">
        <v>46784</v>
      </c>
      <c r="AB4" s="60" t="n">
        <v>46813</v>
      </c>
      <c r="AC4" s="60" t="n">
        <v>46844</v>
      </c>
      <c r="AD4" s="60" t="n">
        <v>46874</v>
      </c>
      <c r="AE4" s="60" t="n">
        <v>46905</v>
      </c>
      <c r="AF4" s="60" t="n">
        <v>46935</v>
      </c>
      <c r="AG4" s="60" t="n">
        <v>46966</v>
      </c>
      <c r="AH4" s="60" t="n">
        <v>46997</v>
      </c>
      <c r="AI4" s="60" t="n">
        <v>47027</v>
      </c>
      <c r="AJ4" s="60" t="n">
        <v>47058</v>
      </c>
      <c r="AK4" s="60" t="n">
        <v>47088</v>
      </c>
      <c r="AL4" s="60" t="n">
        <v>47119</v>
      </c>
      <c r="AM4" s="60" t="n">
        <v>47150</v>
      </c>
      <c r="AN4" s="60" t="n">
        <v>47178</v>
      </c>
      <c r="AO4" s="60" t="n">
        <v>47209</v>
      </c>
      <c r="AP4" s="60" t="n">
        <v>47239</v>
      </c>
      <c r="AQ4" s="60" t="n">
        <v>47270</v>
      </c>
      <c r="AR4" s="60" t="n">
        <v>47300</v>
      </c>
      <c r="AS4" s="60" t="n">
        <v>47331</v>
      </c>
      <c r="AT4" s="60" t="n">
        <v>47362</v>
      </c>
      <c r="AU4" s="60" t="n">
        <v>47392</v>
      </c>
      <c r="AV4" s="60" t="n">
        <v>47423</v>
      </c>
      <c r="AW4" s="60" t="n">
        <v>47453</v>
      </c>
      <c r="AX4" s="60" t="n">
        <v>47484</v>
      </c>
      <c r="AY4" s="60" t="n">
        <v>47515</v>
      </c>
      <c r="AZ4" s="60" t="n">
        <v>47543</v>
      </c>
      <c r="BA4" s="60" t="n">
        <v>47574</v>
      </c>
      <c r="BB4" s="60" t="n">
        <v>47604</v>
      </c>
      <c r="BC4" s="60" t="n">
        <v>47635</v>
      </c>
      <c r="BD4" s="60" t="n">
        <v>47665</v>
      </c>
      <c r="BE4" s="60" t="n">
        <v>47696</v>
      </c>
      <c r="BF4" s="60" t="n">
        <v>47727</v>
      </c>
      <c r="BG4" s="60" t="n">
        <v>47757</v>
      </c>
      <c r="BH4" s="60" t="n">
        <v>47788</v>
      </c>
      <c r="BI4" s="60" t="n">
        <v>47818</v>
      </c>
      <c r="BJ4" s="61" t="s">
        <v>190</v>
      </c>
      <c r="BK4" s="61" t="s">
        <v>191</v>
      </c>
    </row>
    <row r="5" customFormat="false" ht="15" hidden="false" customHeight="false" outlineLevel="0" collapsed="false">
      <c r="A5" s="62" t="s">
        <v>192</v>
      </c>
      <c r="B5" s="63" t="n">
        <v>1</v>
      </c>
      <c r="C5" s="63" t="n">
        <v>2</v>
      </c>
      <c r="D5" s="63" t="n">
        <v>3</v>
      </c>
      <c r="E5" s="63" t="n">
        <v>4</v>
      </c>
      <c r="F5" s="63" t="n">
        <v>5</v>
      </c>
      <c r="G5" s="63" t="n">
        <v>6</v>
      </c>
      <c r="H5" s="63" t="n">
        <v>7</v>
      </c>
      <c r="I5" s="63" t="n">
        <v>8</v>
      </c>
      <c r="J5" s="63" t="n">
        <v>9</v>
      </c>
      <c r="K5" s="63" t="n">
        <v>10</v>
      </c>
      <c r="L5" s="63" t="n">
        <v>11</v>
      </c>
      <c r="M5" s="63" t="n">
        <v>12</v>
      </c>
      <c r="N5" s="63" t="n">
        <v>13</v>
      </c>
      <c r="O5" s="63" t="n">
        <v>14</v>
      </c>
      <c r="P5" s="63" t="n">
        <v>15</v>
      </c>
      <c r="Q5" s="63" t="n">
        <v>16</v>
      </c>
      <c r="R5" s="63" t="n">
        <v>17</v>
      </c>
      <c r="S5" s="63" t="n">
        <v>18</v>
      </c>
      <c r="T5" s="63" t="n">
        <v>19</v>
      </c>
      <c r="U5" s="63" t="n">
        <v>20</v>
      </c>
      <c r="V5" s="63" t="n">
        <v>21</v>
      </c>
      <c r="W5" s="63" t="n">
        <v>22</v>
      </c>
      <c r="X5" s="63" t="n">
        <v>23</v>
      </c>
      <c r="Y5" s="63" t="n">
        <v>24</v>
      </c>
      <c r="Z5" s="63" t="n">
        <v>25</v>
      </c>
      <c r="AA5" s="63" t="n">
        <v>26</v>
      </c>
      <c r="AB5" s="63" t="n">
        <v>27</v>
      </c>
      <c r="AC5" s="63" t="n">
        <v>28</v>
      </c>
      <c r="AD5" s="63" t="n">
        <v>29</v>
      </c>
      <c r="AE5" s="63" t="n">
        <v>30</v>
      </c>
      <c r="AF5" s="63" t="n">
        <v>31</v>
      </c>
      <c r="AG5" s="63" t="n">
        <v>32</v>
      </c>
      <c r="AH5" s="63" t="n">
        <v>33</v>
      </c>
      <c r="AI5" s="63" t="n">
        <v>34</v>
      </c>
      <c r="AJ5" s="63" t="n">
        <v>35</v>
      </c>
      <c r="AK5" s="63" t="n">
        <v>36</v>
      </c>
      <c r="AL5" s="63" t="n">
        <v>37</v>
      </c>
      <c r="AM5" s="63" t="n">
        <v>38</v>
      </c>
      <c r="AN5" s="63" t="n">
        <v>39</v>
      </c>
      <c r="AO5" s="63" t="n">
        <v>40</v>
      </c>
      <c r="AP5" s="63" t="n">
        <v>41</v>
      </c>
      <c r="AQ5" s="63" t="n">
        <v>42</v>
      </c>
      <c r="AR5" s="63" t="n">
        <v>43</v>
      </c>
      <c r="AS5" s="63" t="n">
        <v>44</v>
      </c>
      <c r="AT5" s="63" t="n">
        <v>45</v>
      </c>
      <c r="AU5" s="63" t="n">
        <v>46</v>
      </c>
      <c r="AV5" s="63" t="n">
        <v>47</v>
      </c>
      <c r="AW5" s="63" t="n">
        <v>48</v>
      </c>
      <c r="AX5" s="63" t="n">
        <v>49</v>
      </c>
      <c r="AY5" s="63" t="n">
        <v>50</v>
      </c>
      <c r="AZ5" s="63" t="n">
        <v>51</v>
      </c>
      <c r="BA5" s="63" t="n">
        <v>52</v>
      </c>
      <c r="BB5" s="63" t="n">
        <v>53</v>
      </c>
      <c r="BC5" s="63" t="n">
        <v>54</v>
      </c>
      <c r="BD5" s="63" t="n">
        <v>55</v>
      </c>
      <c r="BE5" s="63" t="n">
        <v>56</v>
      </c>
      <c r="BF5" s="63" t="n">
        <v>57</v>
      </c>
      <c r="BG5" s="63" t="n">
        <v>58</v>
      </c>
      <c r="BH5" s="63" t="n">
        <v>59</v>
      </c>
      <c r="BI5" s="63" t="n">
        <v>60</v>
      </c>
    </row>
    <row r="6" customFormat="false" ht="15" hidden="false" customHeight="false" outlineLevel="0" collapsed="false">
      <c r="A6" s="62" t="s">
        <v>193</v>
      </c>
      <c r="B6" s="64" t="n">
        <f aca="false">YEAR(B4)</f>
        <v>2026</v>
      </c>
      <c r="C6" s="64" t="n">
        <f aca="false">YEAR(C4)</f>
        <v>2026</v>
      </c>
      <c r="D6" s="64" t="n">
        <f aca="false">YEAR(D4)</f>
        <v>2026</v>
      </c>
      <c r="E6" s="64" t="n">
        <f aca="false">YEAR(E4)</f>
        <v>2026</v>
      </c>
      <c r="F6" s="64" t="n">
        <f aca="false">YEAR(F4)</f>
        <v>2026</v>
      </c>
      <c r="G6" s="64" t="n">
        <f aca="false">YEAR(G4)</f>
        <v>2026</v>
      </c>
      <c r="H6" s="64" t="n">
        <f aca="false">YEAR(H4)</f>
        <v>2026</v>
      </c>
      <c r="I6" s="64" t="n">
        <f aca="false">YEAR(I4)</f>
        <v>2026</v>
      </c>
      <c r="J6" s="64" t="n">
        <f aca="false">YEAR(J4)</f>
        <v>2026</v>
      </c>
      <c r="K6" s="64" t="n">
        <f aca="false">YEAR(K4)</f>
        <v>2026</v>
      </c>
      <c r="L6" s="64" t="n">
        <f aca="false">YEAR(L4)</f>
        <v>2026</v>
      </c>
      <c r="M6" s="64" t="n">
        <f aca="false">YEAR(M4)</f>
        <v>2026</v>
      </c>
      <c r="N6" s="64" t="n">
        <f aca="false">YEAR(N4)</f>
        <v>2027</v>
      </c>
      <c r="O6" s="64" t="n">
        <f aca="false">YEAR(O4)</f>
        <v>2027</v>
      </c>
      <c r="P6" s="64" t="n">
        <f aca="false">YEAR(P4)</f>
        <v>2027</v>
      </c>
      <c r="Q6" s="64" t="n">
        <f aca="false">YEAR(Q4)</f>
        <v>2027</v>
      </c>
      <c r="R6" s="64" t="n">
        <f aca="false">YEAR(R4)</f>
        <v>2027</v>
      </c>
      <c r="S6" s="64" t="n">
        <f aca="false">YEAR(S4)</f>
        <v>2027</v>
      </c>
      <c r="T6" s="64" t="n">
        <f aca="false">YEAR(T4)</f>
        <v>2027</v>
      </c>
      <c r="U6" s="64" t="n">
        <f aca="false">YEAR(U4)</f>
        <v>2027</v>
      </c>
      <c r="V6" s="64" t="n">
        <f aca="false">YEAR(V4)</f>
        <v>2027</v>
      </c>
      <c r="W6" s="64" t="n">
        <f aca="false">YEAR(W4)</f>
        <v>2027</v>
      </c>
      <c r="X6" s="64" t="n">
        <f aca="false">YEAR(X4)</f>
        <v>2027</v>
      </c>
      <c r="Y6" s="64" t="n">
        <f aca="false">YEAR(Y4)</f>
        <v>2027</v>
      </c>
      <c r="Z6" s="64" t="n">
        <f aca="false">YEAR(Z4)</f>
        <v>2028</v>
      </c>
      <c r="AA6" s="64" t="n">
        <f aca="false">YEAR(AA4)</f>
        <v>2028</v>
      </c>
      <c r="AB6" s="64" t="n">
        <f aca="false">YEAR(AB4)</f>
        <v>2028</v>
      </c>
      <c r="AC6" s="64" t="n">
        <f aca="false">YEAR(AC4)</f>
        <v>2028</v>
      </c>
      <c r="AD6" s="64" t="n">
        <f aca="false">YEAR(AD4)</f>
        <v>2028</v>
      </c>
      <c r="AE6" s="64" t="n">
        <f aca="false">YEAR(AE4)</f>
        <v>2028</v>
      </c>
      <c r="AF6" s="64" t="n">
        <f aca="false">YEAR(AF4)</f>
        <v>2028</v>
      </c>
      <c r="AG6" s="64" t="n">
        <f aca="false">YEAR(AG4)</f>
        <v>2028</v>
      </c>
      <c r="AH6" s="64" t="n">
        <f aca="false">YEAR(AH4)</f>
        <v>2028</v>
      </c>
      <c r="AI6" s="64" t="n">
        <f aca="false">YEAR(AI4)</f>
        <v>2028</v>
      </c>
      <c r="AJ6" s="64" t="n">
        <f aca="false">YEAR(AJ4)</f>
        <v>2028</v>
      </c>
      <c r="AK6" s="64" t="n">
        <f aca="false">YEAR(AK4)</f>
        <v>2028</v>
      </c>
      <c r="AL6" s="64" t="n">
        <f aca="false">YEAR(AL4)</f>
        <v>2029</v>
      </c>
      <c r="AM6" s="64" t="n">
        <f aca="false">YEAR(AM4)</f>
        <v>2029</v>
      </c>
      <c r="AN6" s="64" t="n">
        <f aca="false">YEAR(AN4)</f>
        <v>2029</v>
      </c>
      <c r="AO6" s="64" t="n">
        <f aca="false">YEAR(AO4)</f>
        <v>2029</v>
      </c>
      <c r="AP6" s="64" t="n">
        <f aca="false">YEAR(AP4)</f>
        <v>2029</v>
      </c>
      <c r="AQ6" s="64" t="n">
        <f aca="false">YEAR(AQ4)</f>
        <v>2029</v>
      </c>
      <c r="AR6" s="64" t="n">
        <f aca="false">YEAR(AR4)</f>
        <v>2029</v>
      </c>
      <c r="AS6" s="64" t="n">
        <f aca="false">YEAR(AS4)</f>
        <v>2029</v>
      </c>
      <c r="AT6" s="64" t="n">
        <f aca="false">YEAR(AT4)</f>
        <v>2029</v>
      </c>
      <c r="AU6" s="64" t="n">
        <f aca="false">YEAR(AU4)</f>
        <v>2029</v>
      </c>
      <c r="AV6" s="64" t="n">
        <f aca="false">YEAR(AV4)</f>
        <v>2029</v>
      </c>
      <c r="AW6" s="64" t="n">
        <f aca="false">YEAR(AW4)</f>
        <v>2029</v>
      </c>
      <c r="AX6" s="64" t="n">
        <f aca="false">YEAR(AX4)</f>
        <v>2030</v>
      </c>
      <c r="AY6" s="64" t="n">
        <f aca="false">YEAR(AY4)</f>
        <v>2030</v>
      </c>
      <c r="AZ6" s="64" t="n">
        <f aca="false">YEAR(AZ4)</f>
        <v>2030</v>
      </c>
      <c r="BA6" s="64" t="n">
        <f aca="false">YEAR(BA4)</f>
        <v>2030</v>
      </c>
      <c r="BB6" s="64" t="n">
        <f aca="false">YEAR(BB4)</f>
        <v>2030</v>
      </c>
      <c r="BC6" s="64" t="n">
        <f aca="false">YEAR(BC4)</f>
        <v>2030</v>
      </c>
      <c r="BD6" s="64" t="n">
        <f aca="false">YEAR(BD4)</f>
        <v>2030</v>
      </c>
      <c r="BE6" s="64" t="n">
        <f aca="false">YEAR(BE4)</f>
        <v>2030</v>
      </c>
      <c r="BF6" s="64" t="n">
        <f aca="false">YEAR(BF4)</f>
        <v>2030</v>
      </c>
      <c r="BG6" s="64" t="n">
        <f aca="false">YEAR(BG4)</f>
        <v>2030</v>
      </c>
      <c r="BH6" s="64" t="n">
        <f aca="false">YEAR(BH4)</f>
        <v>2030</v>
      </c>
      <c r="BI6" s="64" t="n">
        <f aca="false">YEAR(BI4)</f>
        <v>2030</v>
      </c>
    </row>
    <row r="7" customFormat="false" ht="15" hidden="false" customHeight="false" outlineLevel="0" collapsed="false">
      <c r="A7" s="65" t="s">
        <v>194</v>
      </c>
      <c r="B7" s="66" t="n">
        <f aca="false">MATCH(B6,Premissas!$C$5:$G$5,0)</f>
        <v>1</v>
      </c>
      <c r="C7" s="66" t="n">
        <f aca="false">MATCH(C6,Premissas!$C$5:$G$5,0)</f>
        <v>1</v>
      </c>
      <c r="D7" s="66" t="n">
        <f aca="false">MATCH(D6,Premissas!$C$5:$G$5,0)</f>
        <v>1</v>
      </c>
      <c r="E7" s="66" t="n">
        <f aca="false">MATCH(E6,Premissas!$C$5:$G$5,0)</f>
        <v>1</v>
      </c>
      <c r="F7" s="66" t="n">
        <f aca="false">MATCH(F6,Premissas!$C$5:$G$5,0)</f>
        <v>1</v>
      </c>
      <c r="G7" s="66" t="n">
        <f aca="false">MATCH(G6,Premissas!$C$5:$G$5,0)</f>
        <v>1</v>
      </c>
      <c r="H7" s="66" t="n">
        <f aca="false">MATCH(H6,Premissas!$C$5:$G$5,0)</f>
        <v>1</v>
      </c>
      <c r="I7" s="66" t="n">
        <f aca="false">MATCH(I6,Premissas!$C$5:$G$5,0)</f>
        <v>1</v>
      </c>
      <c r="J7" s="66" t="n">
        <f aca="false">MATCH(J6,Premissas!$C$5:$G$5,0)</f>
        <v>1</v>
      </c>
      <c r="K7" s="66" t="n">
        <f aca="false">MATCH(K6,Premissas!$C$5:$G$5,0)</f>
        <v>1</v>
      </c>
      <c r="L7" s="66" t="n">
        <f aca="false">MATCH(L6,Premissas!$C$5:$G$5,0)</f>
        <v>1</v>
      </c>
      <c r="M7" s="66" t="n">
        <f aca="false">MATCH(M6,Premissas!$C$5:$G$5,0)</f>
        <v>1</v>
      </c>
      <c r="N7" s="66" t="n">
        <f aca="false">MATCH(N6,Premissas!$C$5:$G$5,0)</f>
        <v>2</v>
      </c>
      <c r="O7" s="66" t="n">
        <f aca="false">MATCH(O6,Premissas!$C$5:$G$5,0)</f>
        <v>2</v>
      </c>
      <c r="P7" s="66" t="n">
        <f aca="false">MATCH(P6,Premissas!$C$5:$G$5,0)</f>
        <v>2</v>
      </c>
      <c r="Q7" s="66" t="n">
        <f aca="false">MATCH(Q6,Premissas!$C$5:$G$5,0)</f>
        <v>2</v>
      </c>
      <c r="R7" s="66" t="n">
        <f aca="false">MATCH(R6,Premissas!$C$5:$G$5,0)</f>
        <v>2</v>
      </c>
      <c r="S7" s="66" t="n">
        <f aca="false">MATCH(S6,Premissas!$C$5:$G$5,0)</f>
        <v>2</v>
      </c>
      <c r="T7" s="66" t="n">
        <f aca="false">MATCH(T6,Premissas!$C$5:$G$5,0)</f>
        <v>2</v>
      </c>
      <c r="U7" s="66" t="n">
        <f aca="false">MATCH(U6,Premissas!$C$5:$G$5,0)</f>
        <v>2</v>
      </c>
      <c r="V7" s="66" t="n">
        <f aca="false">MATCH(V6,Premissas!$C$5:$G$5,0)</f>
        <v>2</v>
      </c>
      <c r="W7" s="66" t="n">
        <f aca="false">MATCH(W6,Premissas!$C$5:$G$5,0)</f>
        <v>2</v>
      </c>
      <c r="X7" s="66" t="n">
        <f aca="false">MATCH(X6,Premissas!$C$5:$G$5,0)</f>
        <v>2</v>
      </c>
      <c r="Y7" s="66" t="n">
        <f aca="false">MATCH(Y6,Premissas!$C$5:$G$5,0)</f>
        <v>2</v>
      </c>
      <c r="Z7" s="66" t="n">
        <f aca="false">MATCH(Z6,Premissas!$C$5:$G$5,0)</f>
        <v>3</v>
      </c>
      <c r="AA7" s="66" t="n">
        <f aca="false">MATCH(AA6,Premissas!$C$5:$G$5,0)</f>
        <v>3</v>
      </c>
      <c r="AB7" s="66" t="n">
        <f aca="false">MATCH(AB6,Premissas!$C$5:$G$5,0)</f>
        <v>3</v>
      </c>
      <c r="AC7" s="66" t="n">
        <f aca="false">MATCH(AC6,Premissas!$C$5:$G$5,0)</f>
        <v>3</v>
      </c>
      <c r="AD7" s="66" t="n">
        <f aca="false">MATCH(AD6,Premissas!$C$5:$G$5,0)</f>
        <v>3</v>
      </c>
      <c r="AE7" s="66" t="n">
        <f aca="false">MATCH(AE6,Premissas!$C$5:$G$5,0)</f>
        <v>3</v>
      </c>
      <c r="AF7" s="66" t="n">
        <f aca="false">MATCH(AF6,Premissas!$C$5:$G$5,0)</f>
        <v>3</v>
      </c>
      <c r="AG7" s="66" t="n">
        <f aca="false">MATCH(AG6,Premissas!$C$5:$G$5,0)</f>
        <v>3</v>
      </c>
      <c r="AH7" s="66" t="n">
        <f aca="false">MATCH(AH6,Premissas!$C$5:$G$5,0)</f>
        <v>3</v>
      </c>
      <c r="AI7" s="66" t="n">
        <f aca="false">MATCH(AI6,Premissas!$C$5:$G$5,0)</f>
        <v>3</v>
      </c>
      <c r="AJ7" s="66" t="n">
        <f aca="false">MATCH(AJ6,Premissas!$C$5:$G$5,0)</f>
        <v>3</v>
      </c>
      <c r="AK7" s="66" t="n">
        <f aca="false">MATCH(AK6,Premissas!$C$5:$G$5,0)</f>
        <v>3</v>
      </c>
      <c r="AL7" s="66" t="n">
        <f aca="false">MATCH(AL6,Premissas!$C$5:$G$5,0)</f>
        <v>4</v>
      </c>
      <c r="AM7" s="66" t="n">
        <f aca="false">MATCH(AM6,Premissas!$C$5:$G$5,0)</f>
        <v>4</v>
      </c>
      <c r="AN7" s="66" t="n">
        <f aca="false">MATCH(AN6,Premissas!$C$5:$G$5,0)</f>
        <v>4</v>
      </c>
      <c r="AO7" s="66" t="n">
        <f aca="false">MATCH(AO6,Premissas!$C$5:$G$5,0)</f>
        <v>4</v>
      </c>
      <c r="AP7" s="66" t="n">
        <f aca="false">MATCH(AP6,Premissas!$C$5:$G$5,0)</f>
        <v>4</v>
      </c>
      <c r="AQ7" s="66" t="n">
        <f aca="false">MATCH(AQ6,Premissas!$C$5:$G$5,0)</f>
        <v>4</v>
      </c>
      <c r="AR7" s="66" t="n">
        <f aca="false">MATCH(AR6,Premissas!$C$5:$G$5,0)</f>
        <v>4</v>
      </c>
      <c r="AS7" s="66" t="n">
        <f aca="false">MATCH(AS6,Premissas!$C$5:$G$5,0)</f>
        <v>4</v>
      </c>
      <c r="AT7" s="66" t="n">
        <f aca="false">MATCH(AT6,Premissas!$C$5:$G$5,0)</f>
        <v>4</v>
      </c>
      <c r="AU7" s="66" t="n">
        <f aca="false">MATCH(AU6,Premissas!$C$5:$G$5,0)</f>
        <v>4</v>
      </c>
      <c r="AV7" s="66" t="n">
        <f aca="false">MATCH(AV6,Premissas!$C$5:$G$5,0)</f>
        <v>4</v>
      </c>
      <c r="AW7" s="66" t="n">
        <f aca="false">MATCH(AW6,Premissas!$C$5:$G$5,0)</f>
        <v>4</v>
      </c>
      <c r="AX7" s="66" t="n">
        <f aca="false">MATCH(AX6,Premissas!$C$5:$G$5,0)</f>
        <v>5</v>
      </c>
      <c r="AY7" s="66" t="n">
        <f aca="false">MATCH(AY6,Premissas!$C$5:$G$5,0)</f>
        <v>5</v>
      </c>
      <c r="AZ7" s="66" t="n">
        <f aca="false">MATCH(AZ6,Premissas!$C$5:$G$5,0)</f>
        <v>5</v>
      </c>
      <c r="BA7" s="66" t="n">
        <f aca="false">MATCH(BA6,Premissas!$C$5:$G$5,0)</f>
        <v>5</v>
      </c>
      <c r="BB7" s="66" t="n">
        <f aca="false">MATCH(BB6,Premissas!$C$5:$G$5,0)</f>
        <v>5</v>
      </c>
      <c r="BC7" s="66" t="n">
        <f aca="false">MATCH(BC6,Premissas!$C$5:$G$5,0)</f>
        <v>5</v>
      </c>
      <c r="BD7" s="66" t="n">
        <f aca="false">MATCH(BD6,Premissas!$C$5:$G$5,0)</f>
        <v>5</v>
      </c>
      <c r="BE7" s="66" t="n">
        <f aca="false">MATCH(BE6,Premissas!$C$5:$G$5,0)</f>
        <v>5</v>
      </c>
      <c r="BF7" s="66" t="n">
        <f aca="false">MATCH(BF6,Premissas!$C$5:$G$5,0)</f>
        <v>5</v>
      </c>
      <c r="BG7" s="66" t="n">
        <f aca="false">MATCH(BG6,Premissas!$C$5:$G$5,0)</f>
        <v>5</v>
      </c>
      <c r="BH7" s="66" t="n">
        <f aca="false">MATCH(BH6,Premissas!$C$5:$G$5,0)</f>
        <v>5</v>
      </c>
      <c r="BI7" s="66" t="n">
        <f aca="false">MATCH(BI6,Premissas!$C$5:$G$5,0)</f>
        <v>5</v>
      </c>
    </row>
    <row r="9" customFormat="false" ht="19.5" hidden="false" customHeight="true" outlineLevel="0" collapsed="false">
      <c r="A9" s="105" t="s">
        <v>343</v>
      </c>
      <c r="B9" s="106"/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  <c r="P9" s="106"/>
      <c r="Q9" s="106"/>
      <c r="R9" s="106"/>
      <c r="S9" s="106"/>
      <c r="T9" s="106"/>
      <c r="U9" s="106"/>
      <c r="V9" s="106"/>
      <c r="W9" s="106"/>
      <c r="X9" s="106"/>
      <c r="Y9" s="106"/>
      <c r="Z9" s="106"/>
      <c r="AA9" s="106"/>
      <c r="AB9" s="106"/>
      <c r="AC9" s="106"/>
      <c r="AD9" s="106"/>
      <c r="AE9" s="106"/>
      <c r="AF9" s="106"/>
      <c r="AG9" s="106"/>
      <c r="AH9" s="106"/>
      <c r="AI9" s="106"/>
      <c r="AJ9" s="106"/>
      <c r="AK9" s="106"/>
      <c r="AL9" s="106"/>
      <c r="AM9" s="106"/>
      <c r="AN9" s="106"/>
      <c r="AO9" s="106"/>
      <c r="AP9" s="106"/>
      <c r="AQ9" s="106"/>
      <c r="AR9" s="106"/>
      <c r="AS9" s="106"/>
      <c r="AT9" s="106"/>
      <c r="AU9" s="106"/>
      <c r="AV9" s="106"/>
      <c r="AW9" s="106"/>
      <c r="AX9" s="106"/>
      <c r="AY9" s="106"/>
      <c r="AZ9" s="106"/>
      <c r="BA9" s="106"/>
      <c r="BB9" s="106"/>
      <c r="BC9" s="106"/>
      <c r="BD9" s="106"/>
      <c r="BE9" s="106"/>
      <c r="BF9" s="106"/>
      <c r="BG9" s="106"/>
      <c r="BH9" s="106"/>
      <c r="BI9" s="106"/>
      <c r="BJ9" s="106"/>
      <c r="BK9" s="106"/>
    </row>
    <row r="10" customFormat="false" ht="15" hidden="false" customHeight="false" outlineLevel="0" collapsed="false">
      <c r="A10" s="12" t="s">
        <v>310</v>
      </c>
      <c r="B10" s="98" t="n">
        <f aca="false">IF(B$4&lt;Premissas!$B$10,0,INDEX(Premissas!$C$35:$G$35,B$7))</f>
        <v>0</v>
      </c>
      <c r="C10" s="98" t="n">
        <f aca="false">IF(C$4&lt;Premissas!$B$10,0,INDEX(Premissas!$C$35:$G$35,C$7))</f>
        <v>0</v>
      </c>
      <c r="D10" s="98" t="n">
        <f aca="false">IF(D$4&lt;Premissas!$B$10,0,INDEX(Premissas!$C$35:$G$35,D$7))</f>
        <v>0</v>
      </c>
      <c r="E10" s="98" t="n">
        <f aca="false">IF(E$4&lt;Premissas!$B$10,0,INDEX(Premissas!$C$35:$G$35,E$7))</f>
        <v>0</v>
      </c>
      <c r="F10" s="98" t="n">
        <f aca="false">IF(F$4&lt;Premissas!$B$10,0,INDEX(Premissas!$C$35:$G$35,F$7))</f>
        <v>0</v>
      </c>
      <c r="G10" s="98" t="n">
        <f aca="false">IF(G$4&lt;Premissas!$B$10,0,INDEX(Premissas!$C$35:$G$35,G$7))</f>
        <v>0</v>
      </c>
      <c r="H10" s="98" t="n">
        <f aca="false">IF(H$4&lt;Premissas!$B$10,0,INDEX(Premissas!$C$35:$G$35,H$7))</f>
        <v>0</v>
      </c>
      <c r="I10" s="98" t="n">
        <f aca="false">IF(I$4&lt;Premissas!$B$10,0,INDEX(Premissas!$C$35:$G$35,I$7))</f>
        <v>0</v>
      </c>
      <c r="J10" s="98" t="n">
        <f aca="false">IF(J$4&lt;Premissas!$B$10,0,INDEX(Premissas!$C$35:$G$35,J$7))</f>
        <v>0</v>
      </c>
      <c r="K10" s="98" t="n">
        <f aca="false">IF(K$4&lt;Premissas!$B$10,0,INDEX(Premissas!$C$35:$G$35,K$7))</f>
        <v>10860</v>
      </c>
      <c r="L10" s="98" t="n">
        <f aca="false">IF(L$4&lt;Premissas!$B$10,0,INDEX(Premissas!$C$35:$G$35,L$7))</f>
        <v>10860</v>
      </c>
      <c r="M10" s="98" t="n">
        <f aca="false">IF(M$4&lt;Premissas!$B$10,0,INDEX(Premissas!$C$35:$G$35,M$7))</f>
        <v>10860</v>
      </c>
      <c r="N10" s="98" t="n">
        <f aca="false">IF(N$4&lt;Premissas!$B$10,0,INDEX(Premissas!$C$35:$G$35,N$7))</f>
        <v>13200</v>
      </c>
      <c r="O10" s="98" t="n">
        <f aca="false">IF(O$4&lt;Premissas!$B$10,0,INDEX(Premissas!$C$35:$G$35,O$7))</f>
        <v>13200</v>
      </c>
      <c r="P10" s="98" t="n">
        <f aca="false">IF(P$4&lt;Premissas!$B$10,0,INDEX(Premissas!$C$35:$G$35,P$7))</f>
        <v>13200</v>
      </c>
      <c r="Q10" s="98" t="n">
        <f aca="false">IF(Q$4&lt;Premissas!$B$10,0,INDEX(Premissas!$C$35:$G$35,Q$7))</f>
        <v>13200</v>
      </c>
      <c r="R10" s="98" t="n">
        <f aca="false">IF(R$4&lt;Premissas!$B$10,0,INDEX(Premissas!$C$35:$G$35,R$7))</f>
        <v>13200</v>
      </c>
      <c r="S10" s="98" t="n">
        <f aca="false">IF(S$4&lt;Premissas!$B$10,0,INDEX(Premissas!$C$35:$G$35,S$7))</f>
        <v>13200</v>
      </c>
      <c r="T10" s="98" t="n">
        <f aca="false">IF(T$4&lt;Premissas!$B$10,0,INDEX(Premissas!$C$35:$G$35,T$7))</f>
        <v>13200</v>
      </c>
      <c r="U10" s="98" t="n">
        <f aca="false">IF(U$4&lt;Premissas!$B$10,0,INDEX(Premissas!$C$35:$G$35,U$7))</f>
        <v>13200</v>
      </c>
      <c r="V10" s="98" t="n">
        <f aca="false">IF(V$4&lt;Premissas!$B$10,0,INDEX(Premissas!$C$35:$G$35,V$7))</f>
        <v>13200</v>
      </c>
      <c r="W10" s="98" t="n">
        <f aca="false">IF(W$4&lt;Premissas!$B$10,0,INDEX(Premissas!$C$35:$G$35,W$7))</f>
        <v>13200</v>
      </c>
      <c r="X10" s="98" t="n">
        <f aca="false">IF(X$4&lt;Premissas!$B$10,0,INDEX(Premissas!$C$35:$G$35,X$7))</f>
        <v>13200</v>
      </c>
      <c r="Y10" s="98" t="n">
        <f aca="false">IF(Y$4&lt;Premissas!$B$10,0,INDEX(Premissas!$C$35:$G$35,Y$7))</f>
        <v>13200</v>
      </c>
      <c r="Z10" s="98" t="n">
        <f aca="false">IF(Z$4&lt;Premissas!$B$10,0,INDEX(Premissas!$C$35:$G$35,Z$7))</f>
        <v>27000</v>
      </c>
      <c r="AA10" s="98" t="n">
        <f aca="false">IF(AA$4&lt;Premissas!$B$10,0,INDEX(Premissas!$C$35:$G$35,AA$7))</f>
        <v>27000</v>
      </c>
      <c r="AB10" s="98" t="n">
        <f aca="false">IF(AB$4&lt;Premissas!$B$10,0,INDEX(Premissas!$C$35:$G$35,AB$7))</f>
        <v>27000</v>
      </c>
      <c r="AC10" s="98" t="n">
        <f aca="false">IF(AC$4&lt;Premissas!$B$10,0,INDEX(Premissas!$C$35:$G$35,AC$7))</f>
        <v>27000</v>
      </c>
      <c r="AD10" s="98" t="n">
        <f aca="false">IF(AD$4&lt;Premissas!$B$10,0,INDEX(Premissas!$C$35:$G$35,AD$7))</f>
        <v>27000</v>
      </c>
      <c r="AE10" s="98" t="n">
        <f aca="false">IF(AE$4&lt;Premissas!$B$10,0,INDEX(Premissas!$C$35:$G$35,AE$7))</f>
        <v>27000</v>
      </c>
      <c r="AF10" s="98" t="n">
        <f aca="false">IF(AF$4&lt;Premissas!$B$10,0,INDEX(Premissas!$C$35:$G$35,AF$7))</f>
        <v>27000</v>
      </c>
      <c r="AG10" s="98" t="n">
        <f aca="false">IF(AG$4&lt;Premissas!$B$10,0,INDEX(Premissas!$C$35:$G$35,AG$7))</f>
        <v>27000</v>
      </c>
      <c r="AH10" s="98" t="n">
        <f aca="false">IF(AH$4&lt;Premissas!$B$10,0,INDEX(Premissas!$C$35:$G$35,AH$7))</f>
        <v>27000</v>
      </c>
      <c r="AI10" s="98" t="n">
        <f aca="false">IF(AI$4&lt;Premissas!$B$10,0,INDEX(Premissas!$C$35:$G$35,AI$7))</f>
        <v>27000</v>
      </c>
      <c r="AJ10" s="98" t="n">
        <f aca="false">IF(AJ$4&lt;Premissas!$B$10,0,INDEX(Premissas!$C$35:$G$35,AJ$7))</f>
        <v>27000</v>
      </c>
      <c r="AK10" s="98" t="n">
        <f aca="false">IF(AK$4&lt;Premissas!$B$10,0,INDEX(Premissas!$C$35:$G$35,AK$7))</f>
        <v>27000</v>
      </c>
      <c r="AL10" s="98" t="n">
        <f aca="false">IF(AL$4&lt;Premissas!$B$10,0,INDEX(Premissas!$C$35:$G$35,AL$7))</f>
        <v>42000</v>
      </c>
      <c r="AM10" s="98" t="n">
        <f aca="false">IF(AM$4&lt;Premissas!$B$10,0,INDEX(Premissas!$C$35:$G$35,AM$7))</f>
        <v>42000</v>
      </c>
      <c r="AN10" s="98" t="n">
        <f aca="false">IF(AN$4&lt;Premissas!$B$10,0,INDEX(Premissas!$C$35:$G$35,AN$7))</f>
        <v>42000</v>
      </c>
      <c r="AO10" s="98" t="n">
        <f aca="false">IF(AO$4&lt;Premissas!$B$10,0,INDEX(Premissas!$C$35:$G$35,AO$7))</f>
        <v>42000</v>
      </c>
      <c r="AP10" s="98" t="n">
        <f aca="false">IF(AP$4&lt;Premissas!$B$10,0,INDEX(Premissas!$C$35:$G$35,AP$7))</f>
        <v>42000</v>
      </c>
      <c r="AQ10" s="98" t="n">
        <f aca="false">IF(AQ$4&lt;Premissas!$B$10,0,INDEX(Premissas!$C$35:$G$35,AQ$7))</f>
        <v>42000</v>
      </c>
      <c r="AR10" s="98" t="n">
        <f aca="false">IF(AR$4&lt;Premissas!$B$10,0,INDEX(Premissas!$C$35:$G$35,AR$7))</f>
        <v>42000</v>
      </c>
      <c r="AS10" s="98" t="n">
        <f aca="false">IF(AS$4&lt;Premissas!$B$10,0,INDEX(Premissas!$C$35:$G$35,AS$7))</f>
        <v>42000</v>
      </c>
      <c r="AT10" s="98" t="n">
        <f aca="false">IF(AT$4&lt;Premissas!$B$10,0,INDEX(Premissas!$C$35:$G$35,AT$7))</f>
        <v>42000</v>
      </c>
      <c r="AU10" s="98" t="n">
        <f aca="false">IF(AU$4&lt;Premissas!$B$10,0,INDEX(Premissas!$C$35:$G$35,AU$7))</f>
        <v>42000</v>
      </c>
      <c r="AV10" s="98" t="n">
        <f aca="false">IF(AV$4&lt;Premissas!$B$10,0,INDEX(Premissas!$C$35:$G$35,AV$7))</f>
        <v>42000</v>
      </c>
      <c r="AW10" s="98" t="n">
        <f aca="false">IF(AW$4&lt;Premissas!$B$10,0,INDEX(Premissas!$C$35:$G$35,AW$7))</f>
        <v>42000</v>
      </c>
      <c r="AX10" s="98" t="n">
        <f aca="false">IF(AX$4&lt;Premissas!$B$10,0,INDEX(Premissas!$C$35:$G$35,AX$7))</f>
        <v>57000</v>
      </c>
      <c r="AY10" s="98" t="n">
        <f aca="false">IF(AY$4&lt;Premissas!$B$10,0,INDEX(Premissas!$C$35:$G$35,AY$7))</f>
        <v>57000</v>
      </c>
      <c r="AZ10" s="98" t="n">
        <f aca="false">IF(AZ$4&lt;Premissas!$B$10,0,INDEX(Premissas!$C$35:$G$35,AZ$7))</f>
        <v>57000</v>
      </c>
      <c r="BA10" s="98" t="n">
        <f aca="false">IF(BA$4&lt;Premissas!$B$10,0,INDEX(Premissas!$C$35:$G$35,BA$7))</f>
        <v>57000</v>
      </c>
      <c r="BB10" s="98" t="n">
        <f aca="false">IF(BB$4&lt;Premissas!$B$10,0,INDEX(Premissas!$C$35:$G$35,BB$7))</f>
        <v>57000</v>
      </c>
      <c r="BC10" s="98" t="n">
        <f aca="false">IF(BC$4&lt;Premissas!$B$10,0,INDEX(Premissas!$C$35:$G$35,BC$7))</f>
        <v>57000</v>
      </c>
      <c r="BD10" s="98" t="n">
        <f aca="false">IF(BD$4&lt;Premissas!$B$10,0,INDEX(Premissas!$C$35:$G$35,BD$7))</f>
        <v>57000</v>
      </c>
      <c r="BE10" s="98" t="n">
        <f aca="false">IF(BE$4&lt;Premissas!$B$10,0,INDEX(Premissas!$C$35:$G$35,BE$7))</f>
        <v>57000</v>
      </c>
      <c r="BF10" s="98" t="n">
        <f aca="false">IF(BF$4&lt;Premissas!$B$10,0,INDEX(Premissas!$C$35:$G$35,BF$7))</f>
        <v>57000</v>
      </c>
      <c r="BG10" s="98" t="n">
        <f aca="false">IF(BG$4&lt;Premissas!$B$10,0,INDEX(Premissas!$C$35:$G$35,BG$7))</f>
        <v>57000</v>
      </c>
      <c r="BH10" s="98" t="n">
        <f aca="false">IF(BH$4&lt;Premissas!$B$10,0,INDEX(Premissas!$C$35:$G$35,BH$7))</f>
        <v>57000</v>
      </c>
      <c r="BI10" s="98" t="n">
        <f aca="false">IF(BI$4&lt;Premissas!$B$10,0,INDEX(Premissas!$C$35:$G$35,BI$7))</f>
        <v>57000</v>
      </c>
      <c r="BJ10" s="95" t="n">
        <f aca="false">SUM(B10:BI10)</f>
        <v>1702980</v>
      </c>
    </row>
    <row r="11" customFormat="false" ht="15" hidden="false" customHeight="false" outlineLevel="0" collapsed="false">
      <c r="A11" s="12" t="s">
        <v>311</v>
      </c>
      <c r="B11" s="98" t="n">
        <f aca="false">0</f>
        <v>0</v>
      </c>
      <c r="C11" s="98" t="n">
        <f aca="false">B13</f>
        <v>0</v>
      </c>
      <c r="D11" s="98" t="n">
        <f aca="false">C13</f>
        <v>0</v>
      </c>
      <c r="E11" s="98" t="n">
        <f aca="false">D13</f>
        <v>0</v>
      </c>
      <c r="F11" s="98" t="n">
        <f aca="false">E13</f>
        <v>0</v>
      </c>
      <c r="G11" s="98" t="n">
        <f aca="false">F13</f>
        <v>0</v>
      </c>
      <c r="H11" s="98" t="n">
        <f aca="false">G13</f>
        <v>0</v>
      </c>
      <c r="I11" s="98" t="n">
        <f aca="false">H13</f>
        <v>0</v>
      </c>
      <c r="J11" s="98" t="n">
        <f aca="false">I13</f>
        <v>0</v>
      </c>
      <c r="K11" s="98" t="n">
        <f aca="false">J13</f>
        <v>0</v>
      </c>
      <c r="L11" s="98" t="n">
        <f aca="false">K13</f>
        <v>10860</v>
      </c>
      <c r="M11" s="98" t="n">
        <f aca="false">L13</f>
        <v>20634</v>
      </c>
      <c r="N11" s="98" t="n">
        <f aca="false">M13</f>
        <v>29430.6</v>
      </c>
      <c r="O11" s="98" t="n">
        <f aca="false">N13</f>
        <v>39834.693</v>
      </c>
      <c r="P11" s="98" t="n">
        <f aca="false">O13</f>
        <v>49250.397165</v>
      </c>
      <c r="Q11" s="98" t="n">
        <f aca="false">P13</f>
        <v>57771.609434325</v>
      </c>
      <c r="R11" s="98" t="n">
        <f aca="false">Q13</f>
        <v>65483.3065380641</v>
      </c>
      <c r="S11" s="98" t="n">
        <f aca="false">R13</f>
        <v>72462.3924169481</v>
      </c>
      <c r="T11" s="98" t="n">
        <f aca="false">S13</f>
        <v>78778.465137338</v>
      </c>
      <c r="U11" s="98" t="n">
        <f aca="false">T13</f>
        <v>84494.5109492909</v>
      </c>
      <c r="V11" s="98" t="n">
        <f aca="false">U13</f>
        <v>89667.5324091082</v>
      </c>
      <c r="W11" s="98" t="n">
        <f aca="false">V13</f>
        <v>94349.1168302429</v>
      </c>
      <c r="X11" s="98" t="n">
        <f aca="false">W13</f>
        <v>98585.9507313699</v>
      </c>
      <c r="Y11" s="98" t="n">
        <f aca="false">X13</f>
        <v>102420.28541189</v>
      </c>
      <c r="Z11" s="98" t="n">
        <f aca="false">Y13</f>
        <v>105890.35829776</v>
      </c>
      <c r="AA11" s="98" t="n">
        <f aca="false">Z13</f>
        <v>123360.226050962</v>
      </c>
      <c r="AB11" s="98" t="n">
        <f aca="false">AA13</f>
        <v>139257.805706375</v>
      </c>
      <c r="AC11" s="98" t="n">
        <f aca="false">AB13</f>
        <v>153724.603192801</v>
      </c>
      <c r="AD11" s="98" t="n">
        <f aca="false">AC13</f>
        <v>166889.388905449</v>
      </c>
      <c r="AE11" s="98" t="n">
        <f aca="false">AD13</f>
        <v>178869.343903959</v>
      </c>
      <c r="AF11" s="98" t="n">
        <f aca="false">AE13</f>
        <v>189771.102952603</v>
      </c>
      <c r="AG11" s="98" t="n">
        <f aca="false">AF13</f>
        <v>199691.703686868</v>
      </c>
      <c r="AH11" s="98" t="n">
        <f aca="false">AG13</f>
        <v>208719.45035505</v>
      </c>
      <c r="AI11" s="98" t="n">
        <f aca="false">AH13</f>
        <v>216934.699823096</v>
      </c>
      <c r="AJ11" s="98" t="n">
        <f aca="false">AI13</f>
        <v>224410.576839017</v>
      </c>
      <c r="AK11" s="98" t="n">
        <f aca="false">AJ13</f>
        <v>231213.624923506</v>
      </c>
      <c r="AL11" s="98" t="n">
        <f aca="false">AK13</f>
        <v>237404.39868039</v>
      </c>
      <c r="AM11" s="98" t="n">
        <f aca="false">AL13</f>
        <v>259225.024792557</v>
      </c>
      <c r="AN11" s="98" t="n">
        <f aca="false">AM13</f>
        <v>279190.89768519</v>
      </c>
      <c r="AO11" s="98" t="n">
        <f aca="false">AN13</f>
        <v>297459.671381949</v>
      </c>
      <c r="AP11" s="98" t="n">
        <f aca="false">AO13</f>
        <v>314175.599314483</v>
      </c>
      <c r="AQ11" s="98" t="n">
        <f aca="false">AP13</f>
        <v>329470.673372752</v>
      </c>
      <c r="AR11" s="98" t="n">
        <f aca="false">AQ13</f>
        <v>343465.666136068</v>
      </c>
      <c r="AS11" s="98" t="n">
        <f aca="false">AR13</f>
        <v>356271.084514502</v>
      </c>
      <c r="AT11" s="98" t="n">
        <f aca="false">AS13</f>
        <v>367988.04233077</v>
      </c>
      <c r="AU11" s="98" t="n">
        <f aca="false">AT13</f>
        <v>378709.058732654</v>
      </c>
      <c r="AV11" s="98" t="n">
        <f aca="false">AU13</f>
        <v>388518.788740378</v>
      </c>
      <c r="AW11" s="98" t="n">
        <f aca="false">AV13</f>
        <v>397494.691697446</v>
      </c>
      <c r="AX11" s="98" t="n">
        <f aca="false">AW13</f>
        <v>405707.642903163</v>
      </c>
      <c r="AY11" s="98" t="n">
        <f aca="false">AX13</f>
        <v>430251.03147091</v>
      </c>
      <c r="AZ11" s="98" t="n">
        <f aca="false">AY13</f>
        <v>452830.948953237</v>
      </c>
      <c r="BA11" s="98" t="n">
        <f aca="false">AZ13</f>
        <v>473604.473036978</v>
      </c>
      <c r="BB11" s="98" t="n">
        <f aca="false">BA13</f>
        <v>492716.11519402</v>
      </c>
      <c r="BC11" s="98" t="n">
        <f aca="false">BB13</f>
        <v>510298.825978499</v>
      </c>
      <c r="BD11" s="98" t="n">
        <f aca="false">BC13</f>
        <v>526474.919900219</v>
      </c>
      <c r="BE11" s="98" t="n">
        <f aca="false">BD13</f>
        <v>541356.926308201</v>
      </c>
      <c r="BF11" s="98" t="n">
        <f aca="false">BE13</f>
        <v>555048.372203545</v>
      </c>
      <c r="BG11" s="98" t="n">
        <f aca="false">BF13</f>
        <v>567644.502427261</v>
      </c>
      <c r="BH11" s="98" t="n">
        <f aca="false">BG13</f>
        <v>579232.942233081</v>
      </c>
      <c r="BI11" s="98" t="n">
        <f aca="false">BH13</f>
        <v>589894.306854434</v>
      </c>
      <c r="BJ11" s="95" t="n">
        <f aca="false">BI11</f>
        <v>589894.306854434</v>
      </c>
      <c r="BK11" s="14" t="s">
        <v>344</v>
      </c>
    </row>
    <row r="12" customFormat="false" ht="15" hidden="false" customHeight="false" outlineLevel="0" collapsed="false">
      <c r="A12" s="12" t="s">
        <v>313</v>
      </c>
      <c r="B12" s="98" t="n">
        <f aca="false">-B11*INDEX(Premissas!$C$39:$G$39,B$7)</f>
        <v>-0</v>
      </c>
      <c r="C12" s="98" t="n">
        <f aca="false">-C11*INDEX(Premissas!$C$39:$G$39,C$7)</f>
        <v>-0</v>
      </c>
      <c r="D12" s="98" t="n">
        <f aca="false">-D11*INDEX(Premissas!$C$39:$G$39,D$7)</f>
        <v>-0</v>
      </c>
      <c r="E12" s="98" t="n">
        <f aca="false">-E11*INDEX(Premissas!$C$39:$G$39,E$7)</f>
        <v>-0</v>
      </c>
      <c r="F12" s="98" t="n">
        <f aca="false">-F11*INDEX(Premissas!$C$39:$G$39,F$7)</f>
        <v>-0</v>
      </c>
      <c r="G12" s="98" t="n">
        <f aca="false">-G11*INDEX(Premissas!$C$39:$G$39,G$7)</f>
        <v>-0</v>
      </c>
      <c r="H12" s="98" t="n">
        <f aca="false">-H11*INDEX(Premissas!$C$39:$G$39,H$7)</f>
        <v>-0</v>
      </c>
      <c r="I12" s="98" t="n">
        <f aca="false">-I11*INDEX(Premissas!$C$39:$G$39,I$7)</f>
        <v>-0</v>
      </c>
      <c r="J12" s="98" t="n">
        <f aca="false">-J11*INDEX(Premissas!$C$39:$G$39,J$7)</f>
        <v>-0</v>
      </c>
      <c r="K12" s="98" t="n">
        <f aca="false">-K11*INDEX(Premissas!$C$39:$G$39,K$7)</f>
        <v>-0</v>
      </c>
      <c r="L12" s="98" t="n">
        <f aca="false">-L11*INDEX(Premissas!$C$39:$G$39,L$7)</f>
        <v>-1086</v>
      </c>
      <c r="M12" s="98" t="n">
        <f aca="false">-M11*INDEX(Premissas!$C$39:$G$39,M$7)</f>
        <v>-2063.4</v>
      </c>
      <c r="N12" s="98" t="n">
        <f aca="false">-N11*INDEX(Premissas!$C$39:$G$39,N$7)</f>
        <v>-2795.907</v>
      </c>
      <c r="O12" s="98" t="n">
        <f aca="false">-O11*INDEX(Premissas!$C$39:$G$39,O$7)</f>
        <v>-3784.295835</v>
      </c>
      <c r="P12" s="98" t="n">
        <f aca="false">-P11*INDEX(Premissas!$C$39:$G$39,P$7)</f>
        <v>-4678.787730675</v>
      </c>
      <c r="Q12" s="98" t="n">
        <f aca="false">-Q11*INDEX(Premissas!$C$39:$G$39,Q$7)</f>
        <v>-5488.30289626088</v>
      </c>
      <c r="R12" s="98" t="n">
        <f aca="false">-R11*INDEX(Premissas!$C$39:$G$39,R$7)</f>
        <v>-6220.91412111609</v>
      </c>
      <c r="S12" s="98" t="n">
        <f aca="false">-S11*INDEX(Premissas!$C$39:$G$39,S$7)</f>
        <v>-6883.92727961006</v>
      </c>
      <c r="T12" s="98" t="n">
        <f aca="false">-T11*INDEX(Premissas!$C$39:$G$39,T$7)</f>
        <v>-7483.95418804711</v>
      </c>
      <c r="U12" s="98" t="n">
        <f aca="false">-U11*INDEX(Premissas!$C$39:$G$39,U$7)</f>
        <v>-8026.97854018263</v>
      </c>
      <c r="V12" s="98" t="n">
        <f aca="false">-V11*INDEX(Premissas!$C$39:$G$39,V$7)</f>
        <v>-8518.41557886528</v>
      </c>
      <c r="W12" s="98" t="n">
        <f aca="false">-W11*INDEX(Premissas!$C$39:$G$39,W$7)</f>
        <v>-8963.16609887308</v>
      </c>
      <c r="X12" s="98" t="n">
        <f aca="false">-X11*INDEX(Premissas!$C$39:$G$39,X$7)</f>
        <v>-9365.66531948014</v>
      </c>
      <c r="Y12" s="98" t="n">
        <f aca="false">-Y11*INDEX(Premissas!$C$39:$G$39,Y$7)</f>
        <v>-9729.92711412953</v>
      </c>
      <c r="Z12" s="98" t="n">
        <f aca="false">-Z11*INDEX(Premissas!$C$39:$G$39,Z$7)</f>
        <v>-9530.13224679842</v>
      </c>
      <c r="AA12" s="98" t="n">
        <f aca="false">-AA11*INDEX(Premissas!$C$39:$G$39,AA$7)</f>
        <v>-11102.4203445866</v>
      </c>
      <c r="AB12" s="98" t="n">
        <f aca="false">-AB11*INDEX(Premissas!$C$39:$G$39,AB$7)</f>
        <v>-12533.2025135738</v>
      </c>
      <c r="AC12" s="98" t="n">
        <f aca="false">-AC11*INDEX(Premissas!$C$39:$G$39,AC$7)</f>
        <v>-13835.2142873521</v>
      </c>
      <c r="AD12" s="98" t="n">
        <f aca="false">-AD11*INDEX(Premissas!$C$39:$G$39,AD$7)</f>
        <v>-15020.0450014904</v>
      </c>
      <c r="AE12" s="98" t="n">
        <f aca="false">-AE11*INDEX(Premissas!$C$39:$G$39,AE$7)</f>
        <v>-16098.2409513563</v>
      </c>
      <c r="AF12" s="98" t="n">
        <f aca="false">-AF11*INDEX(Premissas!$C$39:$G$39,AF$7)</f>
        <v>-17079.3992657342</v>
      </c>
      <c r="AG12" s="98" t="n">
        <f aca="false">-AG11*INDEX(Premissas!$C$39:$G$39,AG$7)</f>
        <v>-17972.2533318182</v>
      </c>
      <c r="AH12" s="98" t="n">
        <f aca="false">-AH11*INDEX(Premissas!$C$39:$G$39,AH$7)</f>
        <v>-18784.7505319545</v>
      </c>
      <c r="AI12" s="98" t="n">
        <f aca="false">-AI11*INDEX(Premissas!$C$39:$G$39,AI$7)</f>
        <v>-19524.1229840786</v>
      </c>
      <c r="AJ12" s="98" t="n">
        <f aca="false">-AJ11*INDEX(Premissas!$C$39:$G$39,AJ$7)</f>
        <v>-20196.9519155115</v>
      </c>
      <c r="AK12" s="98" t="n">
        <f aca="false">-AK11*INDEX(Premissas!$C$39:$G$39,AK$7)</f>
        <v>-20809.2262431155</v>
      </c>
      <c r="AL12" s="98" t="n">
        <f aca="false">-AL11*INDEX(Premissas!$C$39:$G$39,AL$7)</f>
        <v>-20179.3738878332</v>
      </c>
      <c r="AM12" s="98" t="n">
        <f aca="false">-AM11*INDEX(Premissas!$C$39:$G$39,AM$7)</f>
        <v>-22034.1271073673</v>
      </c>
      <c r="AN12" s="98" t="n">
        <f aca="false">-AN11*INDEX(Premissas!$C$39:$G$39,AN$7)</f>
        <v>-23731.2263032411</v>
      </c>
      <c r="AO12" s="98" t="n">
        <f aca="false">-AO11*INDEX(Premissas!$C$39:$G$39,AO$7)</f>
        <v>-25284.0720674656</v>
      </c>
      <c r="AP12" s="98" t="n">
        <f aca="false">-AP11*INDEX(Premissas!$C$39:$G$39,AP$7)</f>
        <v>-26704.925941731</v>
      </c>
      <c r="AQ12" s="98" t="n">
        <f aca="false">-AQ11*INDEX(Premissas!$C$39:$G$39,AQ$7)</f>
        <v>-28005.0072366839</v>
      </c>
      <c r="AR12" s="98" t="n">
        <f aca="false">-AR11*INDEX(Premissas!$C$39:$G$39,AR$7)</f>
        <v>-29194.5816215658</v>
      </c>
      <c r="AS12" s="98" t="n">
        <f aca="false">-AS11*INDEX(Premissas!$C$39:$G$39,AS$7)</f>
        <v>-30283.0421837327</v>
      </c>
      <c r="AT12" s="98" t="n">
        <f aca="false">-AT11*INDEX(Premissas!$C$39:$G$39,AT$7)</f>
        <v>-31278.9835981154</v>
      </c>
      <c r="AU12" s="98" t="n">
        <f aca="false">-AU11*INDEX(Premissas!$C$39:$G$39,AU$7)</f>
        <v>-32190.2699922756</v>
      </c>
      <c r="AV12" s="98" t="n">
        <f aca="false">-AV11*INDEX(Premissas!$C$39:$G$39,AV$7)</f>
        <v>-33024.0970429322</v>
      </c>
      <c r="AW12" s="98" t="n">
        <f aca="false">-AW11*INDEX(Premissas!$C$39:$G$39,AW$7)</f>
        <v>-33787.0487942829</v>
      </c>
      <c r="AX12" s="98" t="n">
        <f aca="false">-AX11*INDEX(Premissas!$C$39:$G$39,AX$7)</f>
        <v>-32456.6114322531</v>
      </c>
      <c r="AY12" s="98" t="n">
        <f aca="false">-AY11*INDEX(Premissas!$C$39:$G$39,AY$7)</f>
        <v>-34420.0825176728</v>
      </c>
      <c r="AZ12" s="98" t="n">
        <f aca="false">-AZ11*INDEX(Premissas!$C$39:$G$39,AZ$7)</f>
        <v>-36226.475916259</v>
      </c>
      <c r="BA12" s="98" t="n">
        <f aca="false">-BA11*INDEX(Premissas!$C$39:$G$39,BA$7)</f>
        <v>-37888.3578429583</v>
      </c>
      <c r="BB12" s="98" t="n">
        <f aca="false">-BB11*INDEX(Premissas!$C$39:$G$39,BB$7)</f>
        <v>-39417.2892155216</v>
      </c>
      <c r="BC12" s="98" t="n">
        <f aca="false">-BC11*INDEX(Premissas!$C$39:$G$39,BC$7)</f>
        <v>-40823.9060782799</v>
      </c>
      <c r="BD12" s="98" t="n">
        <f aca="false">-BD11*INDEX(Premissas!$C$39:$G$39,BD$7)</f>
        <v>-42117.9935920175</v>
      </c>
      <c r="BE12" s="98" t="n">
        <f aca="false">-BE11*INDEX(Premissas!$C$39:$G$39,BE$7)</f>
        <v>-43308.5541046561</v>
      </c>
      <c r="BF12" s="98" t="n">
        <f aca="false">-BF11*INDEX(Premissas!$C$39:$G$39,BF$7)</f>
        <v>-44403.8697762836</v>
      </c>
      <c r="BG12" s="98" t="n">
        <f aca="false">-BG11*INDEX(Premissas!$C$39:$G$39,BG$7)</f>
        <v>-45411.5601941809</v>
      </c>
      <c r="BH12" s="98" t="n">
        <f aca="false">-BH11*INDEX(Premissas!$C$39:$G$39,BH$7)</f>
        <v>-46338.6353786464</v>
      </c>
      <c r="BI12" s="98" t="n">
        <f aca="false">-BI11*INDEX(Premissas!$C$39:$G$39,BI$7)</f>
        <v>-47191.5445483547</v>
      </c>
      <c r="BJ12" s="95" t="n">
        <f aca="false">SUM(B12:BI12)</f>
        <v>-1103277.23769392</v>
      </c>
    </row>
    <row r="13" customFormat="false" ht="15" hidden="false" customHeight="false" outlineLevel="0" collapsed="false">
      <c r="A13" s="34" t="s">
        <v>314</v>
      </c>
      <c r="B13" s="96" t="n">
        <f aca="false">B11+B12+B10</f>
        <v>0</v>
      </c>
      <c r="C13" s="96" t="n">
        <f aca="false">C11+C12+C10</f>
        <v>0</v>
      </c>
      <c r="D13" s="96" t="n">
        <f aca="false">D11+D12+D10</f>
        <v>0</v>
      </c>
      <c r="E13" s="96" t="n">
        <f aca="false">E11+E12+E10</f>
        <v>0</v>
      </c>
      <c r="F13" s="96" t="n">
        <f aca="false">F11+F12+F10</f>
        <v>0</v>
      </c>
      <c r="G13" s="96" t="n">
        <f aca="false">G11+G12+G10</f>
        <v>0</v>
      </c>
      <c r="H13" s="96" t="n">
        <f aca="false">H11+H12+H10</f>
        <v>0</v>
      </c>
      <c r="I13" s="96" t="n">
        <f aca="false">I11+I12+I10</f>
        <v>0</v>
      </c>
      <c r="J13" s="96" t="n">
        <f aca="false">J11+J12+J10</f>
        <v>0</v>
      </c>
      <c r="K13" s="96" t="n">
        <f aca="false">K11+K12+K10</f>
        <v>10860</v>
      </c>
      <c r="L13" s="96" t="n">
        <f aca="false">L11+L12+L10</f>
        <v>20634</v>
      </c>
      <c r="M13" s="96" t="n">
        <f aca="false">M11+M12+M10</f>
        <v>29430.6</v>
      </c>
      <c r="N13" s="96" t="n">
        <f aca="false">N11+N12+N10</f>
        <v>39834.693</v>
      </c>
      <c r="O13" s="96" t="n">
        <f aca="false">O11+O12+O10</f>
        <v>49250.397165</v>
      </c>
      <c r="P13" s="96" t="n">
        <f aca="false">P11+P12+P10</f>
        <v>57771.609434325</v>
      </c>
      <c r="Q13" s="96" t="n">
        <f aca="false">Q11+Q12+Q10</f>
        <v>65483.3065380641</v>
      </c>
      <c r="R13" s="96" t="n">
        <f aca="false">R11+R12+R10</f>
        <v>72462.3924169481</v>
      </c>
      <c r="S13" s="96" t="n">
        <f aca="false">S11+S12+S10</f>
        <v>78778.465137338</v>
      </c>
      <c r="T13" s="96" t="n">
        <f aca="false">T11+T12+T10</f>
        <v>84494.5109492909</v>
      </c>
      <c r="U13" s="96" t="n">
        <f aca="false">U11+U12+U10</f>
        <v>89667.5324091082</v>
      </c>
      <c r="V13" s="96" t="n">
        <f aca="false">V11+V12+V10</f>
        <v>94349.1168302429</v>
      </c>
      <c r="W13" s="96" t="n">
        <f aca="false">W11+W12+W10</f>
        <v>98585.9507313699</v>
      </c>
      <c r="X13" s="96" t="n">
        <f aca="false">X11+X12+X10</f>
        <v>102420.28541189</v>
      </c>
      <c r="Y13" s="96" t="n">
        <f aca="false">Y11+Y12+Y10</f>
        <v>105890.35829776</v>
      </c>
      <c r="Z13" s="96" t="n">
        <f aca="false">Z11+Z12+Z10</f>
        <v>123360.226050962</v>
      </c>
      <c r="AA13" s="96" t="n">
        <f aca="false">AA11+AA12+AA10</f>
        <v>139257.805706375</v>
      </c>
      <c r="AB13" s="96" t="n">
        <f aca="false">AB11+AB12+AB10</f>
        <v>153724.603192801</v>
      </c>
      <c r="AC13" s="96" t="n">
        <f aca="false">AC11+AC12+AC10</f>
        <v>166889.388905449</v>
      </c>
      <c r="AD13" s="96" t="n">
        <f aca="false">AD11+AD12+AD10</f>
        <v>178869.343903959</v>
      </c>
      <c r="AE13" s="96" t="n">
        <f aca="false">AE11+AE12+AE10</f>
        <v>189771.102952603</v>
      </c>
      <c r="AF13" s="96" t="n">
        <f aca="false">AF11+AF12+AF10</f>
        <v>199691.703686868</v>
      </c>
      <c r="AG13" s="96" t="n">
        <f aca="false">AG11+AG12+AG10</f>
        <v>208719.45035505</v>
      </c>
      <c r="AH13" s="96" t="n">
        <f aca="false">AH11+AH12+AH10</f>
        <v>216934.699823096</v>
      </c>
      <c r="AI13" s="96" t="n">
        <f aca="false">AI11+AI12+AI10</f>
        <v>224410.576839017</v>
      </c>
      <c r="AJ13" s="96" t="n">
        <f aca="false">AJ11+AJ12+AJ10</f>
        <v>231213.624923506</v>
      </c>
      <c r="AK13" s="96" t="n">
        <f aca="false">AK11+AK12+AK10</f>
        <v>237404.39868039</v>
      </c>
      <c r="AL13" s="96" t="n">
        <f aca="false">AL11+AL12+AL10</f>
        <v>259225.024792557</v>
      </c>
      <c r="AM13" s="96" t="n">
        <f aca="false">AM11+AM12+AM10</f>
        <v>279190.89768519</v>
      </c>
      <c r="AN13" s="96" t="n">
        <f aca="false">AN11+AN12+AN10</f>
        <v>297459.671381949</v>
      </c>
      <c r="AO13" s="96" t="n">
        <f aca="false">AO11+AO12+AO10</f>
        <v>314175.599314483</v>
      </c>
      <c r="AP13" s="96" t="n">
        <f aca="false">AP11+AP12+AP10</f>
        <v>329470.673372752</v>
      </c>
      <c r="AQ13" s="96" t="n">
        <f aca="false">AQ11+AQ12+AQ10</f>
        <v>343465.666136068</v>
      </c>
      <c r="AR13" s="96" t="n">
        <f aca="false">AR11+AR12+AR10</f>
        <v>356271.084514502</v>
      </c>
      <c r="AS13" s="96" t="n">
        <f aca="false">AS11+AS12+AS10</f>
        <v>367988.04233077</v>
      </c>
      <c r="AT13" s="96" t="n">
        <f aca="false">AT11+AT12+AT10</f>
        <v>378709.058732654</v>
      </c>
      <c r="AU13" s="96" t="n">
        <f aca="false">AU11+AU12+AU10</f>
        <v>388518.788740378</v>
      </c>
      <c r="AV13" s="96" t="n">
        <f aca="false">AV11+AV12+AV10</f>
        <v>397494.691697446</v>
      </c>
      <c r="AW13" s="96" t="n">
        <f aca="false">AW11+AW12+AW10</f>
        <v>405707.642903163</v>
      </c>
      <c r="AX13" s="96" t="n">
        <f aca="false">AX11+AX12+AX10</f>
        <v>430251.03147091</v>
      </c>
      <c r="AY13" s="96" t="n">
        <f aca="false">AY11+AY12+AY10</f>
        <v>452830.948953237</v>
      </c>
      <c r="AZ13" s="96" t="n">
        <f aca="false">AZ11+AZ12+AZ10</f>
        <v>473604.473036978</v>
      </c>
      <c r="BA13" s="96" t="n">
        <f aca="false">BA11+BA12+BA10</f>
        <v>492716.11519402</v>
      </c>
      <c r="BB13" s="96" t="n">
        <f aca="false">BB11+BB12+BB10</f>
        <v>510298.825978499</v>
      </c>
      <c r="BC13" s="96" t="n">
        <f aca="false">BC11+BC12+BC10</f>
        <v>526474.919900219</v>
      </c>
      <c r="BD13" s="96" t="n">
        <f aca="false">BD11+BD12+BD10</f>
        <v>541356.926308201</v>
      </c>
      <c r="BE13" s="96" t="n">
        <f aca="false">BE11+BE12+BE10</f>
        <v>555048.372203545</v>
      </c>
      <c r="BF13" s="96" t="n">
        <f aca="false">BF11+BF12+BF10</f>
        <v>567644.502427261</v>
      </c>
      <c r="BG13" s="96" t="n">
        <f aca="false">BG11+BG12+BG10</f>
        <v>579232.942233081</v>
      </c>
      <c r="BH13" s="96" t="n">
        <f aca="false">BH11+BH12+BH10</f>
        <v>589894.306854434</v>
      </c>
      <c r="BI13" s="96" t="n">
        <f aca="false">BI11+BI12+BI10</f>
        <v>599702.762306079</v>
      </c>
      <c r="BJ13" s="95" t="n">
        <f aca="false">BI13</f>
        <v>599702.762306079</v>
      </c>
      <c r="BK13" s="14" t="s">
        <v>344</v>
      </c>
    </row>
    <row r="14" customFormat="false" ht="15" hidden="false" customHeight="false" outlineLevel="0" collapsed="false">
      <c r="A14" s="12" t="s">
        <v>345</v>
      </c>
      <c r="B14" s="107" t="n">
        <f aca="false">IF(B$4&lt;Premissas!$B$10,0,INDEX(Premissas!$C$43:$G$43,B$7))</f>
        <v>0</v>
      </c>
      <c r="C14" s="107" t="n">
        <f aca="false">IF(C$4&lt;Premissas!$B$10,0,INDEX(Premissas!$C$43:$G$43,C$7))</f>
        <v>0</v>
      </c>
      <c r="D14" s="107" t="n">
        <f aca="false">IF(D$4&lt;Premissas!$B$10,0,INDEX(Premissas!$C$43:$G$43,D$7))</f>
        <v>0</v>
      </c>
      <c r="E14" s="107" t="n">
        <f aca="false">IF(E$4&lt;Premissas!$B$10,0,INDEX(Premissas!$C$43:$G$43,E$7))</f>
        <v>0</v>
      </c>
      <c r="F14" s="107" t="n">
        <f aca="false">IF(F$4&lt;Premissas!$B$10,0,INDEX(Premissas!$C$43:$G$43,F$7))</f>
        <v>0</v>
      </c>
      <c r="G14" s="107" t="n">
        <f aca="false">IF(G$4&lt;Premissas!$B$10,0,INDEX(Premissas!$C$43:$G$43,G$7))</f>
        <v>0</v>
      </c>
      <c r="H14" s="107" t="n">
        <f aca="false">IF(H$4&lt;Premissas!$B$10,0,INDEX(Premissas!$C$43:$G$43,H$7))</f>
        <v>0</v>
      </c>
      <c r="I14" s="107" t="n">
        <f aca="false">IF(I$4&lt;Premissas!$B$10,0,INDEX(Premissas!$C$43:$G$43,I$7))</f>
        <v>0</v>
      </c>
      <c r="J14" s="107" t="n">
        <f aca="false">IF(J$4&lt;Premissas!$B$10,0,INDEX(Premissas!$C$43:$G$43,J$7))</f>
        <v>0</v>
      </c>
      <c r="K14" s="107" t="n">
        <f aca="false">IF(K$4&lt;Premissas!$B$10,0,INDEX(Premissas!$C$43:$G$43,K$7))</f>
        <v>0.03</v>
      </c>
      <c r="L14" s="107" t="n">
        <f aca="false">IF(L$4&lt;Premissas!$B$10,0,INDEX(Premissas!$C$43:$G$43,L$7))</f>
        <v>0.03</v>
      </c>
      <c r="M14" s="107" t="n">
        <f aca="false">IF(M$4&lt;Premissas!$B$10,0,INDEX(Premissas!$C$43:$G$43,M$7))</f>
        <v>0.03</v>
      </c>
      <c r="N14" s="107" t="n">
        <f aca="false">IF(N$4&lt;Premissas!$B$10,0,INDEX(Premissas!$C$43:$G$43,N$7))</f>
        <v>0.035</v>
      </c>
      <c r="O14" s="107" t="n">
        <f aca="false">IF(O$4&lt;Premissas!$B$10,0,INDEX(Premissas!$C$43:$G$43,O$7))</f>
        <v>0.035</v>
      </c>
      <c r="P14" s="107" t="n">
        <f aca="false">IF(P$4&lt;Premissas!$B$10,0,INDEX(Premissas!$C$43:$G$43,P$7))</f>
        <v>0.035</v>
      </c>
      <c r="Q14" s="107" t="n">
        <f aca="false">IF(Q$4&lt;Premissas!$B$10,0,INDEX(Premissas!$C$43:$G$43,Q$7))</f>
        <v>0.035</v>
      </c>
      <c r="R14" s="107" t="n">
        <f aca="false">IF(R$4&lt;Premissas!$B$10,0,INDEX(Premissas!$C$43:$G$43,R$7))</f>
        <v>0.035</v>
      </c>
      <c r="S14" s="107" t="n">
        <f aca="false">IF(S$4&lt;Premissas!$B$10,0,INDEX(Premissas!$C$43:$G$43,S$7))</f>
        <v>0.035</v>
      </c>
      <c r="T14" s="107" t="n">
        <f aca="false">IF(T$4&lt;Premissas!$B$10,0,INDEX(Premissas!$C$43:$G$43,T$7))</f>
        <v>0.035</v>
      </c>
      <c r="U14" s="107" t="n">
        <f aca="false">IF(U$4&lt;Premissas!$B$10,0,INDEX(Premissas!$C$43:$G$43,U$7))</f>
        <v>0.035</v>
      </c>
      <c r="V14" s="107" t="n">
        <f aca="false">IF(V$4&lt;Premissas!$B$10,0,INDEX(Premissas!$C$43:$G$43,V$7))</f>
        <v>0.035</v>
      </c>
      <c r="W14" s="107" t="n">
        <f aca="false">IF(W$4&lt;Premissas!$B$10,0,INDEX(Premissas!$C$43:$G$43,W$7))</f>
        <v>0.035</v>
      </c>
      <c r="X14" s="107" t="n">
        <f aca="false">IF(X$4&lt;Premissas!$B$10,0,INDEX(Premissas!$C$43:$G$43,X$7))</f>
        <v>0.035</v>
      </c>
      <c r="Y14" s="107" t="n">
        <f aca="false">IF(Y$4&lt;Premissas!$B$10,0,INDEX(Premissas!$C$43:$G$43,Y$7))</f>
        <v>0.035</v>
      </c>
      <c r="Z14" s="107" t="n">
        <f aca="false">IF(Z$4&lt;Premissas!$B$10,0,INDEX(Premissas!$C$43:$G$43,Z$7))</f>
        <v>0.038</v>
      </c>
      <c r="AA14" s="107" t="n">
        <f aca="false">IF(AA$4&lt;Premissas!$B$10,0,INDEX(Premissas!$C$43:$G$43,AA$7))</f>
        <v>0.038</v>
      </c>
      <c r="AB14" s="107" t="n">
        <f aca="false">IF(AB$4&lt;Premissas!$B$10,0,INDEX(Premissas!$C$43:$G$43,AB$7))</f>
        <v>0.038</v>
      </c>
      <c r="AC14" s="107" t="n">
        <f aca="false">IF(AC$4&lt;Premissas!$B$10,0,INDEX(Premissas!$C$43:$G$43,AC$7))</f>
        <v>0.038</v>
      </c>
      <c r="AD14" s="107" t="n">
        <f aca="false">IF(AD$4&lt;Premissas!$B$10,0,INDEX(Premissas!$C$43:$G$43,AD$7))</f>
        <v>0.038</v>
      </c>
      <c r="AE14" s="107" t="n">
        <f aca="false">IF(AE$4&lt;Premissas!$B$10,0,INDEX(Premissas!$C$43:$G$43,AE$7))</f>
        <v>0.038</v>
      </c>
      <c r="AF14" s="107" t="n">
        <f aca="false">IF(AF$4&lt;Premissas!$B$10,0,INDEX(Premissas!$C$43:$G$43,AF$7))</f>
        <v>0.038</v>
      </c>
      <c r="AG14" s="107" t="n">
        <f aca="false">IF(AG$4&lt;Premissas!$B$10,0,INDEX(Premissas!$C$43:$G$43,AG$7))</f>
        <v>0.038</v>
      </c>
      <c r="AH14" s="107" t="n">
        <f aca="false">IF(AH$4&lt;Premissas!$B$10,0,INDEX(Premissas!$C$43:$G$43,AH$7))</f>
        <v>0.038</v>
      </c>
      <c r="AI14" s="107" t="n">
        <f aca="false">IF(AI$4&lt;Premissas!$B$10,0,INDEX(Premissas!$C$43:$G$43,AI$7))</f>
        <v>0.038</v>
      </c>
      <c r="AJ14" s="107" t="n">
        <f aca="false">IF(AJ$4&lt;Premissas!$B$10,0,INDEX(Premissas!$C$43:$G$43,AJ$7))</f>
        <v>0.038</v>
      </c>
      <c r="AK14" s="107" t="n">
        <f aca="false">IF(AK$4&lt;Premissas!$B$10,0,INDEX(Premissas!$C$43:$G$43,AK$7))</f>
        <v>0.038</v>
      </c>
      <c r="AL14" s="107" t="n">
        <f aca="false">IF(AL$4&lt;Premissas!$B$10,0,INDEX(Premissas!$C$43:$G$43,AL$7))</f>
        <v>0.042</v>
      </c>
      <c r="AM14" s="107" t="n">
        <f aca="false">IF(AM$4&lt;Premissas!$B$10,0,INDEX(Premissas!$C$43:$G$43,AM$7))</f>
        <v>0.042</v>
      </c>
      <c r="AN14" s="107" t="n">
        <f aca="false">IF(AN$4&lt;Premissas!$B$10,0,INDEX(Premissas!$C$43:$G$43,AN$7))</f>
        <v>0.042</v>
      </c>
      <c r="AO14" s="107" t="n">
        <f aca="false">IF(AO$4&lt;Premissas!$B$10,0,INDEX(Premissas!$C$43:$G$43,AO$7))</f>
        <v>0.042</v>
      </c>
      <c r="AP14" s="107" t="n">
        <f aca="false">IF(AP$4&lt;Premissas!$B$10,0,INDEX(Premissas!$C$43:$G$43,AP$7))</f>
        <v>0.042</v>
      </c>
      <c r="AQ14" s="107" t="n">
        <f aca="false">IF(AQ$4&lt;Premissas!$B$10,0,INDEX(Premissas!$C$43:$G$43,AQ$7))</f>
        <v>0.042</v>
      </c>
      <c r="AR14" s="107" t="n">
        <f aca="false">IF(AR$4&lt;Premissas!$B$10,0,INDEX(Premissas!$C$43:$G$43,AR$7))</f>
        <v>0.042</v>
      </c>
      <c r="AS14" s="107" t="n">
        <f aca="false">IF(AS$4&lt;Premissas!$B$10,0,INDEX(Premissas!$C$43:$G$43,AS$7))</f>
        <v>0.042</v>
      </c>
      <c r="AT14" s="107" t="n">
        <f aca="false">IF(AT$4&lt;Premissas!$B$10,0,INDEX(Premissas!$C$43:$G$43,AT$7))</f>
        <v>0.042</v>
      </c>
      <c r="AU14" s="107" t="n">
        <f aca="false">IF(AU$4&lt;Premissas!$B$10,0,INDEX(Premissas!$C$43:$G$43,AU$7))</f>
        <v>0.042</v>
      </c>
      <c r="AV14" s="107" t="n">
        <f aca="false">IF(AV$4&lt;Premissas!$B$10,0,INDEX(Premissas!$C$43:$G$43,AV$7))</f>
        <v>0.042</v>
      </c>
      <c r="AW14" s="107" t="n">
        <f aca="false">IF(AW$4&lt;Premissas!$B$10,0,INDEX(Premissas!$C$43:$G$43,AW$7))</f>
        <v>0.042</v>
      </c>
      <c r="AX14" s="107" t="n">
        <f aca="false">IF(AX$4&lt;Premissas!$B$10,0,INDEX(Premissas!$C$43:$G$43,AX$7))</f>
        <v>0.045</v>
      </c>
      <c r="AY14" s="107" t="n">
        <f aca="false">IF(AY$4&lt;Premissas!$B$10,0,INDEX(Premissas!$C$43:$G$43,AY$7))</f>
        <v>0.045</v>
      </c>
      <c r="AZ14" s="107" t="n">
        <f aca="false">IF(AZ$4&lt;Premissas!$B$10,0,INDEX(Premissas!$C$43:$G$43,AZ$7))</f>
        <v>0.045</v>
      </c>
      <c r="BA14" s="107" t="n">
        <f aca="false">IF(BA$4&lt;Premissas!$B$10,0,INDEX(Premissas!$C$43:$G$43,BA$7))</f>
        <v>0.045</v>
      </c>
      <c r="BB14" s="107" t="n">
        <f aca="false">IF(BB$4&lt;Premissas!$B$10,0,INDEX(Premissas!$C$43:$G$43,BB$7))</f>
        <v>0.045</v>
      </c>
      <c r="BC14" s="107" t="n">
        <f aca="false">IF(BC$4&lt;Premissas!$B$10,0,INDEX(Premissas!$C$43:$G$43,BC$7))</f>
        <v>0.045</v>
      </c>
      <c r="BD14" s="107" t="n">
        <f aca="false">IF(BD$4&lt;Premissas!$B$10,0,INDEX(Premissas!$C$43:$G$43,BD$7))</f>
        <v>0.045</v>
      </c>
      <c r="BE14" s="107" t="n">
        <f aca="false">IF(BE$4&lt;Premissas!$B$10,0,INDEX(Premissas!$C$43:$G$43,BE$7))</f>
        <v>0.045</v>
      </c>
      <c r="BF14" s="107" t="n">
        <f aca="false">IF(BF$4&lt;Premissas!$B$10,0,INDEX(Premissas!$C$43:$G$43,BF$7))</f>
        <v>0.045</v>
      </c>
      <c r="BG14" s="107" t="n">
        <f aca="false">IF(BG$4&lt;Premissas!$B$10,0,INDEX(Premissas!$C$43:$G$43,BG$7))</f>
        <v>0.045</v>
      </c>
      <c r="BH14" s="107" t="n">
        <f aca="false">IF(BH$4&lt;Premissas!$B$10,0,INDEX(Premissas!$C$43:$G$43,BH$7))</f>
        <v>0.045</v>
      </c>
      <c r="BI14" s="107" t="n">
        <f aca="false">IF(BI$4&lt;Premissas!$B$10,0,INDEX(Premissas!$C$43:$G$43,BI$7))</f>
        <v>0.045</v>
      </c>
      <c r="BJ14" s="72" t="n">
        <f aca="false">BI14</f>
        <v>0.045</v>
      </c>
    </row>
    <row r="15" customFormat="false" ht="15" hidden="false" customHeight="false" outlineLevel="0" collapsed="false">
      <c r="A15" s="34" t="s">
        <v>316</v>
      </c>
      <c r="B15" s="96" t="n">
        <f aca="false">ROUND(B13*B14,0)</f>
        <v>0</v>
      </c>
      <c r="C15" s="96" t="n">
        <f aca="false">ROUND(C13*C14,0)</f>
        <v>0</v>
      </c>
      <c r="D15" s="96" t="n">
        <f aca="false">ROUND(D13*D14,0)</f>
        <v>0</v>
      </c>
      <c r="E15" s="96" t="n">
        <f aca="false">ROUND(E13*E14,0)</f>
        <v>0</v>
      </c>
      <c r="F15" s="96" t="n">
        <f aca="false">ROUND(F13*F14,0)</f>
        <v>0</v>
      </c>
      <c r="G15" s="96" t="n">
        <f aca="false">ROUND(G13*G14,0)</f>
        <v>0</v>
      </c>
      <c r="H15" s="96" t="n">
        <f aca="false">ROUND(H13*H14,0)</f>
        <v>0</v>
      </c>
      <c r="I15" s="96" t="n">
        <f aca="false">ROUND(I13*I14,0)</f>
        <v>0</v>
      </c>
      <c r="J15" s="96" t="n">
        <f aca="false">ROUND(J13*J14,0)</f>
        <v>0</v>
      </c>
      <c r="K15" s="96" t="n">
        <f aca="false">ROUND(K13*K14,0)</f>
        <v>326</v>
      </c>
      <c r="L15" s="96" t="n">
        <f aca="false">ROUND(L13*L14,0)</f>
        <v>619</v>
      </c>
      <c r="M15" s="96" t="n">
        <f aca="false">ROUND(M13*M14,0)</f>
        <v>883</v>
      </c>
      <c r="N15" s="96" t="n">
        <f aca="false">ROUND(N13*N14,0)</f>
        <v>1394</v>
      </c>
      <c r="O15" s="96" t="n">
        <f aca="false">ROUND(O13*O14,0)</f>
        <v>1724</v>
      </c>
      <c r="P15" s="96" t="n">
        <f aca="false">ROUND(P13*P14,0)</f>
        <v>2022</v>
      </c>
      <c r="Q15" s="96" t="n">
        <f aca="false">ROUND(Q13*Q14,0)</f>
        <v>2292</v>
      </c>
      <c r="R15" s="96" t="n">
        <f aca="false">ROUND(R13*R14,0)</f>
        <v>2536</v>
      </c>
      <c r="S15" s="96" t="n">
        <f aca="false">ROUND(S13*S14,0)</f>
        <v>2757</v>
      </c>
      <c r="T15" s="96" t="n">
        <f aca="false">ROUND(T13*T14,0)</f>
        <v>2957</v>
      </c>
      <c r="U15" s="96" t="n">
        <f aca="false">ROUND(U13*U14,0)</f>
        <v>3138</v>
      </c>
      <c r="V15" s="96" t="n">
        <f aca="false">ROUND(V13*V14,0)</f>
        <v>3302</v>
      </c>
      <c r="W15" s="96" t="n">
        <f aca="false">ROUND(W13*W14,0)</f>
        <v>3451</v>
      </c>
      <c r="X15" s="96" t="n">
        <f aca="false">ROUND(X13*X14,0)</f>
        <v>3585</v>
      </c>
      <c r="Y15" s="96" t="n">
        <f aca="false">ROUND(Y13*Y14,0)</f>
        <v>3706</v>
      </c>
      <c r="Z15" s="96" t="n">
        <f aca="false">ROUND(Z13*Z14,0)</f>
        <v>4688</v>
      </c>
      <c r="AA15" s="96" t="n">
        <f aca="false">ROUND(AA13*AA14,0)</f>
        <v>5292</v>
      </c>
      <c r="AB15" s="96" t="n">
        <f aca="false">ROUND(AB13*AB14,0)</f>
        <v>5842</v>
      </c>
      <c r="AC15" s="96" t="n">
        <f aca="false">ROUND(AC13*AC14,0)</f>
        <v>6342</v>
      </c>
      <c r="AD15" s="96" t="n">
        <f aca="false">ROUND(AD13*AD14,0)</f>
        <v>6797</v>
      </c>
      <c r="AE15" s="96" t="n">
        <f aca="false">ROUND(AE13*AE14,0)</f>
        <v>7211</v>
      </c>
      <c r="AF15" s="96" t="n">
        <f aca="false">ROUND(AF13*AF14,0)</f>
        <v>7588</v>
      </c>
      <c r="AG15" s="96" t="n">
        <f aca="false">ROUND(AG13*AG14,0)</f>
        <v>7931</v>
      </c>
      <c r="AH15" s="96" t="n">
        <f aca="false">ROUND(AH13*AH14,0)</f>
        <v>8244</v>
      </c>
      <c r="AI15" s="96" t="n">
        <f aca="false">ROUND(AI13*AI14,0)</f>
        <v>8528</v>
      </c>
      <c r="AJ15" s="96" t="n">
        <f aca="false">ROUND(AJ13*AJ14,0)</f>
        <v>8786</v>
      </c>
      <c r="AK15" s="96" t="n">
        <f aca="false">ROUND(AK13*AK14,0)</f>
        <v>9021</v>
      </c>
      <c r="AL15" s="96" t="n">
        <f aca="false">ROUND(AL13*AL14,0)</f>
        <v>10887</v>
      </c>
      <c r="AM15" s="96" t="n">
        <f aca="false">ROUND(AM13*AM14,0)</f>
        <v>11726</v>
      </c>
      <c r="AN15" s="96" t="n">
        <f aca="false">ROUND(AN13*AN14,0)</f>
        <v>12493</v>
      </c>
      <c r="AO15" s="96" t="n">
        <f aca="false">ROUND(AO13*AO14,0)</f>
        <v>13195</v>
      </c>
      <c r="AP15" s="96" t="n">
        <f aca="false">ROUND(AP13*AP14,0)</f>
        <v>13838</v>
      </c>
      <c r="AQ15" s="96" t="n">
        <f aca="false">ROUND(AQ13*AQ14,0)</f>
        <v>14426</v>
      </c>
      <c r="AR15" s="96" t="n">
        <f aca="false">ROUND(AR13*AR14,0)</f>
        <v>14963</v>
      </c>
      <c r="AS15" s="96" t="n">
        <f aca="false">ROUND(AS13*AS14,0)</f>
        <v>15455</v>
      </c>
      <c r="AT15" s="96" t="n">
        <f aca="false">ROUND(AT13*AT14,0)</f>
        <v>15906</v>
      </c>
      <c r="AU15" s="96" t="n">
        <f aca="false">ROUND(AU13*AU14,0)</f>
        <v>16318</v>
      </c>
      <c r="AV15" s="96" t="n">
        <f aca="false">ROUND(AV13*AV14,0)</f>
        <v>16695</v>
      </c>
      <c r="AW15" s="96" t="n">
        <f aca="false">ROUND(AW13*AW14,0)</f>
        <v>17040</v>
      </c>
      <c r="AX15" s="96" t="n">
        <f aca="false">ROUND(AX13*AX14,0)</f>
        <v>19361</v>
      </c>
      <c r="AY15" s="96" t="n">
        <f aca="false">ROUND(AY13*AY14,0)</f>
        <v>20377</v>
      </c>
      <c r="AZ15" s="96" t="n">
        <f aca="false">ROUND(AZ13*AZ14,0)</f>
        <v>21312</v>
      </c>
      <c r="BA15" s="96" t="n">
        <f aca="false">ROUND(BA13*BA14,0)</f>
        <v>22172</v>
      </c>
      <c r="BB15" s="96" t="n">
        <f aca="false">ROUND(BB13*BB14,0)</f>
        <v>22963</v>
      </c>
      <c r="BC15" s="96" t="n">
        <f aca="false">ROUND(BC13*BC14,0)</f>
        <v>23691</v>
      </c>
      <c r="BD15" s="96" t="n">
        <f aca="false">ROUND(BD13*BD14,0)</f>
        <v>24361</v>
      </c>
      <c r="BE15" s="96" t="n">
        <f aca="false">ROUND(BE13*BE14,0)</f>
        <v>24977</v>
      </c>
      <c r="BF15" s="96" t="n">
        <f aca="false">ROUND(BF13*BF14,0)</f>
        <v>25544</v>
      </c>
      <c r="BG15" s="96" t="n">
        <f aca="false">ROUND(BG13*BG14,0)</f>
        <v>26065</v>
      </c>
      <c r="BH15" s="96" t="n">
        <f aca="false">ROUND(BH13*BH14,0)</f>
        <v>26545</v>
      </c>
      <c r="BI15" s="96" t="n">
        <f aca="false">ROUND(BI13*BI14,0)</f>
        <v>26987</v>
      </c>
      <c r="BJ15" s="95" t="n">
        <f aca="false">BI15</f>
        <v>26987</v>
      </c>
      <c r="BK15" s="14" t="s">
        <v>344</v>
      </c>
    </row>
    <row r="16" customFormat="false" ht="15" hidden="false" customHeight="false" outlineLevel="0" collapsed="false">
      <c r="A16" s="12" t="s">
        <v>317</v>
      </c>
      <c r="B16" s="98" t="n">
        <f aca="false">ROUND(B15*INDEX(Premissas!$C$26:$G$26,B$7),0)</f>
        <v>0</v>
      </c>
      <c r="C16" s="98" t="n">
        <f aca="false">ROUND(C15*INDEX(Premissas!$C$26:$G$26,C$7),0)</f>
        <v>0</v>
      </c>
      <c r="D16" s="98" t="n">
        <f aca="false">ROUND(D15*INDEX(Premissas!$C$26:$G$26,D$7),0)</f>
        <v>0</v>
      </c>
      <c r="E16" s="98" t="n">
        <f aca="false">ROUND(E15*INDEX(Premissas!$C$26:$G$26,E$7),0)</f>
        <v>0</v>
      </c>
      <c r="F16" s="98" t="n">
        <f aca="false">ROUND(F15*INDEX(Premissas!$C$26:$G$26,F$7),0)</f>
        <v>0</v>
      </c>
      <c r="G16" s="98" t="n">
        <f aca="false">ROUND(G15*INDEX(Premissas!$C$26:$G$26,G$7),0)</f>
        <v>0</v>
      </c>
      <c r="H16" s="98" t="n">
        <f aca="false">ROUND(H15*INDEX(Premissas!$C$26:$G$26,H$7),0)</f>
        <v>0</v>
      </c>
      <c r="I16" s="98" t="n">
        <f aca="false">ROUND(I15*INDEX(Premissas!$C$26:$G$26,I$7),0)</f>
        <v>0</v>
      </c>
      <c r="J16" s="98" t="n">
        <f aca="false">ROUND(J15*INDEX(Premissas!$C$26:$G$26,J$7),0)</f>
        <v>0</v>
      </c>
      <c r="K16" s="98" t="n">
        <f aca="false">ROUND(K15*INDEX(Premissas!$C$26:$G$26,K$7),0)</f>
        <v>245</v>
      </c>
      <c r="L16" s="98" t="n">
        <f aca="false">ROUND(L15*INDEX(Premissas!$C$26:$G$26,L$7),0)</f>
        <v>464</v>
      </c>
      <c r="M16" s="98" t="n">
        <f aca="false">ROUND(M15*INDEX(Premissas!$C$26:$G$26,M$7),0)</f>
        <v>662</v>
      </c>
      <c r="N16" s="98" t="n">
        <f aca="false">ROUND(N15*INDEX(Premissas!$C$26:$G$26,N$7),0)</f>
        <v>1004</v>
      </c>
      <c r="O16" s="98" t="n">
        <f aca="false">ROUND(O15*INDEX(Premissas!$C$26:$G$26,O$7),0)</f>
        <v>1241</v>
      </c>
      <c r="P16" s="98" t="n">
        <f aca="false">ROUND(P15*INDEX(Premissas!$C$26:$G$26,P$7),0)</f>
        <v>1456</v>
      </c>
      <c r="Q16" s="98" t="n">
        <f aca="false">ROUND(Q15*INDEX(Premissas!$C$26:$G$26,Q$7),0)</f>
        <v>1650</v>
      </c>
      <c r="R16" s="98" t="n">
        <f aca="false">ROUND(R15*INDEX(Premissas!$C$26:$G$26,R$7),0)</f>
        <v>1826</v>
      </c>
      <c r="S16" s="98" t="n">
        <f aca="false">ROUND(S15*INDEX(Premissas!$C$26:$G$26,S$7),0)</f>
        <v>1985</v>
      </c>
      <c r="T16" s="98" t="n">
        <f aca="false">ROUND(T15*INDEX(Premissas!$C$26:$G$26,T$7),0)</f>
        <v>2129</v>
      </c>
      <c r="U16" s="98" t="n">
        <f aca="false">ROUND(U15*INDEX(Premissas!$C$26:$G$26,U$7),0)</f>
        <v>2259</v>
      </c>
      <c r="V16" s="98" t="n">
        <f aca="false">ROUND(V15*INDEX(Premissas!$C$26:$G$26,V$7),0)</f>
        <v>2377</v>
      </c>
      <c r="W16" s="98" t="n">
        <f aca="false">ROUND(W15*INDEX(Premissas!$C$26:$G$26,W$7),0)</f>
        <v>2485</v>
      </c>
      <c r="X16" s="98" t="n">
        <f aca="false">ROUND(X15*INDEX(Premissas!$C$26:$G$26,X$7),0)</f>
        <v>2581</v>
      </c>
      <c r="Y16" s="98" t="n">
        <f aca="false">ROUND(Y15*INDEX(Premissas!$C$26:$G$26,Y$7),0)</f>
        <v>2668</v>
      </c>
      <c r="Z16" s="98" t="n">
        <f aca="false">ROUND(Z15*INDEX(Premissas!$C$26:$G$26,Z$7),0)</f>
        <v>3188</v>
      </c>
      <c r="AA16" s="98" t="n">
        <f aca="false">ROUND(AA15*INDEX(Premissas!$C$26:$G$26,AA$7),0)</f>
        <v>3599</v>
      </c>
      <c r="AB16" s="98" t="n">
        <f aca="false">ROUND(AB15*INDEX(Premissas!$C$26:$G$26,AB$7),0)</f>
        <v>3973</v>
      </c>
      <c r="AC16" s="98" t="n">
        <f aca="false">ROUND(AC15*INDEX(Premissas!$C$26:$G$26,AC$7),0)</f>
        <v>4313</v>
      </c>
      <c r="AD16" s="98" t="n">
        <f aca="false">ROUND(AD15*INDEX(Premissas!$C$26:$G$26,AD$7),0)</f>
        <v>4622</v>
      </c>
      <c r="AE16" s="98" t="n">
        <f aca="false">ROUND(AE15*INDEX(Premissas!$C$26:$G$26,AE$7),0)</f>
        <v>4903</v>
      </c>
      <c r="AF16" s="98" t="n">
        <f aca="false">ROUND(AF15*INDEX(Premissas!$C$26:$G$26,AF$7),0)</f>
        <v>5160</v>
      </c>
      <c r="AG16" s="98" t="n">
        <f aca="false">ROUND(AG15*INDEX(Premissas!$C$26:$G$26,AG$7),0)</f>
        <v>5393</v>
      </c>
      <c r="AH16" s="98" t="n">
        <f aca="false">ROUND(AH15*INDEX(Premissas!$C$26:$G$26,AH$7),0)</f>
        <v>5606</v>
      </c>
      <c r="AI16" s="98" t="n">
        <f aca="false">ROUND(AI15*INDEX(Premissas!$C$26:$G$26,AI$7),0)</f>
        <v>5799</v>
      </c>
      <c r="AJ16" s="98" t="n">
        <f aca="false">ROUND(AJ15*INDEX(Premissas!$C$26:$G$26,AJ$7),0)</f>
        <v>5974</v>
      </c>
      <c r="AK16" s="98" t="n">
        <f aca="false">ROUND(AK15*INDEX(Premissas!$C$26:$G$26,AK$7),0)</f>
        <v>6134</v>
      </c>
      <c r="AL16" s="98" t="n">
        <f aca="false">ROUND(AL15*INDEX(Premissas!$C$26:$G$26,AL$7),0)</f>
        <v>6968</v>
      </c>
      <c r="AM16" s="98" t="n">
        <f aca="false">ROUND(AM15*INDEX(Premissas!$C$26:$G$26,AM$7),0)</f>
        <v>7505</v>
      </c>
      <c r="AN16" s="98" t="n">
        <f aca="false">ROUND(AN15*INDEX(Premissas!$C$26:$G$26,AN$7),0)</f>
        <v>7996</v>
      </c>
      <c r="AO16" s="98" t="n">
        <f aca="false">ROUND(AO15*INDEX(Premissas!$C$26:$G$26,AO$7),0)</f>
        <v>8445</v>
      </c>
      <c r="AP16" s="98" t="n">
        <f aca="false">ROUND(AP15*INDEX(Premissas!$C$26:$G$26,AP$7),0)</f>
        <v>8856</v>
      </c>
      <c r="AQ16" s="98" t="n">
        <f aca="false">ROUND(AQ15*INDEX(Premissas!$C$26:$G$26,AQ$7),0)</f>
        <v>9233</v>
      </c>
      <c r="AR16" s="98" t="n">
        <f aca="false">ROUND(AR15*INDEX(Premissas!$C$26:$G$26,AR$7),0)</f>
        <v>9576</v>
      </c>
      <c r="AS16" s="98" t="n">
        <f aca="false">ROUND(AS15*INDEX(Premissas!$C$26:$G$26,AS$7),0)</f>
        <v>9891</v>
      </c>
      <c r="AT16" s="98" t="n">
        <f aca="false">ROUND(AT15*INDEX(Premissas!$C$26:$G$26,AT$7),0)</f>
        <v>10180</v>
      </c>
      <c r="AU16" s="98" t="n">
        <f aca="false">ROUND(AU15*INDEX(Premissas!$C$26:$G$26,AU$7),0)</f>
        <v>10444</v>
      </c>
      <c r="AV16" s="98" t="n">
        <f aca="false">ROUND(AV15*INDEX(Premissas!$C$26:$G$26,AV$7),0)</f>
        <v>10685</v>
      </c>
      <c r="AW16" s="98" t="n">
        <f aca="false">ROUND(AW15*INDEX(Premissas!$C$26:$G$26,AW$7),0)</f>
        <v>10906</v>
      </c>
      <c r="AX16" s="98" t="n">
        <f aca="false">ROUND(AX15*INDEX(Premissas!$C$26:$G$26,AX$7),0)</f>
        <v>11617</v>
      </c>
      <c r="AY16" s="98" t="n">
        <f aca="false">ROUND(AY15*INDEX(Premissas!$C$26:$G$26,AY$7),0)</f>
        <v>12226</v>
      </c>
      <c r="AZ16" s="98" t="n">
        <f aca="false">ROUND(AZ15*INDEX(Premissas!$C$26:$G$26,AZ$7),0)</f>
        <v>12787</v>
      </c>
      <c r="BA16" s="98" t="n">
        <f aca="false">ROUND(BA15*INDEX(Premissas!$C$26:$G$26,BA$7),0)</f>
        <v>13303</v>
      </c>
      <c r="BB16" s="98" t="n">
        <f aca="false">ROUND(BB15*INDEX(Premissas!$C$26:$G$26,BB$7),0)</f>
        <v>13778</v>
      </c>
      <c r="BC16" s="98" t="n">
        <f aca="false">ROUND(BC15*INDEX(Premissas!$C$26:$G$26,BC$7),0)</f>
        <v>14215</v>
      </c>
      <c r="BD16" s="98" t="n">
        <f aca="false">ROUND(BD15*INDEX(Premissas!$C$26:$G$26,BD$7),0)</f>
        <v>14617</v>
      </c>
      <c r="BE16" s="98" t="n">
        <f aca="false">ROUND(BE15*INDEX(Premissas!$C$26:$G$26,BE$7),0)</f>
        <v>14986</v>
      </c>
      <c r="BF16" s="98" t="n">
        <f aca="false">ROUND(BF15*INDEX(Premissas!$C$26:$G$26,BF$7),0)</f>
        <v>15326</v>
      </c>
      <c r="BG16" s="98" t="n">
        <f aca="false">ROUND(BG15*INDEX(Premissas!$C$26:$G$26,BG$7),0)</f>
        <v>15639</v>
      </c>
      <c r="BH16" s="98" t="n">
        <f aca="false">ROUND(BH15*INDEX(Premissas!$C$26:$G$26,BH$7),0)</f>
        <v>15927</v>
      </c>
      <c r="BI16" s="98" t="n">
        <f aca="false">ROUND(BI15*INDEX(Premissas!$C$26:$G$26,BI$7),0)</f>
        <v>16192</v>
      </c>
      <c r="BJ16" s="95" t="n">
        <f aca="false">BI16</f>
        <v>16192</v>
      </c>
      <c r="BK16" s="14" t="s">
        <v>344</v>
      </c>
    </row>
    <row r="17" customFormat="false" ht="15" hidden="false" customHeight="false" outlineLevel="0" collapsed="false">
      <c r="A17" s="12" t="s">
        <v>318</v>
      </c>
      <c r="B17" s="98" t="n">
        <f aca="false">ROUND(B15*INDEX(Premissas!$C$27:$G$27,B$7),0)</f>
        <v>0</v>
      </c>
      <c r="C17" s="98" t="n">
        <f aca="false">ROUND(C15*INDEX(Premissas!$C$27:$G$27,C$7),0)</f>
        <v>0</v>
      </c>
      <c r="D17" s="98" t="n">
        <f aca="false">ROUND(D15*INDEX(Premissas!$C$27:$G$27,D$7),0)</f>
        <v>0</v>
      </c>
      <c r="E17" s="98" t="n">
        <f aca="false">ROUND(E15*INDEX(Premissas!$C$27:$G$27,E$7),0)</f>
        <v>0</v>
      </c>
      <c r="F17" s="98" t="n">
        <f aca="false">ROUND(F15*INDEX(Premissas!$C$27:$G$27,F$7),0)</f>
        <v>0</v>
      </c>
      <c r="G17" s="98" t="n">
        <f aca="false">ROUND(G15*INDEX(Premissas!$C$27:$G$27,G$7),0)</f>
        <v>0</v>
      </c>
      <c r="H17" s="98" t="n">
        <f aca="false">ROUND(H15*INDEX(Premissas!$C$27:$G$27,H$7),0)</f>
        <v>0</v>
      </c>
      <c r="I17" s="98" t="n">
        <f aca="false">ROUND(I15*INDEX(Premissas!$C$27:$G$27,I$7),0)</f>
        <v>0</v>
      </c>
      <c r="J17" s="98" t="n">
        <f aca="false">ROUND(J15*INDEX(Premissas!$C$27:$G$27,J$7),0)</f>
        <v>0</v>
      </c>
      <c r="K17" s="98" t="n">
        <f aca="false">ROUND(K15*INDEX(Premissas!$C$27:$G$27,K$7),0)</f>
        <v>65</v>
      </c>
      <c r="L17" s="98" t="n">
        <f aca="false">ROUND(L15*INDEX(Premissas!$C$27:$G$27,L$7),0)</f>
        <v>124</v>
      </c>
      <c r="M17" s="98" t="n">
        <f aca="false">ROUND(M15*INDEX(Premissas!$C$27:$G$27,M$7),0)</f>
        <v>177</v>
      </c>
      <c r="N17" s="98" t="n">
        <f aca="false">ROUND(N15*INDEX(Premissas!$C$27:$G$27,N$7),0)</f>
        <v>307</v>
      </c>
      <c r="O17" s="98" t="n">
        <f aca="false">ROUND(O15*INDEX(Premissas!$C$27:$G$27,O$7),0)</f>
        <v>379</v>
      </c>
      <c r="P17" s="98" t="n">
        <f aca="false">ROUND(P15*INDEX(Premissas!$C$27:$G$27,P$7),0)</f>
        <v>445</v>
      </c>
      <c r="Q17" s="98" t="n">
        <f aca="false">ROUND(Q15*INDEX(Premissas!$C$27:$G$27,Q$7),0)</f>
        <v>504</v>
      </c>
      <c r="R17" s="98" t="n">
        <f aca="false">ROUND(R15*INDEX(Premissas!$C$27:$G$27,R$7),0)</f>
        <v>558</v>
      </c>
      <c r="S17" s="98" t="n">
        <f aca="false">ROUND(S15*INDEX(Premissas!$C$27:$G$27,S$7),0)</f>
        <v>607</v>
      </c>
      <c r="T17" s="98" t="n">
        <f aca="false">ROUND(T15*INDEX(Premissas!$C$27:$G$27,T$7),0)</f>
        <v>651</v>
      </c>
      <c r="U17" s="98" t="n">
        <f aca="false">ROUND(U15*INDEX(Premissas!$C$27:$G$27,U$7),0)</f>
        <v>690</v>
      </c>
      <c r="V17" s="98" t="n">
        <f aca="false">ROUND(V15*INDEX(Premissas!$C$27:$G$27,V$7),0)</f>
        <v>726</v>
      </c>
      <c r="W17" s="98" t="n">
        <f aca="false">ROUND(W15*INDEX(Premissas!$C$27:$G$27,W$7),0)</f>
        <v>759</v>
      </c>
      <c r="X17" s="98" t="n">
        <f aca="false">ROUND(X15*INDEX(Premissas!$C$27:$G$27,X$7),0)</f>
        <v>789</v>
      </c>
      <c r="Y17" s="98" t="n">
        <f aca="false">ROUND(Y15*INDEX(Premissas!$C$27:$G$27,Y$7),0)</f>
        <v>815</v>
      </c>
      <c r="Z17" s="98" t="n">
        <f aca="false">ROUND(Z15*INDEX(Premissas!$C$27:$G$27,Z$7),0)</f>
        <v>1125</v>
      </c>
      <c r="AA17" s="98" t="n">
        <f aca="false">ROUND(AA15*INDEX(Premissas!$C$27:$G$27,AA$7),0)</f>
        <v>1270</v>
      </c>
      <c r="AB17" s="98" t="n">
        <f aca="false">ROUND(AB15*INDEX(Premissas!$C$27:$G$27,AB$7),0)</f>
        <v>1402</v>
      </c>
      <c r="AC17" s="98" t="n">
        <f aca="false">ROUND(AC15*INDEX(Premissas!$C$27:$G$27,AC$7),0)</f>
        <v>1522</v>
      </c>
      <c r="AD17" s="98" t="n">
        <f aca="false">ROUND(AD15*INDEX(Premissas!$C$27:$G$27,AD$7),0)</f>
        <v>1631</v>
      </c>
      <c r="AE17" s="98" t="n">
        <f aca="false">ROUND(AE15*INDEX(Premissas!$C$27:$G$27,AE$7),0)</f>
        <v>1731</v>
      </c>
      <c r="AF17" s="98" t="n">
        <f aca="false">ROUND(AF15*INDEX(Premissas!$C$27:$G$27,AF$7),0)</f>
        <v>1821</v>
      </c>
      <c r="AG17" s="98" t="n">
        <f aca="false">ROUND(AG15*INDEX(Premissas!$C$27:$G$27,AG$7),0)</f>
        <v>1903</v>
      </c>
      <c r="AH17" s="98" t="n">
        <f aca="false">ROUND(AH15*INDEX(Premissas!$C$27:$G$27,AH$7),0)</f>
        <v>1979</v>
      </c>
      <c r="AI17" s="98" t="n">
        <f aca="false">ROUND(AI15*INDEX(Premissas!$C$27:$G$27,AI$7),0)</f>
        <v>2047</v>
      </c>
      <c r="AJ17" s="98" t="n">
        <f aca="false">ROUND(AJ15*INDEX(Premissas!$C$27:$G$27,AJ$7),0)</f>
        <v>2109</v>
      </c>
      <c r="AK17" s="98" t="n">
        <f aca="false">ROUND(AK15*INDEX(Premissas!$C$27:$G$27,AK$7),0)</f>
        <v>2165</v>
      </c>
      <c r="AL17" s="98" t="n">
        <f aca="false">ROUND(AL15*INDEX(Premissas!$C$27:$G$27,AL$7),0)</f>
        <v>2831</v>
      </c>
      <c r="AM17" s="98" t="n">
        <f aca="false">ROUND(AM15*INDEX(Premissas!$C$27:$G$27,AM$7),0)</f>
        <v>3049</v>
      </c>
      <c r="AN17" s="98" t="n">
        <f aca="false">ROUND(AN15*INDEX(Premissas!$C$27:$G$27,AN$7),0)</f>
        <v>3248</v>
      </c>
      <c r="AO17" s="98" t="n">
        <f aca="false">ROUND(AO15*INDEX(Premissas!$C$27:$G$27,AO$7),0)</f>
        <v>3431</v>
      </c>
      <c r="AP17" s="98" t="n">
        <f aca="false">ROUND(AP15*INDEX(Premissas!$C$27:$G$27,AP$7),0)</f>
        <v>3598</v>
      </c>
      <c r="AQ17" s="98" t="n">
        <f aca="false">ROUND(AQ15*INDEX(Premissas!$C$27:$G$27,AQ$7),0)</f>
        <v>3751</v>
      </c>
      <c r="AR17" s="98" t="n">
        <f aca="false">ROUND(AR15*INDEX(Premissas!$C$27:$G$27,AR$7),0)</f>
        <v>3890</v>
      </c>
      <c r="AS17" s="98" t="n">
        <f aca="false">ROUND(AS15*INDEX(Premissas!$C$27:$G$27,AS$7),0)</f>
        <v>4018</v>
      </c>
      <c r="AT17" s="98" t="n">
        <f aca="false">ROUND(AT15*INDEX(Premissas!$C$27:$G$27,AT$7),0)</f>
        <v>4136</v>
      </c>
      <c r="AU17" s="98" t="n">
        <f aca="false">ROUND(AU15*INDEX(Premissas!$C$27:$G$27,AU$7),0)</f>
        <v>4243</v>
      </c>
      <c r="AV17" s="98" t="n">
        <f aca="false">ROUND(AV15*INDEX(Premissas!$C$27:$G$27,AV$7),0)</f>
        <v>4341</v>
      </c>
      <c r="AW17" s="98" t="n">
        <f aca="false">ROUND(AW15*INDEX(Premissas!$C$27:$G$27,AW$7),0)</f>
        <v>4430</v>
      </c>
      <c r="AX17" s="98" t="n">
        <f aca="false">ROUND(AX15*INDEX(Premissas!$C$27:$G$27,AX$7),0)</f>
        <v>5421</v>
      </c>
      <c r="AY17" s="98" t="n">
        <f aca="false">ROUND(AY15*INDEX(Premissas!$C$27:$G$27,AY$7),0)</f>
        <v>5706</v>
      </c>
      <c r="AZ17" s="98" t="n">
        <f aca="false">ROUND(AZ15*INDEX(Premissas!$C$27:$G$27,AZ$7),0)</f>
        <v>5967</v>
      </c>
      <c r="BA17" s="98" t="n">
        <f aca="false">ROUND(BA15*INDEX(Premissas!$C$27:$G$27,BA$7),0)</f>
        <v>6208</v>
      </c>
      <c r="BB17" s="98" t="n">
        <f aca="false">ROUND(BB15*INDEX(Premissas!$C$27:$G$27,BB$7),0)</f>
        <v>6430</v>
      </c>
      <c r="BC17" s="98" t="n">
        <f aca="false">ROUND(BC15*INDEX(Premissas!$C$27:$G$27,BC$7),0)</f>
        <v>6633</v>
      </c>
      <c r="BD17" s="98" t="n">
        <f aca="false">ROUND(BD15*INDEX(Premissas!$C$27:$G$27,BD$7),0)</f>
        <v>6821</v>
      </c>
      <c r="BE17" s="98" t="n">
        <f aca="false">ROUND(BE15*INDEX(Premissas!$C$27:$G$27,BE$7),0)</f>
        <v>6994</v>
      </c>
      <c r="BF17" s="98" t="n">
        <f aca="false">ROUND(BF15*INDEX(Premissas!$C$27:$G$27,BF$7),0)</f>
        <v>7152</v>
      </c>
      <c r="BG17" s="98" t="n">
        <f aca="false">ROUND(BG15*INDEX(Premissas!$C$27:$G$27,BG$7),0)</f>
        <v>7298</v>
      </c>
      <c r="BH17" s="98" t="n">
        <f aca="false">ROUND(BH15*INDEX(Premissas!$C$27:$G$27,BH$7),0)</f>
        <v>7433</v>
      </c>
      <c r="BI17" s="98" t="n">
        <f aca="false">ROUND(BI15*INDEX(Premissas!$C$27:$G$27,BI$7),0)</f>
        <v>7556</v>
      </c>
      <c r="BJ17" s="95" t="n">
        <f aca="false">BI17</f>
        <v>7556</v>
      </c>
      <c r="BK17" s="14" t="s">
        <v>344</v>
      </c>
    </row>
    <row r="18" customFormat="false" ht="15" hidden="false" customHeight="false" outlineLevel="0" collapsed="false">
      <c r="A18" s="12" t="s">
        <v>319</v>
      </c>
      <c r="B18" s="98" t="n">
        <f aca="false">B15-B16-B17</f>
        <v>0</v>
      </c>
      <c r="C18" s="98" t="n">
        <f aca="false">C15-C16-C17</f>
        <v>0</v>
      </c>
      <c r="D18" s="98" t="n">
        <f aca="false">D15-D16-D17</f>
        <v>0</v>
      </c>
      <c r="E18" s="98" t="n">
        <f aca="false">E15-E16-E17</f>
        <v>0</v>
      </c>
      <c r="F18" s="98" t="n">
        <f aca="false">F15-F16-F17</f>
        <v>0</v>
      </c>
      <c r="G18" s="98" t="n">
        <f aca="false">G15-G16-G17</f>
        <v>0</v>
      </c>
      <c r="H18" s="98" t="n">
        <f aca="false">H15-H16-H17</f>
        <v>0</v>
      </c>
      <c r="I18" s="98" t="n">
        <f aca="false">I15-I16-I17</f>
        <v>0</v>
      </c>
      <c r="J18" s="98" t="n">
        <f aca="false">J15-J16-J17</f>
        <v>0</v>
      </c>
      <c r="K18" s="98" t="n">
        <f aca="false">K15-K16-K17</f>
        <v>16</v>
      </c>
      <c r="L18" s="98" t="n">
        <f aca="false">L15-L16-L17</f>
        <v>31</v>
      </c>
      <c r="M18" s="98" t="n">
        <f aca="false">M15-M16-M17</f>
        <v>44</v>
      </c>
      <c r="N18" s="98" t="n">
        <f aca="false">N15-N16-N17</f>
        <v>83</v>
      </c>
      <c r="O18" s="98" t="n">
        <f aca="false">O15-O16-O17</f>
        <v>104</v>
      </c>
      <c r="P18" s="98" t="n">
        <f aca="false">P15-P16-P17</f>
        <v>121</v>
      </c>
      <c r="Q18" s="98" t="n">
        <f aca="false">Q15-Q16-Q17</f>
        <v>138</v>
      </c>
      <c r="R18" s="98" t="n">
        <f aca="false">R15-R16-R17</f>
        <v>152</v>
      </c>
      <c r="S18" s="98" t="n">
        <f aca="false">S15-S16-S17</f>
        <v>165</v>
      </c>
      <c r="T18" s="98" t="n">
        <f aca="false">T15-T16-T17</f>
        <v>177</v>
      </c>
      <c r="U18" s="98" t="n">
        <f aca="false">U15-U16-U17</f>
        <v>189</v>
      </c>
      <c r="V18" s="98" t="n">
        <f aca="false">V15-V16-V17</f>
        <v>199</v>
      </c>
      <c r="W18" s="98" t="n">
        <f aca="false">W15-W16-W17</f>
        <v>207</v>
      </c>
      <c r="X18" s="98" t="n">
        <f aca="false">X15-X16-X17</f>
        <v>215</v>
      </c>
      <c r="Y18" s="98" t="n">
        <f aca="false">Y15-Y16-Y17</f>
        <v>223</v>
      </c>
      <c r="Z18" s="98" t="n">
        <f aca="false">Z15-Z16-Z17</f>
        <v>375</v>
      </c>
      <c r="AA18" s="98" t="n">
        <f aca="false">AA15-AA16-AA17</f>
        <v>423</v>
      </c>
      <c r="AB18" s="98" t="n">
        <f aca="false">AB15-AB16-AB17</f>
        <v>467</v>
      </c>
      <c r="AC18" s="98" t="n">
        <f aca="false">AC15-AC16-AC17</f>
        <v>507</v>
      </c>
      <c r="AD18" s="98" t="n">
        <f aca="false">AD15-AD16-AD17</f>
        <v>544</v>
      </c>
      <c r="AE18" s="98" t="n">
        <f aca="false">AE15-AE16-AE17</f>
        <v>577</v>
      </c>
      <c r="AF18" s="98" t="n">
        <f aca="false">AF15-AF16-AF17</f>
        <v>607</v>
      </c>
      <c r="AG18" s="98" t="n">
        <f aca="false">AG15-AG16-AG17</f>
        <v>635</v>
      </c>
      <c r="AH18" s="98" t="n">
        <f aca="false">AH15-AH16-AH17</f>
        <v>659</v>
      </c>
      <c r="AI18" s="98" t="n">
        <f aca="false">AI15-AI16-AI17</f>
        <v>682</v>
      </c>
      <c r="AJ18" s="98" t="n">
        <f aca="false">AJ15-AJ16-AJ17</f>
        <v>703</v>
      </c>
      <c r="AK18" s="98" t="n">
        <f aca="false">AK15-AK16-AK17</f>
        <v>722</v>
      </c>
      <c r="AL18" s="98" t="n">
        <f aca="false">AL15-AL16-AL17</f>
        <v>1088</v>
      </c>
      <c r="AM18" s="98" t="n">
        <f aca="false">AM15-AM16-AM17</f>
        <v>1172</v>
      </c>
      <c r="AN18" s="98" t="n">
        <f aca="false">AN15-AN16-AN17</f>
        <v>1249</v>
      </c>
      <c r="AO18" s="98" t="n">
        <f aca="false">AO15-AO16-AO17</f>
        <v>1319</v>
      </c>
      <c r="AP18" s="98" t="n">
        <f aca="false">AP15-AP16-AP17</f>
        <v>1384</v>
      </c>
      <c r="AQ18" s="98" t="n">
        <f aca="false">AQ15-AQ16-AQ17</f>
        <v>1442</v>
      </c>
      <c r="AR18" s="98" t="n">
        <f aca="false">AR15-AR16-AR17</f>
        <v>1497</v>
      </c>
      <c r="AS18" s="98" t="n">
        <f aca="false">AS15-AS16-AS17</f>
        <v>1546</v>
      </c>
      <c r="AT18" s="98" t="n">
        <f aca="false">AT15-AT16-AT17</f>
        <v>1590</v>
      </c>
      <c r="AU18" s="98" t="n">
        <f aca="false">AU15-AU16-AU17</f>
        <v>1631</v>
      </c>
      <c r="AV18" s="98" t="n">
        <f aca="false">AV15-AV16-AV17</f>
        <v>1669</v>
      </c>
      <c r="AW18" s="98" t="n">
        <f aca="false">AW15-AW16-AW17</f>
        <v>1704</v>
      </c>
      <c r="AX18" s="98" t="n">
        <f aca="false">AX15-AX16-AX17</f>
        <v>2323</v>
      </c>
      <c r="AY18" s="98" t="n">
        <f aca="false">AY15-AY16-AY17</f>
        <v>2445</v>
      </c>
      <c r="AZ18" s="98" t="n">
        <f aca="false">AZ15-AZ16-AZ17</f>
        <v>2558</v>
      </c>
      <c r="BA18" s="98" t="n">
        <f aca="false">BA15-BA16-BA17</f>
        <v>2661</v>
      </c>
      <c r="BB18" s="98" t="n">
        <f aca="false">BB15-BB16-BB17</f>
        <v>2755</v>
      </c>
      <c r="BC18" s="98" t="n">
        <f aca="false">BC15-BC16-BC17</f>
        <v>2843</v>
      </c>
      <c r="BD18" s="98" t="n">
        <f aca="false">BD15-BD16-BD17</f>
        <v>2923</v>
      </c>
      <c r="BE18" s="98" t="n">
        <f aca="false">BE15-BE16-BE17</f>
        <v>2997</v>
      </c>
      <c r="BF18" s="98" t="n">
        <f aca="false">BF15-BF16-BF17</f>
        <v>3066</v>
      </c>
      <c r="BG18" s="98" t="n">
        <f aca="false">BG15-BG16-BG17</f>
        <v>3128</v>
      </c>
      <c r="BH18" s="98" t="n">
        <f aca="false">BH15-BH16-BH17</f>
        <v>3185</v>
      </c>
      <c r="BI18" s="98" t="n">
        <f aca="false">BI15-BI16-BI17</f>
        <v>3239</v>
      </c>
      <c r="BJ18" s="95" t="n">
        <f aca="false">BI18</f>
        <v>3239</v>
      </c>
      <c r="BK18" s="14" t="s">
        <v>344</v>
      </c>
    </row>
    <row r="19" customFormat="false" ht="15" hidden="false" customHeight="false" outlineLevel="0" collapsed="false">
      <c r="A19" s="12" t="s">
        <v>346</v>
      </c>
      <c r="B19" s="84" t="n">
        <f aca="false">B16*Premissas!$B$21*(1+Premissas!$B$24)^(B$6-2026)</f>
        <v>0</v>
      </c>
      <c r="C19" s="84" t="n">
        <f aca="false">C16*Premissas!$B$21*(1+Premissas!$B$24)^(C$6-2026)</f>
        <v>0</v>
      </c>
      <c r="D19" s="84" t="n">
        <f aca="false">D16*Premissas!$B$21*(1+Premissas!$B$24)^(D$6-2026)</f>
        <v>0</v>
      </c>
      <c r="E19" s="84" t="n">
        <f aca="false">E16*Premissas!$B$21*(1+Premissas!$B$24)^(E$6-2026)</f>
        <v>0</v>
      </c>
      <c r="F19" s="84" t="n">
        <f aca="false">F16*Premissas!$B$21*(1+Premissas!$B$24)^(F$6-2026)</f>
        <v>0</v>
      </c>
      <c r="G19" s="84" t="n">
        <f aca="false">G16*Premissas!$B$21*(1+Premissas!$B$24)^(G$6-2026)</f>
        <v>0</v>
      </c>
      <c r="H19" s="84" t="n">
        <f aca="false">H16*Premissas!$B$21*(1+Premissas!$B$24)^(H$6-2026)</f>
        <v>0</v>
      </c>
      <c r="I19" s="84" t="n">
        <f aca="false">I16*Premissas!$B$21*(1+Premissas!$B$24)^(I$6-2026)</f>
        <v>0</v>
      </c>
      <c r="J19" s="84" t="n">
        <f aca="false">J16*Premissas!$B$21*(1+Premissas!$B$24)^(J$6-2026)</f>
        <v>0</v>
      </c>
      <c r="K19" s="84" t="n">
        <f aca="false">K16*Premissas!$B$21*(1+Premissas!$B$24)^(K$6-2026)</f>
        <v>4875.5</v>
      </c>
      <c r="L19" s="84" t="n">
        <f aca="false">L16*Premissas!$B$21*(1+Premissas!$B$24)^(L$6-2026)</f>
        <v>9233.6</v>
      </c>
      <c r="M19" s="84" t="n">
        <f aca="false">M16*Premissas!$B$21*(1+Premissas!$B$24)^(M$6-2026)</f>
        <v>13173.8</v>
      </c>
      <c r="N19" s="84" t="n">
        <f aca="false">N16*Premissas!$B$21*(1+Premissas!$B$24)^(N$6-2026)</f>
        <v>20878.682</v>
      </c>
      <c r="O19" s="84" t="n">
        <f aca="false">O16*Premissas!$B$21*(1+Premissas!$B$24)^(O$6-2026)</f>
        <v>25807.2155</v>
      </c>
      <c r="P19" s="84" t="n">
        <f aca="false">P16*Premissas!$B$21*(1+Premissas!$B$24)^(P$6-2026)</f>
        <v>30278.248</v>
      </c>
      <c r="Q19" s="84" t="n">
        <f aca="false">Q16*Premissas!$B$21*(1+Premissas!$B$24)^(Q$6-2026)</f>
        <v>34312.575</v>
      </c>
      <c r="R19" s="84" t="n">
        <f aca="false">R16*Premissas!$B$21*(1+Premissas!$B$24)^(R$6-2026)</f>
        <v>37972.583</v>
      </c>
      <c r="S19" s="84" t="n">
        <f aca="false">S16*Premissas!$B$21*(1+Premissas!$B$24)^(S$6-2026)</f>
        <v>41279.0675</v>
      </c>
      <c r="T19" s="84" t="n">
        <f aca="false">T16*Premissas!$B$21*(1+Premissas!$B$24)^(T$6-2026)</f>
        <v>44273.6195</v>
      </c>
      <c r="U19" s="84" t="n">
        <f aca="false">U16*Premissas!$B$21*(1+Premissas!$B$24)^(U$6-2026)</f>
        <v>46977.0345</v>
      </c>
      <c r="V19" s="84" t="n">
        <f aca="false">V16*Premissas!$B$21*(1+Premissas!$B$24)^(V$6-2026)</f>
        <v>49430.9035</v>
      </c>
      <c r="W19" s="84" t="n">
        <f aca="false">W16*Premissas!$B$21*(1+Premissas!$B$24)^(W$6-2026)</f>
        <v>51676.8175</v>
      </c>
      <c r="X19" s="84" t="n">
        <f aca="false">X16*Premissas!$B$21*(1+Premissas!$B$24)^(X$6-2026)</f>
        <v>53673.1855</v>
      </c>
      <c r="Y19" s="84" t="n">
        <f aca="false">Y16*Premissas!$B$21*(1+Premissas!$B$24)^(Y$6-2026)</f>
        <v>55482.394</v>
      </c>
      <c r="Z19" s="84" t="n">
        <f aca="false">Z16*Premissas!$B$21*(1+Premissas!$B$24)^(Z$6-2026)</f>
        <v>69279.37643</v>
      </c>
      <c r="AA19" s="84" t="n">
        <f aca="false">AA16*Premissas!$B$21*(1+Premissas!$B$24)^(AA$6-2026)</f>
        <v>78210.9397025</v>
      </c>
      <c r="AB19" s="84" t="n">
        <f aca="false">AB16*Premissas!$B$21*(1+Premissas!$B$24)^(AB$6-2026)</f>
        <v>86338.4449675</v>
      </c>
      <c r="AC19" s="84" t="n">
        <f aca="false">AC16*Premissas!$B$21*(1+Premissas!$B$24)^(AC$6-2026)</f>
        <v>93727.0861175</v>
      </c>
      <c r="AD19" s="84" t="n">
        <f aca="false">AD16*Premissas!$B$21*(1+Premissas!$B$24)^(AD$6-2026)</f>
        <v>100442.057045</v>
      </c>
      <c r="AE19" s="84" t="n">
        <f aca="false">AE16*Premissas!$B$21*(1+Premissas!$B$24)^(AE$6-2026)</f>
        <v>106548.5516425</v>
      </c>
      <c r="AF19" s="84" t="n">
        <f aca="false">AF16*Premissas!$B$21*(1+Premissas!$B$24)^(AF$6-2026)</f>
        <v>112133.4951</v>
      </c>
      <c r="AG19" s="84" t="n">
        <f aca="false">AG16*Premissas!$B$21*(1+Premissas!$B$24)^(AG$6-2026)</f>
        <v>117196.8874175</v>
      </c>
      <c r="AH19" s="84" t="n">
        <f aca="false">AH16*Premissas!$B$21*(1+Premissas!$B$24)^(AH$6-2026)</f>
        <v>121825.653785</v>
      </c>
      <c r="AI19" s="84" t="n">
        <f aca="false">AI16*Premissas!$B$21*(1+Premissas!$B$24)^(AI$6-2026)</f>
        <v>126019.7942025</v>
      </c>
      <c r="AJ19" s="84" t="n">
        <f aca="false">AJ16*Premissas!$B$21*(1+Premissas!$B$24)^(AJ$6-2026)</f>
        <v>129822.771265</v>
      </c>
      <c r="AK19" s="84" t="n">
        <f aca="false">AK16*Premissas!$B$21*(1+Premissas!$B$24)^(AK$6-2026)</f>
        <v>133299.778865</v>
      </c>
      <c r="AL19" s="84" t="n">
        <f aca="false">AL16*Premissas!$B$21*(1+Premissas!$B$24)^(AL$6-2026)</f>
        <v>158237.7466241</v>
      </c>
      <c r="AM19" s="84" t="n">
        <f aca="false">AM16*Premissas!$B$21*(1+Premissas!$B$24)^(AM$6-2026)</f>
        <v>170432.590185687</v>
      </c>
      <c r="AN19" s="84" t="n">
        <f aca="false">AN16*Premissas!$B$21*(1+Premissas!$B$24)^(AN$6-2026)</f>
        <v>181582.81027645</v>
      </c>
      <c r="AO19" s="84" t="n">
        <f aca="false">AO16*Premissas!$B$21*(1+Premissas!$B$24)^(AO$6-2026)</f>
        <v>191779.243719937</v>
      </c>
      <c r="AP19" s="84" t="n">
        <f aca="false">AP16*Premissas!$B$21*(1+Premissas!$B$24)^(AP$6-2026)</f>
        <v>201112.7273397</v>
      </c>
      <c r="AQ19" s="84" t="n">
        <f aca="false">AQ16*Premissas!$B$21*(1+Premissas!$B$24)^(AQ$6-2026)</f>
        <v>209674.097959287</v>
      </c>
      <c r="AR19" s="84" t="n">
        <f aca="false">AR16*Premissas!$B$21*(1+Premissas!$B$24)^(AR$6-2026)</f>
        <v>217463.3555787</v>
      </c>
      <c r="AS19" s="84" t="n">
        <f aca="false">AS16*Premissas!$B$21*(1+Premissas!$B$24)^(AS$6-2026)</f>
        <v>224616.755433262</v>
      </c>
      <c r="AT19" s="84" t="n">
        <f aca="false">AT16*Premissas!$B$21*(1+Premissas!$B$24)^(AT$6-2026)</f>
        <v>231179.71593475</v>
      </c>
      <c r="AU19" s="84" t="n">
        <f aca="false">AU16*Premissas!$B$21*(1+Premissas!$B$24)^(AU$6-2026)</f>
        <v>237174.94628905</v>
      </c>
      <c r="AV19" s="84" t="n">
        <f aca="false">AV16*Premissas!$B$21*(1+Premissas!$B$24)^(AV$6-2026)</f>
        <v>242647.864907937</v>
      </c>
      <c r="AW19" s="84" t="n">
        <f aca="false">AW16*Premissas!$B$21*(1+Premissas!$B$24)^(AW$6-2026)</f>
        <v>247666.599409075</v>
      </c>
      <c r="AX19" s="84" t="n">
        <f aca="false">AX16*Premissas!$B$21*(1+Premissas!$B$24)^(AX$6-2026)</f>
        <v>275684.422810866</v>
      </c>
      <c r="AY19" s="84" t="n">
        <f aca="false">AY16*Premissas!$B$21*(1+Premissas!$B$24)^(AY$6-2026)</f>
        <v>290136.674983701</v>
      </c>
      <c r="AZ19" s="84" t="n">
        <f aca="false">AZ16*Premissas!$B$21*(1+Premissas!$B$24)^(AZ$6-2026)</f>
        <v>303449.833389218</v>
      </c>
      <c r="BA19" s="84" t="n">
        <f aca="false">BA16*Premissas!$B$21*(1+Premissas!$B$24)^(BA$6-2026)</f>
        <v>315695.091387876</v>
      </c>
      <c r="BB19" s="84" t="n">
        <f aca="false">BB16*Premissas!$B$21*(1+Premissas!$B$24)^(BB$6-2026)</f>
        <v>326967.373460284</v>
      </c>
      <c r="BC19" s="84" t="n">
        <f aca="false">BC16*Premissas!$B$21*(1+Premissas!$B$24)^(BC$6-2026)</f>
        <v>337337.872966899</v>
      </c>
      <c r="BD19" s="84" t="n">
        <f aca="false">BD16*Premissas!$B$21*(1+Premissas!$B$24)^(BD$6-2026)</f>
        <v>346877.783268179</v>
      </c>
      <c r="BE19" s="84" t="n">
        <f aca="false">BE16*Premissas!$B$21*(1+Premissas!$B$24)^(BE$6-2026)</f>
        <v>355634.566604428</v>
      </c>
      <c r="BF19" s="84" t="n">
        <f aca="false">BF16*Premissas!$B$21*(1+Premissas!$B$24)^(BF$6-2026)</f>
        <v>363703.147456257</v>
      </c>
      <c r="BG19" s="84" t="n">
        <f aca="false">BG16*Premissas!$B$21*(1+Premissas!$B$24)^(BG$6-2026)</f>
        <v>371130.98806397</v>
      </c>
      <c r="BH19" s="84" t="n">
        <f aca="false">BH16*Premissas!$B$21*(1+Premissas!$B$24)^(BH$6-2026)</f>
        <v>377965.550667872</v>
      </c>
      <c r="BI19" s="84" t="n">
        <f aca="false">BI16*Premissas!$B$21*(1+Premissas!$B$24)^(BI$6-2026)</f>
        <v>384254.297508268</v>
      </c>
      <c r="BJ19" s="69" t="n">
        <f aca="false">SUM(B19:BI19)</f>
        <v>8356576.11826575</v>
      </c>
    </row>
    <row r="20" customFormat="false" ht="15" hidden="false" customHeight="false" outlineLevel="0" collapsed="false">
      <c r="A20" s="12" t="s">
        <v>347</v>
      </c>
      <c r="B20" s="84" t="n">
        <f aca="false">B17*Premissas!$B$22*(1+Premissas!$B$24)^(B$6-2026)</f>
        <v>0</v>
      </c>
      <c r="C20" s="84" t="n">
        <f aca="false">C17*Premissas!$B$22*(1+Premissas!$B$24)^(C$6-2026)</f>
        <v>0</v>
      </c>
      <c r="D20" s="84" t="n">
        <f aca="false">D17*Premissas!$B$22*(1+Premissas!$B$24)^(D$6-2026)</f>
        <v>0</v>
      </c>
      <c r="E20" s="84" t="n">
        <f aca="false">E17*Premissas!$B$22*(1+Premissas!$B$24)^(E$6-2026)</f>
        <v>0</v>
      </c>
      <c r="F20" s="84" t="n">
        <f aca="false">F17*Premissas!$B$22*(1+Premissas!$B$24)^(F$6-2026)</f>
        <v>0</v>
      </c>
      <c r="G20" s="84" t="n">
        <f aca="false">G17*Premissas!$B$22*(1+Premissas!$B$24)^(G$6-2026)</f>
        <v>0</v>
      </c>
      <c r="H20" s="84" t="n">
        <f aca="false">H17*Premissas!$B$22*(1+Premissas!$B$24)^(H$6-2026)</f>
        <v>0</v>
      </c>
      <c r="I20" s="84" t="n">
        <f aca="false">I17*Premissas!$B$22*(1+Premissas!$B$24)^(I$6-2026)</f>
        <v>0</v>
      </c>
      <c r="J20" s="84" t="n">
        <f aca="false">J17*Premissas!$B$22*(1+Premissas!$B$24)^(J$6-2026)</f>
        <v>0</v>
      </c>
      <c r="K20" s="84" t="n">
        <f aca="false">K17*Premissas!$B$22*(1+Premissas!$B$24)^(K$6-2026)</f>
        <v>2593.5</v>
      </c>
      <c r="L20" s="84" t="n">
        <f aca="false">L17*Premissas!$B$22*(1+Premissas!$B$24)^(L$6-2026)</f>
        <v>4947.6</v>
      </c>
      <c r="M20" s="84" t="n">
        <f aca="false">M17*Premissas!$B$22*(1+Premissas!$B$24)^(M$6-2026)</f>
        <v>7062.3</v>
      </c>
      <c r="N20" s="84" t="n">
        <f aca="false">N17*Premissas!$B$22*(1+Premissas!$B$24)^(N$6-2026)</f>
        <v>12800.5185</v>
      </c>
      <c r="O20" s="84" t="n">
        <f aca="false">O17*Premissas!$B$22*(1+Premissas!$B$24)^(O$6-2026)</f>
        <v>15802.5945</v>
      </c>
      <c r="P20" s="84" t="n">
        <f aca="false">P17*Premissas!$B$22*(1+Premissas!$B$24)^(P$6-2026)</f>
        <v>18554.4975</v>
      </c>
      <c r="Q20" s="84" t="n">
        <f aca="false">Q17*Premissas!$B$22*(1+Premissas!$B$24)^(Q$6-2026)</f>
        <v>21014.532</v>
      </c>
      <c r="R20" s="84" t="n">
        <f aca="false">R17*Premissas!$B$22*(1+Premissas!$B$24)^(R$6-2026)</f>
        <v>23266.089</v>
      </c>
      <c r="S20" s="84" t="n">
        <f aca="false">S17*Premissas!$B$22*(1+Premissas!$B$24)^(S$6-2026)</f>
        <v>25309.1685</v>
      </c>
      <c r="T20" s="84" t="n">
        <f aca="false">T17*Premissas!$B$22*(1+Premissas!$B$24)^(T$6-2026)</f>
        <v>27143.7705</v>
      </c>
      <c r="U20" s="84" t="n">
        <f aca="false">U17*Premissas!$B$22*(1+Premissas!$B$24)^(U$6-2026)</f>
        <v>28769.895</v>
      </c>
      <c r="V20" s="84" t="n">
        <f aca="false">V17*Premissas!$B$22*(1+Premissas!$B$24)^(V$6-2026)</f>
        <v>30270.933</v>
      </c>
      <c r="W20" s="84" t="n">
        <f aca="false">W17*Premissas!$B$22*(1+Premissas!$B$24)^(W$6-2026)</f>
        <v>31646.8845</v>
      </c>
      <c r="X20" s="84" t="n">
        <f aca="false">X17*Premissas!$B$22*(1+Premissas!$B$24)^(X$6-2026)</f>
        <v>32897.7495</v>
      </c>
      <c r="Y20" s="84" t="n">
        <f aca="false">Y17*Premissas!$B$22*(1+Premissas!$B$24)^(Y$6-2026)</f>
        <v>33981.8325</v>
      </c>
      <c r="Z20" s="84" t="n">
        <f aca="false">Z17*Premissas!$B$22*(1+Premissas!$B$24)^(Z$6-2026)</f>
        <v>49018.2721875</v>
      </c>
      <c r="AA20" s="84" t="n">
        <f aca="false">AA17*Premissas!$B$22*(1+Premissas!$B$24)^(AA$6-2026)</f>
        <v>55336.182825</v>
      </c>
      <c r="AB20" s="84" t="n">
        <f aca="false">AB17*Premissas!$B$22*(1+Premissas!$B$24)^(AB$6-2026)</f>
        <v>61087.660095</v>
      </c>
      <c r="AC20" s="84" t="n">
        <f aca="false">AC17*Premissas!$B$22*(1+Premissas!$B$24)^(AC$6-2026)</f>
        <v>66316.275795</v>
      </c>
      <c r="AD20" s="84" t="n">
        <f aca="false">AD17*Premissas!$B$22*(1+Premissas!$B$24)^(AD$6-2026)</f>
        <v>71065.6017225</v>
      </c>
      <c r="AE20" s="84" t="n">
        <f aca="false">AE17*Premissas!$B$22*(1+Premissas!$B$24)^(AE$6-2026)</f>
        <v>75422.7814725</v>
      </c>
      <c r="AF20" s="84" t="n">
        <f aca="false">AF17*Premissas!$B$22*(1+Premissas!$B$24)^(AF$6-2026)</f>
        <v>79344.2432475</v>
      </c>
      <c r="AG20" s="84" t="n">
        <f aca="false">AG17*Premissas!$B$22*(1+Premissas!$B$24)^(AG$6-2026)</f>
        <v>82917.1306425</v>
      </c>
      <c r="AH20" s="84" t="n">
        <f aca="false">AH17*Premissas!$B$22*(1+Premissas!$B$24)^(AH$6-2026)</f>
        <v>86228.5872525</v>
      </c>
      <c r="AI20" s="84" t="n">
        <f aca="false">AI17*Premissas!$B$22*(1+Premissas!$B$24)^(AI$6-2026)</f>
        <v>89191.4694825</v>
      </c>
      <c r="AJ20" s="84" t="n">
        <f aca="false">AJ17*Premissas!$B$22*(1+Premissas!$B$24)^(AJ$6-2026)</f>
        <v>91892.9209275</v>
      </c>
      <c r="AK20" s="84" t="n">
        <f aca="false">AK17*Premissas!$B$22*(1+Premissas!$B$24)^(AK$6-2026)</f>
        <v>94332.9415875</v>
      </c>
      <c r="AL20" s="84" t="n">
        <f aca="false">AL17*Premissas!$B$22*(1+Premissas!$B$24)^(AL$6-2026)</f>
        <v>128902.587865012</v>
      </c>
      <c r="AM20" s="84" t="n">
        <f aca="false">AM17*Premissas!$B$22*(1+Premissas!$B$24)^(AM$6-2026)</f>
        <v>138828.679053487</v>
      </c>
      <c r="AN20" s="84" t="n">
        <f aca="false">AN17*Premissas!$B$22*(1+Premissas!$B$24)^(AN$6-2026)</f>
        <v>147889.6522026</v>
      </c>
      <c r="AO20" s="84" t="n">
        <f aca="false">AO17*Premissas!$B$22*(1+Premissas!$B$24)^(AO$6-2026)</f>
        <v>156222.104897512</v>
      </c>
      <c r="AP20" s="84" t="n">
        <f aca="false">AP17*Premissas!$B$22*(1+Premissas!$B$24)^(AP$6-2026)</f>
        <v>163826.037138225</v>
      </c>
      <c r="AQ20" s="84" t="n">
        <f aca="false">AQ17*Premissas!$B$22*(1+Premissas!$B$24)^(AQ$6-2026)</f>
        <v>170792.513981512</v>
      </c>
      <c r="AR20" s="84" t="n">
        <f aca="false">AR17*Premissas!$B$22*(1+Premissas!$B$24)^(AR$6-2026)</f>
        <v>177121.535427375</v>
      </c>
      <c r="AS20" s="84" t="n">
        <f aca="false">AS17*Premissas!$B$22*(1+Premissas!$B$24)^(AS$6-2026)</f>
        <v>182949.699060975</v>
      </c>
      <c r="AT20" s="84" t="n">
        <f aca="false">AT17*Premissas!$B$22*(1+Premissas!$B$24)^(AT$6-2026)</f>
        <v>188322.5374107</v>
      </c>
      <c r="AU20" s="84" t="n">
        <f aca="false">AU17*Premissas!$B$22*(1+Premissas!$B$24)^(AU$6-2026)</f>
        <v>193194.517948162</v>
      </c>
      <c r="AV20" s="84" t="n">
        <f aca="false">AV17*Premissas!$B$22*(1+Premissas!$B$24)^(AV$6-2026)</f>
        <v>197656.705730137</v>
      </c>
      <c r="AW20" s="84" t="n">
        <f aca="false">AW17*Premissas!$B$22*(1+Premissas!$B$24)^(AW$6-2026)</f>
        <v>201709.100756625</v>
      </c>
      <c r="AX20" s="84" t="n">
        <f aca="false">AX17*Premissas!$B$22*(1+Premissas!$B$24)^(AX$6-2026)</f>
        <v>257939.269026126</v>
      </c>
      <c r="AY20" s="84" t="n">
        <f aca="false">AY17*Premissas!$B$22*(1+Premissas!$B$24)^(AY$6-2026)</f>
        <v>271499.994293133</v>
      </c>
      <c r="AZ20" s="84" t="n">
        <f aca="false">AZ17*Premissas!$B$22*(1+Premissas!$B$24)^(AZ$6-2026)</f>
        <v>283918.763748182</v>
      </c>
      <c r="BA20" s="84" t="n">
        <f aca="false">BA17*Premissas!$B$22*(1+Premissas!$B$24)^(BA$6-2026)</f>
        <v>295385.903359932</v>
      </c>
      <c r="BB20" s="84" t="n">
        <f aca="false">BB17*Premissas!$B$22*(1+Premissas!$B$24)^(BB$6-2026)</f>
        <v>305948.994620548</v>
      </c>
      <c r="BC20" s="84" t="n">
        <f aca="false">BC17*Premissas!$B$22*(1+Premissas!$B$24)^(BC$6-2026)</f>
        <v>315608.03753003</v>
      </c>
      <c r="BD20" s="84" t="n">
        <f aca="false">BD17*Premissas!$B$22*(1+Premissas!$B$24)^(BD$6-2026)</f>
        <v>324553.358057039</v>
      </c>
      <c r="BE20" s="84" t="n">
        <f aca="false">BE17*Premissas!$B$22*(1+Premissas!$B$24)^(BE$6-2026)</f>
        <v>332784.956201573</v>
      </c>
      <c r="BF20" s="84" t="n">
        <f aca="false">BF17*Premissas!$B$22*(1+Premissas!$B$24)^(BF$6-2026)</f>
        <v>340302.831963633</v>
      </c>
      <c r="BG20" s="84" t="n">
        <f aca="false">BG17*Premissas!$B$22*(1+Premissas!$B$24)^(BG$6-2026)</f>
        <v>347249.729819714</v>
      </c>
      <c r="BH20" s="84" t="n">
        <f aca="false">BH17*Premissas!$B$22*(1+Premissas!$B$24)^(BH$6-2026)</f>
        <v>353673.23126198</v>
      </c>
      <c r="BI20" s="84" t="n">
        <f aca="false">BI17*Premissas!$B$22*(1+Premissas!$B$24)^(BI$6-2026)</f>
        <v>359525.754798268</v>
      </c>
      <c r="BJ20" s="69" t="n">
        <f aca="false">SUM(B20:BI20)</f>
        <v>7054022.42838998</v>
      </c>
    </row>
    <row r="21" customFormat="false" ht="15" hidden="false" customHeight="false" outlineLevel="0" collapsed="false">
      <c r="A21" s="12" t="s">
        <v>348</v>
      </c>
      <c r="B21" s="84" t="n">
        <f aca="false">B18*Premissas!$B$23*(1+Premissas!$B$24)^(B$6-2026)</f>
        <v>0</v>
      </c>
      <c r="C21" s="84" t="n">
        <f aca="false">C18*Premissas!$B$23*(1+Premissas!$B$24)^(C$6-2026)</f>
        <v>0</v>
      </c>
      <c r="D21" s="84" t="n">
        <f aca="false">D18*Premissas!$B$23*(1+Premissas!$B$24)^(D$6-2026)</f>
        <v>0</v>
      </c>
      <c r="E21" s="84" t="n">
        <f aca="false">E18*Premissas!$B$23*(1+Premissas!$B$24)^(E$6-2026)</f>
        <v>0</v>
      </c>
      <c r="F21" s="84" t="n">
        <f aca="false">F18*Premissas!$B$23*(1+Premissas!$B$24)^(F$6-2026)</f>
        <v>0</v>
      </c>
      <c r="G21" s="84" t="n">
        <f aca="false">G18*Premissas!$B$23*(1+Premissas!$B$24)^(G$6-2026)</f>
        <v>0</v>
      </c>
      <c r="H21" s="84" t="n">
        <f aca="false">H18*Premissas!$B$23*(1+Premissas!$B$24)^(H$6-2026)</f>
        <v>0</v>
      </c>
      <c r="I21" s="84" t="n">
        <f aca="false">I18*Premissas!$B$23*(1+Premissas!$B$24)^(I$6-2026)</f>
        <v>0</v>
      </c>
      <c r="J21" s="84" t="n">
        <f aca="false">J18*Premissas!$B$23*(1+Premissas!$B$24)^(J$6-2026)</f>
        <v>0</v>
      </c>
      <c r="K21" s="84" t="n">
        <f aca="false">K18*Premissas!$B$23*(1+Premissas!$B$24)^(K$6-2026)</f>
        <v>1278.4</v>
      </c>
      <c r="L21" s="84" t="n">
        <f aca="false">L18*Premissas!$B$23*(1+Premissas!$B$24)^(L$6-2026)</f>
        <v>2476.9</v>
      </c>
      <c r="M21" s="84" t="n">
        <f aca="false">M18*Premissas!$B$23*(1+Premissas!$B$24)^(M$6-2026)</f>
        <v>3515.6</v>
      </c>
      <c r="N21" s="84" t="n">
        <f aca="false">N18*Premissas!$B$23*(1+Premissas!$B$24)^(N$6-2026)</f>
        <v>6930.1265</v>
      </c>
      <c r="O21" s="84" t="n">
        <f aca="false">O18*Premissas!$B$23*(1+Premissas!$B$24)^(O$6-2026)</f>
        <v>8683.532</v>
      </c>
      <c r="P21" s="84" t="n">
        <f aca="false">P18*Premissas!$B$23*(1+Premissas!$B$24)^(P$6-2026)</f>
        <v>10102.9555</v>
      </c>
      <c r="Q21" s="84" t="n">
        <f aca="false">Q18*Premissas!$B$23*(1+Premissas!$B$24)^(Q$6-2026)</f>
        <v>11522.379</v>
      </c>
      <c r="R21" s="84" t="n">
        <f aca="false">R18*Premissas!$B$23*(1+Premissas!$B$24)^(R$6-2026)</f>
        <v>12691.316</v>
      </c>
      <c r="S21" s="84" t="n">
        <f aca="false">S18*Premissas!$B$23*(1+Premissas!$B$24)^(S$6-2026)</f>
        <v>13776.7575</v>
      </c>
      <c r="T21" s="84" t="n">
        <f aca="false">T18*Premissas!$B$23*(1+Premissas!$B$24)^(T$6-2026)</f>
        <v>14778.7035</v>
      </c>
      <c r="U21" s="84" t="n">
        <f aca="false">U18*Premissas!$B$23*(1+Premissas!$B$24)^(U$6-2026)</f>
        <v>15780.6495</v>
      </c>
      <c r="V21" s="84" t="n">
        <f aca="false">V18*Premissas!$B$23*(1+Premissas!$B$24)^(V$6-2026)</f>
        <v>16615.6045</v>
      </c>
      <c r="W21" s="84" t="n">
        <f aca="false">W18*Premissas!$B$23*(1+Premissas!$B$24)^(W$6-2026)</f>
        <v>17283.5685</v>
      </c>
      <c r="X21" s="84" t="n">
        <f aca="false">X18*Premissas!$B$23*(1+Premissas!$B$24)^(X$6-2026)</f>
        <v>17951.5325</v>
      </c>
      <c r="Y21" s="84" t="n">
        <f aca="false">Y18*Premissas!$B$23*(1+Premissas!$B$24)^(Y$6-2026)</f>
        <v>18619.4965</v>
      </c>
      <c r="Z21" s="84" t="n">
        <f aca="false">Z18*Premissas!$B$23*(1+Premissas!$B$24)^(Z$6-2026)</f>
        <v>32719.7990625</v>
      </c>
      <c r="AA21" s="84" t="n">
        <f aca="false">AA18*Premissas!$B$23*(1+Premissas!$B$24)^(AA$6-2026)</f>
        <v>36907.9333425</v>
      </c>
      <c r="AB21" s="84" t="n">
        <f aca="false">AB18*Premissas!$B$23*(1+Premissas!$B$24)^(AB$6-2026)</f>
        <v>40747.0564325</v>
      </c>
      <c r="AC21" s="84" t="n">
        <f aca="false">AC18*Premissas!$B$23*(1+Premissas!$B$24)^(AC$6-2026)</f>
        <v>44237.1683325</v>
      </c>
      <c r="AD21" s="84" t="n">
        <f aca="false">AD18*Premissas!$B$23*(1+Premissas!$B$24)^(AD$6-2026)</f>
        <v>47465.52184</v>
      </c>
      <c r="AE21" s="84" t="n">
        <f aca="false">AE18*Premissas!$B$23*(1+Premissas!$B$24)^(AE$6-2026)</f>
        <v>50344.8641575</v>
      </c>
      <c r="AF21" s="84" t="n">
        <f aca="false">AF18*Premissas!$B$23*(1+Premissas!$B$24)^(AF$6-2026)</f>
        <v>52962.4480825</v>
      </c>
      <c r="AG21" s="84" t="n">
        <f aca="false">AG18*Premissas!$B$23*(1+Premissas!$B$24)^(AG$6-2026)</f>
        <v>55405.5264125</v>
      </c>
      <c r="AH21" s="84" t="n">
        <f aca="false">AH18*Premissas!$B$23*(1+Premissas!$B$24)^(AH$6-2026)</f>
        <v>57499.5935525</v>
      </c>
      <c r="AI21" s="84" t="n">
        <f aca="false">AI18*Premissas!$B$23*(1+Premissas!$B$24)^(AI$6-2026)</f>
        <v>59506.407895</v>
      </c>
      <c r="AJ21" s="84" t="n">
        <f aca="false">AJ18*Premissas!$B$23*(1+Premissas!$B$24)^(AJ$6-2026)</f>
        <v>61338.7166425</v>
      </c>
      <c r="AK21" s="84" t="n">
        <f aca="false">AK18*Premissas!$B$23*(1+Premissas!$B$24)^(AK$6-2026)</f>
        <v>62996.519795</v>
      </c>
      <c r="AL21" s="84" t="n">
        <f aca="false">AL18*Premissas!$B$23*(1+Premissas!$B$24)^(AL$6-2026)</f>
        <v>99202.9406456</v>
      </c>
      <c r="AM21" s="84" t="n">
        <f aca="false">AM18*Premissas!$B$23*(1+Premissas!$B$24)^(AM$6-2026)</f>
        <v>106861.99121015</v>
      </c>
      <c r="AN21" s="84" t="n">
        <f aca="false">AN18*Premissas!$B$23*(1+Premissas!$B$24)^(AN$6-2026)</f>
        <v>113882.787560987</v>
      </c>
      <c r="AO21" s="84" t="n">
        <f aca="false">AO18*Premissas!$B$23*(1+Premissas!$B$24)^(AO$6-2026)</f>
        <v>120265.329698112</v>
      </c>
      <c r="AP21" s="84" t="n">
        <f aca="false">AP18*Premissas!$B$23*(1+Premissas!$B$24)^(AP$6-2026)</f>
        <v>126191.9759683</v>
      </c>
      <c r="AQ21" s="84" t="n">
        <f aca="false">AQ18*Premissas!$B$23*(1+Premissas!$B$24)^(AQ$6-2026)</f>
        <v>131480.368024775</v>
      </c>
      <c r="AR21" s="84" t="n">
        <f aca="false">AR18*Premissas!$B$23*(1+Premissas!$B$24)^(AR$6-2026)</f>
        <v>136495.222561088</v>
      </c>
      <c r="AS21" s="84" t="n">
        <f aca="false">AS18*Premissas!$B$23*(1+Premissas!$B$24)^(AS$6-2026)</f>
        <v>140963.002057075</v>
      </c>
      <c r="AT21" s="84" t="n">
        <f aca="false">AT18*Premissas!$B$23*(1+Premissas!$B$24)^(AT$6-2026)</f>
        <v>144974.885686125</v>
      </c>
      <c r="AU21" s="84" t="n">
        <f aca="false">AU18*Premissas!$B$23*(1+Premissas!$B$24)^(AU$6-2026)</f>
        <v>148713.231795012</v>
      </c>
      <c r="AV21" s="84" t="n">
        <f aca="false">AV18*Premissas!$B$23*(1+Premissas!$B$24)^(AV$6-2026)</f>
        <v>152178.040383737</v>
      </c>
      <c r="AW21" s="84" t="n">
        <f aca="false">AW18*Premissas!$B$23*(1+Premissas!$B$24)^(AW$6-2026)</f>
        <v>155369.3114523</v>
      </c>
      <c r="AX21" s="84" t="n">
        <f aca="false">AX18*Premissas!$B$23*(1+Premissas!$B$24)^(AX$6-2026)</f>
        <v>221340.634669225</v>
      </c>
      <c r="AY21" s="84" t="n">
        <f aca="false">AY18*Premissas!$B$23*(1+Premissas!$B$24)^(AY$6-2026)</f>
        <v>232965.067484397</v>
      </c>
      <c r="AZ21" s="84" t="n">
        <f aca="false">AZ18*Premissas!$B$23*(1+Premissas!$B$24)^(AZ$6-2026)</f>
        <v>243731.96017386</v>
      </c>
      <c r="BA21" s="84" t="n">
        <f aca="false">BA18*Premissas!$B$23*(1+Premissas!$B$24)^(BA$6-2026)</f>
        <v>253546.030501424</v>
      </c>
      <c r="BB21" s="84" t="n">
        <f aca="false">BB18*Premissas!$B$23*(1+Premissas!$B$24)^(BB$6-2026)</f>
        <v>262502.560703278</v>
      </c>
      <c r="BC21" s="84" t="n">
        <f aca="false">BC18*Premissas!$B$23*(1+Premissas!$B$24)^(BC$6-2026)</f>
        <v>270887.397487992</v>
      </c>
      <c r="BD21" s="84" t="n">
        <f aca="false">BD18*Premissas!$B$23*(1+Premissas!$B$24)^(BD$6-2026)</f>
        <v>278509.976383187</v>
      </c>
      <c r="BE21" s="84" t="n">
        <f aca="false">BE18*Premissas!$B$23*(1+Premissas!$B$24)^(BE$6-2026)</f>
        <v>285560.861861243</v>
      </c>
      <c r="BF21" s="84" t="n">
        <f aca="false">BF18*Premissas!$B$23*(1+Premissas!$B$24)^(BF$6-2026)</f>
        <v>292135.336158348</v>
      </c>
      <c r="BG21" s="84" t="n">
        <f aca="false">BG18*Premissas!$B$23*(1+Premissas!$B$24)^(BG$6-2026)</f>
        <v>298042.834802124</v>
      </c>
      <c r="BH21" s="84" t="n">
        <f aca="false">BH18*Premissas!$B$23*(1+Premissas!$B$24)^(BH$6-2026)</f>
        <v>303473.922264951</v>
      </c>
      <c r="BI21" s="84" t="n">
        <f aca="false">BI18*Premissas!$B$23*(1+Premissas!$B$24)^(BI$6-2026)</f>
        <v>308619.163019208</v>
      </c>
      <c r="BJ21" s="69" t="n">
        <f aca="false">SUM(B21:BI21)</f>
        <v>5602033.9096</v>
      </c>
    </row>
    <row r="22" customFormat="false" ht="15" hidden="false" customHeight="false" outlineLevel="0" collapsed="false">
      <c r="A22" s="34" t="s">
        <v>349</v>
      </c>
      <c r="B22" s="75" t="n">
        <f aca="false">SUM(B19:B21)</f>
        <v>0</v>
      </c>
      <c r="C22" s="75" t="n">
        <f aca="false">SUM(C19:C21)</f>
        <v>0</v>
      </c>
      <c r="D22" s="75" t="n">
        <f aca="false">SUM(D19:D21)</f>
        <v>0</v>
      </c>
      <c r="E22" s="75" t="n">
        <f aca="false">SUM(E19:E21)</f>
        <v>0</v>
      </c>
      <c r="F22" s="75" t="n">
        <f aca="false">SUM(F19:F21)</f>
        <v>0</v>
      </c>
      <c r="G22" s="75" t="n">
        <f aca="false">SUM(G19:G21)</f>
        <v>0</v>
      </c>
      <c r="H22" s="75" t="n">
        <f aca="false">SUM(H19:H21)</f>
        <v>0</v>
      </c>
      <c r="I22" s="75" t="n">
        <f aca="false">SUM(I19:I21)</f>
        <v>0</v>
      </c>
      <c r="J22" s="75" t="n">
        <f aca="false">SUM(J19:J21)</f>
        <v>0</v>
      </c>
      <c r="K22" s="75" t="n">
        <f aca="false">SUM(K19:K21)</f>
        <v>8747.4</v>
      </c>
      <c r="L22" s="75" t="n">
        <f aca="false">SUM(L19:L21)</f>
        <v>16658.1</v>
      </c>
      <c r="M22" s="75" t="n">
        <f aca="false">SUM(M19:M21)</f>
        <v>23751.7</v>
      </c>
      <c r="N22" s="75" t="n">
        <f aca="false">SUM(N19:N21)</f>
        <v>40609.327</v>
      </c>
      <c r="O22" s="75" t="n">
        <f aca="false">SUM(O19:O21)</f>
        <v>50293.342</v>
      </c>
      <c r="P22" s="75" t="n">
        <f aca="false">SUM(P19:P21)</f>
        <v>58935.701</v>
      </c>
      <c r="Q22" s="75" t="n">
        <f aca="false">SUM(Q19:Q21)</f>
        <v>66849.486</v>
      </c>
      <c r="R22" s="75" t="n">
        <f aca="false">SUM(R19:R21)</f>
        <v>73929.988</v>
      </c>
      <c r="S22" s="75" t="n">
        <f aca="false">SUM(S19:S21)</f>
        <v>80364.9935</v>
      </c>
      <c r="T22" s="75" t="n">
        <f aca="false">SUM(T19:T21)</f>
        <v>86196.0935</v>
      </c>
      <c r="U22" s="75" t="n">
        <f aca="false">SUM(U19:U21)</f>
        <v>91527.579</v>
      </c>
      <c r="V22" s="75" t="n">
        <f aca="false">SUM(V19:V21)</f>
        <v>96317.441</v>
      </c>
      <c r="W22" s="75" t="n">
        <f aca="false">SUM(W19:W21)</f>
        <v>100607.2705</v>
      </c>
      <c r="X22" s="75" t="n">
        <f aca="false">SUM(X19:X21)</f>
        <v>104522.4675</v>
      </c>
      <c r="Y22" s="75" t="n">
        <f aca="false">SUM(Y19:Y21)</f>
        <v>108083.723</v>
      </c>
      <c r="Z22" s="75" t="n">
        <f aca="false">SUM(Z19:Z21)</f>
        <v>151017.44768</v>
      </c>
      <c r="AA22" s="75" t="n">
        <f aca="false">SUM(AA19:AA21)</f>
        <v>170455.05587</v>
      </c>
      <c r="AB22" s="75" t="n">
        <f aca="false">SUM(AB19:AB21)</f>
        <v>188173.161495</v>
      </c>
      <c r="AC22" s="75" t="n">
        <f aca="false">SUM(AC19:AC21)</f>
        <v>204280.530245</v>
      </c>
      <c r="AD22" s="75" t="n">
        <f aca="false">SUM(AD19:AD21)</f>
        <v>218973.1806075</v>
      </c>
      <c r="AE22" s="75" t="n">
        <f aca="false">SUM(AE19:AE21)</f>
        <v>232316.1972725</v>
      </c>
      <c r="AF22" s="75" t="n">
        <f aca="false">SUM(AF19:AF21)</f>
        <v>244440.18643</v>
      </c>
      <c r="AG22" s="75" t="n">
        <f aca="false">SUM(AG19:AG21)</f>
        <v>255519.5444725</v>
      </c>
      <c r="AH22" s="75" t="n">
        <f aca="false">SUM(AH19:AH21)</f>
        <v>265553.83459</v>
      </c>
      <c r="AI22" s="75" t="n">
        <f aca="false">SUM(AI19:AI21)</f>
        <v>274717.67158</v>
      </c>
      <c r="AJ22" s="75" t="n">
        <f aca="false">SUM(AJ19:AJ21)</f>
        <v>283054.408835</v>
      </c>
      <c r="AK22" s="75" t="n">
        <f aca="false">SUM(AK19:AK21)</f>
        <v>290629.2402475</v>
      </c>
      <c r="AL22" s="75" t="n">
        <f aca="false">SUM(AL19:AL21)</f>
        <v>386343.275134712</v>
      </c>
      <c r="AM22" s="75" t="n">
        <f aca="false">SUM(AM19:AM21)</f>
        <v>416123.260449325</v>
      </c>
      <c r="AN22" s="75" t="n">
        <f aca="false">SUM(AN19:AN21)</f>
        <v>443355.250040037</v>
      </c>
      <c r="AO22" s="75" t="n">
        <f aca="false">SUM(AO19:AO21)</f>
        <v>468266.678315562</v>
      </c>
      <c r="AP22" s="75" t="n">
        <f aca="false">SUM(AP19:AP21)</f>
        <v>491130.740446225</v>
      </c>
      <c r="AQ22" s="75" t="n">
        <f aca="false">SUM(AQ19:AQ21)</f>
        <v>511946.979965575</v>
      </c>
      <c r="AR22" s="75" t="n">
        <f aca="false">SUM(AR19:AR21)</f>
        <v>531080.113567162</v>
      </c>
      <c r="AS22" s="75" t="n">
        <f aca="false">SUM(AS19:AS21)</f>
        <v>548529.456551313</v>
      </c>
      <c r="AT22" s="75" t="n">
        <f aca="false">SUM(AT19:AT21)</f>
        <v>564477.139031575</v>
      </c>
      <c r="AU22" s="75" t="n">
        <f aca="false">SUM(AU19:AU21)</f>
        <v>579082.696032225</v>
      </c>
      <c r="AV22" s="75" t="n">
        <f aca="false">SUM(AV19:AV21)</f>
        <v>592482.611021812</v>
      </c>
      <c r="AW22" s="75" t="n">
        <f aca="false">SUM(AW19:AW21)</f>
        <v>604745.011618</v>
      </c>
      <c r="AX22" s="75" t="n">
        <f aca="false">SUM(AX19:AX21)</f>
        <v>754964.326506217</v>
      </c>
      <c r="AY22" s="75" t="n">
        <f aca="false">SUM(AY19:AY21)</f>
        <v>794601.736761231</v>
      </c>
      <c r="AZ22" s="75" t="n">
        <f aca="false">SUM(AZ19:AZ21)</f>
        <v>831100.55731126</v>
      </c>
      <c r="BA22" s="75" t="n">
        <f aca="false">SUM(BA19:BA21)</f>
        <v>864627.025249231</v>
      </c>
      <c r="BB22" s="75" t="n">
        <f aca="false">SUM(BB19:BB21)</f>
        <v>895418.92878411</v>
      </c>
      <c r="BC22" s="75" t="n">
        <f aca="false">SUM(BC19:BC21)</f>
        <v>923833.307984922</v>
      </c>
      <c r="BD22" s="75" t="n">
        <f aca="false">SUM(BD19:BD21)</f>
        <v>949941.117708405</v>
      </c>
      <c r="BE22" s="75" t="n">
        <f aca="false">SUM(BE19:BE21)</f>
        <v>973980.384667244</v>
      </c>
      <c r="BF22" s="75" t="n">
        <f aca="false">SUM(BF19:BF21)</f>
        <v>996141.315578238</v>
      </c>
      <c r="BG22" s="75" t="n">
        <f aca="false">SUM(BG19:BG21)</f>
        <v>1016423.55268581</v>
      </c>
      <c r="BH22" s="75" t="n">
        <f aca="false">SUM(BH19:BH21)</f>
        <v>1035112.7041948</v>
      </c>
      <c r="BI22" s="75" t="n">
        <f aca="false">SUM(BI19:BI21)</f>
        <v>1052399.21532574</v>
      </c>
      <c r="BJ22" s="69" t="n">
        <f aca="false">SUM(B22:BI22)</f>
        <v>21012632.4562557</v>
      </c>
    </row>
    <row r="23" customFormat="false" ht="15" hidden="false" customHeight="false" outlineLevel="0" collapsed="false">
      <c r="A23" s="12" t="s">
        <v>350</v>
      </c>
      <c r="B23" s="84" t="n">
        <f aca="false">B13*INDEX(Premissas!$C$59:$G$59,B$7)*Premissas!$B$58*Premissas!$B$57</f>
        <v>0</v>
      </c>
      <c r="C23" s="84" t="n">
        <f aca="false">C13*INDEX(Premissas!$C$59:$G$59,C$7)*Premissas!$B$58*Premissas!$B$57</f>
        <v>0</v>
      </c>
      <c r="D23" s="84" t="n">
        <f aca="false">D13*INDEX(Premissas!$C$59:$G$59,D$7)*Premissas!$B$58*Premissas!$B$57</f>
        <v>0</v>
      </c>
      <c r="E23" s="84" t="n">
        <f aca="false">E13*INDEX(Premissas!$C$59:$G$59,E$7)*Premissas!$B$58*Premissas!$B$57</f>
        <v>0</v>
      </c>
      <c r="F23" s="84" t="n">
        <f aca="false">F13*INDEX(Premissas!$C$59:$G$59,F$7)*Premissas!$B$58*Premissas!$B$57</f>
        <v>0</v>
      </c>
      <c r="G23" s="84" t="n">
        <f aca="false">G13*INDEX(Premissas!$C$59:$G$59,G$7)*Premissas!$B$58*Premissas!$B$57</f>
        <v>0</v>
      </c>
      <c r="H23" s="84" t="n">
        <f aca="false">H13*INDEX(Premissas!$C$59:$G$59,H$7)*Premissas!$B$58*Premissas!$B$57</f>
        <v>0</v>
      </c>
      <c r="I23" s="84" t="n">
        <f aca="false">I13*INDEX(Premissas!$C$59:$G$59,I$7)*Premissas!$B$58*Premissas!$B$57</f>
        <v>0</v>
      </c>
      <c r="J23" s="84" t="n">
        <f aca="false">J13*INDEX(Premissas!$C$59:$G$59,J$7)*Premissas!$B$58*Premissas!$B$57</f>
        <v>0</v>
      </c>
      <c r="K23" s="84" t="n">
        <f aca="false">K13*INDEX(Premissas!$C$59:$G$59,K$7)*Premissas!$B$58*Premissas!$B$57</f>
        <v>0</v>
      </c>
      <c r="L23" s="84" t="n">
        <f aca="false">L13*INDEX(Premissas!$C$59:$G$59,L$7)*Premissas!$B$58*Premissas!$B$57</f>
        <v>0</v>
      </c>
      <c r="M23" s="84" t="n">
        <f aca="false">M13*INDEX(Premissas!$C$59:$G$59,M$7)*Premissas!$B$58*Premissas!$B$57</f>
        <v>0</v>
      </c>
      <c r="N23" s="84" t="n">
        <f aca="false">N13*INDEX(Premissas!$C$59:$G$59,N$7)*Premissas!$B$58*Premissas!$B$57</f>
        <v>2091.3213825</v>
      </c>
      <c r="O23" s="84" t="n">
        <f aca="false">O13*INDEX(Premissas!$C$59:$G$59,O$7)*Premissas!$B$58*Premissas!$B$57</f>
        <v>2585.6458511625</v>
      </c>
      <c r="P23" s="84" t="n">
        <f aca="false">P13*INDEX(Premissas!$C$59:$G$59,P$7)*Premissas!$B$58*Premissas!$B$57</f>
        <v>3033.00949530206</v>
      </c>
      <c r="Q23" s="84" t="n">
        <f aca="false">Q13*INDEX(Premissas!$C$59:$G$59,Q$7)*Premissas!$B$58*Premissas!$B$57</f>
        <v>3437.87359324837</v>
      </c>
      <c r="R23" s="84" t="n">
        <f aca="false">R13*INDEX(Premissas!$C$59:$G$59,R$7)*Premissas!$B$58*Premissas!$B$57</f>
        <v>3804.27560188977</v>
      </c>
      <c r="S23" s="84" t="n">
        <f aca="false">S13*INDEX(Premissas!$C$59:$G$59,S$7)*Premissas!$B$58*Premissas!$B$57</f>
        <v>4135.86941971024</v>
      </c>
      <c r="T23" s="84" t="n">
        <f aca="false">T13*INDEX(Premissas!$C$59:$G$59,T$7)*Premissas!$B$58*Premissas!$B$57</f>
        <v>4435.96182483777</v>
      </c>
      <c r="U23" s="84" t="n">
        <f aca="false">U13*INDEX(Premissas!$C$59:$G$59,U$7)*Premissas!$B$58*Premissas!$B$57</f>
        <v>4707.54545147818</v>
      </c>
      <c r="V23" s="84" t="n">
        <f aca="false">V13*INDEX(Premissas!$C$59:$G$59,V$7)*Premissas!$B$58*Premissas!$B$57</f>
        <v>4953.32863358776</v>
      </c>
      <c r="W23" s="84" t="n">
        <f aca="false">W13*INDEX(Premissas!$C$59:$G$59,W$7)*Premissas!$B$58*Premissas!$B$57</f>
        <v>5175.76241339692</v>
      </c>
      <c r="X23" s="84" t="n">
        <f aca="false">X13*INDEX(Premissas!$C$59:$G$59,X$7)*Premissas!$B$58*Premissas!$B$57</f>
        <v>5377.06498412421</v>
      </c>
      <c r="Y23" s="84" t="n">
        <f aca="false">Y13*INDEX(Premissas!$C$59:$G$59,Y$7)*Premissas!$B$58*Premissas!$B$57</f>
        <v>5559.24381063241</v>
      </c>
      <c r="Z23" s="84" t="n">
        <f aca="false">Z13*INDEX(Premissas!$C$59:$G$59,Z$7)*Premissas!$B$58*Premissas!$B$57</f>
        <v>10794.0197794592</v>
      </c>
      <c r="AA23" s="84" t="n">
        <f aca="false">AA13*INDEX(Premissas!$C$59:$G$59,AA$7)*Premissas!$B$58*Premissas!$B$57</f>
        <v>12185.0579993078</v>
      </c>
      <c r="AB23" s="84" t="n">
        <f aca="false">AB13*INDEX(Premissas!$C$59:$G$59,AB$7)*Premissas!$B$58*Premissas!$B$57</f>
        <v>13450.9027793701</v>
      </c>
      <c r="AC23" s="84" t="n">
        <f aca="false">AC13*INDEX(Premissas!$C$59:$G$59,AC$7)*Premissas!$B$58*Premissas!$B$57</f>
        <v>14602.8215292268</v>
      </c>
      <c r="AD23" s="84" t="n">
        <f aca="false">AD13*INDEX(Premissas!$C$59:$G$59,AD$7)*Premissas!$B$58*Premissas!$B$57</f>
        <v>15651.0675915964</v>
      </c>
      <c r="AE23" s="84" t="n">
        <f aca="false">AE13*INDEX(Premissas!$C$59:$G$59,AE$7)*Premissas!$B$58*Premissas!$B$57</f>
        <v>16604.9715083527</v>
      </c>
      <c r="AF23" s="84" t="n">
        <f aca="false">AF13*INDEX(Premissas!$C$59:$G$59,AF$7)*Premissas!$B$58*Premissas!$B$57</f>
        <v>17473.024072601</v>
      </c>
      <c r="AG23" s="84" t="n">
        <f aca="false">AG13*INDEX(Premissas!$C$59:$G$59,AG$7)*Premissas!$B$58*Premissas!$B$57</f>
        <v>18262.9519060669</v>
      </c>
      <c r="AH23" s="84" t="n">
        <f aca="false">AH13*INDEX(Premissas!$C$59:$G$59,AH$7)*Premissas!$B$58*Premissas!$B$57</f>
        <v>18981.7862345209</v>
      </c>
      <c r="AI23" s="84" t="n">
        <f aca="false">AI13*INDEX(Premissas!$C$59:$G$59,AI$7)*Premissas!$B$58*Premissas!$B$57</f>
        <v>19635.925473414</v>
      </c>
      <c r="AJ23" s="84" t="n">
        <f aca="false">AJ13*INDEX(Premissas!$C$59:$G$59,AJ$7)*Premissas!$B$58*Premissas!$B$57</f>
        <v>20231.1921808067</v>
      </c>
      <c r="AK23" s="84" t="n">
        <f aca="false">AK13*INDEX(Premissas!$C$59:$G$59,AK$7)*Premissas!$B$58*Premissas!$B$57</f>
        <v>20772.8848845341</v>
      </c>
      <c r="AL23" s="84" t="n">
        <f aca="false">AL13*INDEX(Premissas!$C$59:$G$59,AL$7)*Premissas!$B$58*Premissas!$B$57</f>
        <v>36291.503470958</v>
      </c>
      <c r="AM23" s="84" t="n">
        <f aca="false">AM13*INDEX(Premissas!$C$59:$G$59,AM$7)*Premissas!$B$58*Premissas!$B$57</f>
        <v>39086.7256759265</v>
      </c>
      <c r="AN23" s="84" t="n">
        <f aca="false">AN13*INDEX(Premissas!$C$59:$G$59,AN$7)*Premissas!$B$58*Premissas!$B$57</f>
        <v>41644.3539934728</v>
      </c>
      <c r="AO23" s="84" t="n">
        <f aca="false">AO13*INDEX(Premissas!$C$59:$G$59,AO$7)*Premissas!$B$58*Premissas!$B$57</f>
        <v>43984.5839040276</v>
      </c>
      <c r="AP23" s="84" t="n">
        <f aca="false">AP13*INDEX(Premissas!$C$59:$G$59,AP$7)*Premissas!$B$58*Premissas!$B$57</f>
        <v>46125.8942721853</v>
      </c>
      <c r="AQ23" s="84" t="n">
        <f aca="false">AQ13*INDEX(Premissas!$C$59:$G$59,AQ$7)*Premissas!$B$58*Premissas!$B$57</f>
        <v>48085.1932590495</v>
      </c>
      <c r="AR23" s="84" t="n">
        <f aca="false">AR13*INDEX(Premissas!$C$59:$G$59,AR$7)*Premissas!$B$58*Premissas!$B$57</f>
        <v>49877.9518320303</v>
      </c>
      <c r="AS23" s="84" t="n">
        <f aca="false">AS13*INDEX(Premissas!$C$59:$G$59,AS$7)*Premissas!$B$58*Premissas!$B$57</f>
        <v>51518.3259263077</v>
      </c>
      <c r="AT23" s="84" t="n">
        <f aca="false">AT13*INDEX(Premissas!$C$59:$G$59,AT$7)*Premissas!$B$58*Premissas!$B$57</f>
        <v>53019.2682225716</v>
      </c>
      <c r="AU23" s="84" t="n">
        <f aca="false">AU13*INDEX(Premissas!$C$59:$G$59,AU$7)*Premissas!$B$58*Premissas!$B$57</f>
        <v>54392.630423653</v>
      </c>
      <c r="AV23" s="84" t="n">
        <f aca="false">AV13*INDEX(Premissas!$C$59:$G$59,AV$7)*Premissas!$B$58*Premissas!$B$57</f>
        <v>55649.2568376425</v>
      </c>
      <c r="AW23" s="84" t="n">
        <f aca="false">AW13*INDEX(Premissas!$C$59:$G$59,AW$7)*Premissas!$B$58*Premissas!$B$57</f>
        <v>56799.0700064429</v>
      </c>
      <c r="AX23" s="84" t="n">
        <f aca="false">AX13*INDEX(Premissas!$C$59:$G$59,AX$7)*Premissas!$B$58*Premissas!$B$57</f>
        <v>75293.9305074093</v>
      </c>
      <c r="AY23" s="84" t="n">
        <f aca="false">AY13*INDEX(Premissas!$C$59:$G$59,AY$7)*Premissas!$B$58*Premissas!$B$57</f>
        <v>79245.4160668166</v>
      </c>
      <c r="AZ23" s="84" t="n">
        <f aca="false">AZ13*INDEX(Premissas!$C$59:$G$59,AZ$7)*Premissas!$B$58*Premissas!$B$57</f>
        <v>82880.7827814712</v>
      </c>
      <c r="BA23" s="84" t="n">
        <f aca="false">BA13*INDEX(Premissas!$C$59:$G$59,BA$7)*Premissas!$B$58*Premissas!$B$57</f>
        <v>86225.3201589535</v>
      </c>
      <c r="BB23" s="84" t="n">
        <f aca="false">BB13*INDEX(Premissas!$C$59:$G$59,BB$7)*Premissas!$B$58*Premissas!$B$57</f>
        <v>89302.2945462373</v>
      </c>
      <c r="BC23" s="84" t="n">
        <f aca="false">BC13*INDEX(Premissas!$C$59:$G$59,BC$7)*Premissas!$B$58*Premissas!$B$57</f>
        <v>92133.1109825383</v>
      </c>
      <c r="BD23" s="84" t="n">
        <f aca="false">BD13*INDEX(Premissas!$C$59:$G$59,BD$7)*Premissas!$B$58*Premissas!$B$57</f>
        <v>94737.4621039352</v>
      </c>
      <c r="BE23" s="84" t="n">
        <f aca="false">BE13*INDEX(Premissas!$C$59:$G$59,BE$7)*Premissas!$B$58*Premissas!$B$57</f>
        <v>97133.4651356204</v>
      </c>
      <c r="BF23" s="84" t="n">
        <f aca="false">BF13*INDEX(Premissas!$C$59:$G$59,BF$7)*Premissas!$B$58*Premissas!$B$57</f>
        <v>99337.7879247708</v>
      </c>
      <c r="BG23" s="84" t="n">
        <f aca="false">BG13*INDEX(Premissas!$C$59:$G$59,BG$7)*Premissas!$B$58*Premissas!$B$57</f>
        <v>101365.764890789</v>
      </c>
      <c r="BH23" s="84" t="n">
        <f aca="false">BH13*INDEX(Premissas!$C$59:$G$59,BH$7)*Premissas!$B$58*Premissas!$B$57</f>
        <v>103231.503699526</v>
      </c>
      <c r="BI23" s="84" t="n">
        <f aca="false">BI13*INDEX(Premissas!$C$59:$G$59,BI$7)*Premissas!$B$58*Premissas!$B$57</f>
        <v>104947.983403564</v>
      </c>
      <c r="BJ23" s="69" t="n">
        <f aca="false">SUM(B23:BI23)</f>
        <v>1930253.08842703</v>
      </c>
    </row>
    <row r="24" customFormat="false" ht="15" hidden="false" customHeight="false" outlineLevel="0" collapsed="false">
      <c r="A24" s="12" t="s">
        <v>351</v>
      </c>
      <c r="B24" s="84" t="n">
        <f aca="false">IF(AND(Premissas!$B$80=1,B$4&gt;=Premissas!$B$82),Premissas!$B$83,0)</f>
        <v>0</v>
      </c>
      <c r="C24" s="84" t="n">
        <f aca="false">IF(AND(Premissas!$B$80=1,C$4&gt;=Premissas!$B$82),Premissas!$B$83,0)</f>
        <v>0</v>
      </c>
      <c r="D24" s="84" t="n">
        <f aca="false">IF(AND(Premissas!$B$80=1,D$4&gt;=Premissas!$B$82),Premissas!$B$83,0)</f>
        <v>0</v>
      </c>
      <c r="E24" s="84" t="n">
        <f aca="false">IF(AND(Premissas!$B$80=1,E$4&gt;=Premissas!$B$82),Premissas!$B$83,0)</f>
        <v>0</v>
      </c>
      <c r="F24" s="84" t="n">
        <f aca="false">IF(AND(Premissas!$B$80=1,F$4&gt;=Premissas!$B$82),Premissas!$B$83,0)</f>
        <v>0</v>
      </c>
      <c r="G24" s="84" t="n">
        <f aca="false">IF(AND(Premissas!$B$80=1,G$4&gt;=Premissas!$B$82),Premissas!$B$83,0)</f>
        <v>0</v>
      </c>
      <c r="H24" s="84" t="n">
        <f aca="false">IF(AND(Premissas!$B$80=1,H$4&gt;=Premissas!$B$82),Premissas!$B$83,0)</f>
        <v>0</v>
      </c>
      <c r="I24" s="84" t="n">
        <f aca="false">IF(AND(Premissas!$B$80=1,I$4&gt;=Premissas!$B$82),Premissas!$B$83,0)</f>
        <v>0</v>
      </c>
      <c r="J24" s="84" t="n">
        <f aca="false">IF(AND(Premissas!$B$80=1,J$4&gt;=Premissas!$B$82),Premissas!$B$83,0)</f>
        <v>0</v>
      </c>
      <c r="K24" s="84" t="n">
        <f aca="false">IF(AND(Premissas!$B$80=1,K$4&gt;=Premissas!$B$82),Premissas!$B$83,0)</f>
        <v>0</v>
      </c>
      <c r="L24" s="84" t="n">
        <f aca="false">IF(AND(Premissas!$B$80=1,L$4&gt;=Premissas!$B$82),Premissas!$B$83,0)</f>
        <v>0</v>
      </c>
      <c r="M24" s="84" t="n">
        <f aca="false">IF(AND(Premissas!$B$80=1,M$4&gt;=Premissas!$B$82),Premissas!$B$83,0)</f>
        <v>0</v>
      </c>
      <c r="N24" s="84" t="n">
        <f aca="false">IF(AND(Premissas!$B$80=1,N$4&gt;=Premissas!$B$82),Premissas!$B$83,0)</f>
        <v>0</v>
      </c>
      <c r="O24" s="84" t="n">
        <f aca="false">IF(AND(Premissas!$B$80=1,O$4&gt;=Premissas!$B$82),Premissas!$B$83,0)</f>
        <v>0</v>
      </c>
      <c r="P24" s="84" t="n">
        <f aca="false">IF(AND(Premissas!$B$80=1,P$4&gt;=Premissas!$B$82),Premissas!$B$83,0)</f>
        <v>0</v>
      </c>
      <c r="Q24" s="84" t="n">
        <f aca="false">IF(AND(Premissas!$B$80=1,Q$4&gt;=Premissas!$B$82),Premissas!$B$83,0)</f>
        <v>0</v>
      </c>
      <c r="R24" s="84" t="n">
        <f aca="false">IF(AND(Premissas!$B$80=1,R$4&gt;=Premissas!$B$82),Premissas!$B$83,0)</f>
        <v>0</v>
      </c>
      <c r="S24" s="84" t="n">
        <f aca="false">IF(AND(Premissas!$B$80=1,S$4&gt;=Premissas!$B$82),Premissas!$B$83,0)</f>
        <v>0</v>
      </c>
      <c r="T24" s="84" t="n">
        <f aca="false">IF(AND(Premissas!$B$80=1,T$4&gt;=Premissas!$B$82),Premissas!$B$83,0)</f>
        <v>0</v>
      </c>
      <c r="U24" s="84" t="n">
        <f aca="false">IF(AND(Premissas!$B$80=1,U$4&gt;=Premissas!$B$82),Premissas!$B$83,0)</f>
        <v>0</v>
      </c>
      <c r="V24" s="84" t="n">
        <f aca="false">IF(AND(Premissas!$B$80=1,V$4&gt;=Premissas!$B$82),Premissas!$B$83,0)</f>
        <v>0</v>
      </c>
      <c r="W24" s="84" t="n">
        <f aca="false">IF(AND(Premissas!$B$80=1,W$4&gt;=Premissas!$B$82),Premissas!$B$83,0)</f>
        <v>0</v>
      </c>
      <c r="X24" s="84" t="n">
        <f aca="false">IF(AND(Premissas!$B$80=1,X$4&gt;=Premissas!$B$82),Premissas!$B$83,0)</f>
        <v>0</v>
      </c>
      <c r="Y24" s="84" t="n">
        <f aca="false">IF(AND(Premissas!$B$80=1,Y$4&gt;=Premissas!$B$82),Premissas!$B$83,0)</f>
        <v>0</v>
      </c>
      <c r="Z24" s="84" t="n">
        <f aca="false">IF(AND(Premissas!$B$80=1,Z$4&gt;=Premissas!$B$82),Premissas!$B$83,0)</f>
        <v>0</v>
      </c>
      <c r="AA24" s="84" t="n">
        <f aca="false">IF(AND(Premissas!$B$80=1,AA$4&gt;=Premissas!$B$82),Premissas!$B$83,0)</f>
        <v>0</v>
      </c>
      <c r="AB24" s="84" t="n">
        <f aca="false">IF(AND(Premissas!$B$80=1,AB$4&gt;=Premissas!$B$82),Premissas!$B$83,0)</f>
        <v>0</v>
      </c>
      <c r="AC24" s="84" t="n">
        <f aca="false">IF(AND(Premissas!$B$80=1,AC$4&gt;=Premissas!$B$82),Premissas!$B$83,0)</f>
        <v>0</v>
      </c>
      <c r="AD24" s="84" t="n">
        <f aca="false">IF(AND(Premissas!$B$80=1,AD$4&gt;=Premissas!$B$82),Premissas!$B$83,0)</f>
        <v>0</v>
      </c>
      <c r="AE24" s="84" t="n">
        <f aca="false">IF(AND(Premissas!$B$80=1,AE$4&gt;=Premissas!$B$82),Premissas!$B$83,0)</f>
        <v>0</v>
      </c>
      <c r="AF24" s="84" t="n">
        <f aca="false">IF(AND(Premissas!$B$80=1,AF$4&gt;=Premissas!$B$82),Premissas!$B$83,0)</f>
        <v>0</v>
      </c>
      <c r="AG24" s="84" t="n">
        <f aca="false">IF(AND(Premissas!$B$80=1,AG$4&gt;=Premissas!$B$82),Premissas!$B$83,0)</f>
        <v>0</v>
      </c>
      <c r="AH24" s="84" t="n">
        <f aca="false">IF(AND(Premissas!$B$80=1,AH$4&gt;=Premissas!$B$82),Premissas!$B$83,0)</f>
        <v>0</v>
      </c>
      <c r="AI24" s="84" t="n">
        <f aca="false">IF(AND(Premissas!$B$80=1,AI$4&gt;=Premissas!$B$82),Premissas!$B$83,0)</f>
        <v>0</v>
      </c>
      <c r="AJ24" s="84" t="n">
        <f aca="false">IF(AND(Premissas!$B$80=1,AJ$4&gt;=Premissas!$B$82),Premissas!$B$83,0)</f>
        <v>0</v>
      </c>
      <c r="AK24" s="84" t="n">
        <f aca="false">IF(AND(Premissas!$B$80=1,AK$4&gt;=Premissas!$B$82),Premissas!$B$83,0)</f>
        <v>0</v>
      </c>
      <c r="AL24" s="84" t="n">
        <f aca="false">IF(AND(Premissas!$B$80=1,AL$4&gt;=Premissas!$B$82),Premissas!$B$83,0)</f>
        <v>0</v>
      </c>
      <c r="AM24" s="84" t="n">
        <f aca="false">IF(AND(Premissas!$B$80=1,AM$4&gt;=Premissas!$B$82),Premissas!$B$83,0)</f>
        <v>0</v>
      </c>
      <c r="AN24" s="84" t="n">
        <f aca="false">IF(AND(Premissas!$B$80=1,AN$4&gt;=Premissas!$B$82),Premissas!$B$83,0)</f>
        <v>0</v>
      </c>
      <c r="AO24" s="84" t="n">
        <f aca="false">IF(AND(Premissas!$B$80=1,AO$4&gt;=Premissas!$B$82),Premissas!$B$83,0)</f>
        <v>0</v>
      </c>
      <c r="AP24" s="84" t="n">
        <f aca="false">IF(AND(Premissas!$B$80=1,AP$4&gt;=Premissas!$B$82),Premissas!$B$83,0)</f>
        <v>0</v>
      </c>
      <c r="AQ24" s="84" t="n">
        <f aca="false">IF(AND(Premissas!$B$80=1,AQ$4&gt;=Premissas!$B$82),Premissas!$B$83,0)</f>
        <v>0</v>
      </c>
      <c r="AR24" s="84" t="n">
        <f aca="false">IF(AND(Premissas!$B$80=1,AR$4&gt;=Premissas!$B$82),Premissas!$B$83,0)</f>
        <v>0</v>
      </c>
      <c r="AS24" s="84" t="n">
        <f aca="false">IF(AND(Premissas!$B$80=1,AS$4&gt;=Premissas!$B$82),Premissas!$B$83,0)</f>
        <v>0</v>
      </c>
      <c r="AT24" s="84" t="n">
        <f aca="false">IF(AND(Premissas!$B$80=1,AT$4&gt;=Premissas!$B$82),Premissas!$B$83,0)</f>
        <v>0</v>
      </c>
      <c r="AU24" s="84" t="n">
        <f aca="false">IF(AND(Premissas!$B$80=1,AU$4&gt;=Premissas!$B$82),Premissas!$B$83,0)</f>
        <v>0</v>
      </c>
      <c r="AV24" s="84" t="n">
        <f aca="false">IF(AND(Premissas!$B$80=1,AV$4&gt;=Premissas!$B$82),Premissas!$B$83,0)</f>
        <v>0</v>
      </c>
      <c r="AW24" s="84" t="n">
        <f aca="false">IF(AND(Premissas!$B$80=1,AW$4&gt;=Premissas!$B$82),Premissas!$B$83,0)</f>
        <v>0</v>
      </c>
      <c r="AX24" s="84" t="n">
        <f aca="false">IF(AND(Premissas!$B$80=1,AX$4&gt;=Premissas!$B$82),Premissas!$B$83,0)</f>
        <v>0</v>
      </c>
      <c r="AY24" s="84" t="n">
        <f aca="false">IF(AND(Premissas!$B$80=1,AY$4&gt;=Premissas!$B$82),Premissas!$B$83,0)</f>
        <v>0</v>
      </c>
      <c r="AZ24" s="84" t="n">
        <f aca="false">IF(AND(Premissas!$B$80=1,AZ$4&gt;=Premissas!$B$82),Premissas!$B$83,0)</f>
        <v>0</v>
      </c>
      <c r="BA24" s="84" t="n">
        <f aca="false">IF(AND(Premissas!$B$80=1,BA$4&gt;=Premissas!$B$82),Premissas!$B$83,0)</f>
        <v>0</v>
      </c>
      <c r="BB24" s="84" t="n">
        <f aca="false">IF(AND(Premissas!$B$80=1,BB$4&gt;=Premissas!$B$82),Premissas!$B$83,0)</f>
        <v>0</v>
      </c>
      <c r="BC24" s="84" t="n">
        <f aca="false">IF(AND(Premissas!$B$80=1,BC$4&gt;=Premissas!$B$82),Premissas!$B$83,0)</f>
        <v>0</v>
      </c>
      <c r="BD24" s="84" t="n">
        <f aca="false">IF(AND(Premissas!$B$80=1,BD$4&gt;=Premissas!$B$82),Premissas!$B$83,0)</f>
        <v>0</v>
      </c>
      <c r="BE24" s="84" t="n">
        <f aca="false">IF(AND(Premissas!$B$80=1,BE$4&gt;=Premissas!$B$82),Premissas!$B$83,0)</f>
        <v>0</v>
      </c>
      <c r="BF24" s="84" t="n">
        <f aca="false">IF(AND(Premissas!$B$80=1,BF$4&gt;=Premissas!$B$82),Premissas!$B$83,0)</f>
        <v>0</v>
      </c>
      <c r="BG24" s="84" t="n">
        <f aca="false">IF(AND(Premissas!$B$80=1,BG$4&gt;=Premissas!$B$82),Premissas!$B$83,0)</f>
        <v>0</v>
      </c>
      <c r="BH24" s="84" t="n">
        <f aca="false">IF(AND(Premissas!$B$80=1,BH$4&gt;=Premissas!$B$82),Premissas!$B$83,0)</f>
        <v>0</v>
      </c>
      <c r="BI24" s="84" t="n">
        <f aca="false">IF(AND(Premissas!$B$80=1,BI$4&gt;=Premissas!$B$82),Premissas!$B$83,0)</f>
        <v>0</v>
      </c>
      <c r="BJ24" s="69" t="n">
        <f aca="false">SUM(B24:BI24)</f>
        <v>0</v>
      </c>
    </row>
    <row r="25" customFormat="false" ht="15" hidden="false" customHeight="false" outlineLevel="0" collapsed="false">
      <c r="A25" s="34" t="s">
        <v>298</v>
      </c>
      <c r="B25" s="69" t="n">
        <f aca="false">SUM(B22:B24)</f>
        <v>0</v>
      </c>
      <c r="C25" s="69" t="n">
        <f aca="false">SUM(C22:C24)</f>
        <v>0</v>
      </c>
      <c r="D25" s="69" t="n">
        <f aca="false">SUM(D22:D24)</f>
        <v>0</v>
      </c>
      <c r="E25" s="69" t="n">
        <f aca="false">SUM(E22:E24)</f>
        <v>0</v>
      </c>
      <c r="F25" s="69" t="n">
        <f aca="false">SUM(F22:F24)</f>
        <v>0</v>
      </c>
      <c r="G25" s="69" t="n">
        <f aca="false">SUM(G22:G24)</f>
        <v>0</v>
      </c>
      <c r="H25" s="69" t="n">
        <f aca="false">SUM(H22:H24)</f>
        <v>0</v>
      </c>
      <c r="I25" s="69" t="n">
        <f aca="false">SUM(I22:I24)</f>
        <v>0</v>
      </c>
      <c r="J25" s="69" t="n">
        <f aca="false">SUM(J22:J24)</f>
        <v>0</v>
      </c>
      <c r="K25" s="69" t="n">
        <f aca="false">SUM(K22:K24)</f>
        <v>8747.4</v>
      </c>
      <c r="L25" s="69" t="n">
        <f aca="false">SUM(L22:L24)</f>
        <v>16658.1</v>
      </c>
      <c r="M25" s="69" t="n">
        <f aca="false">SUM(M22:M24)</f>
        <v>23751.7</v>
      </c>
      <c r="N25" s="69" t="n">
        <f aca="false">SUM(N22:N24)</f>
        <v>42700.6483825</v>
      </c>
      <c r="O25" s="69" t="n">
        <f aca="false">SUM(O22:O24)</f>
        <v>52878.9878511625</v>
      </c>
      <c r="P25" s="69" t="n">
        <f aca="false">SUM(P22:P24)</f>
        <v>61968.710495302</v>
      </c>
      <c r="Q25" s="69" t="n">
        <f aca="false">SUM(Q22:Q24)</f>
        <v>70287.3595932484</v>
      </c>
      <c r="R25" s="69" t="n">
        <f aca="false">SUM(R22:R24)</f>
        <v>77734.2636018898</v>
      </c>
      <c r="S25" s="69" t="n">
        <f aca="false">SUM(S22:S24)</f>
        <v>84500.8629197102</v>
      </c>
      <c r="T25" s="69" t="n">
        <f aca="false">SUM(T22:T24)</f>
        <v>90632.0553248378</v>
      </c>
      <c r="U25" s="69" t="n">
        <f aca="false">SUM(U22:U24)</f>
        <v>96235.1244514782</v>
      </c>
      <c r="V25" s="69" t="n">
        <f aca="false">SUM(V22:V24)</f>
        <v>101270.769633588</v>
      </c>
      <c r="W25" s="69" t="n">
        <f aca="false">SUM(W22:W24)</f>
        <v>105783.032913397</v>
      </c>
      <c r="X25" s="69" t="n">
        <f aca="false">SUM(X22:X24)</f>
        <v>109899.532484124</v>
      </c>
      <c r="Y25" s="69" t="n">
        <f aca="false">SUM(Y22:Y24)</f>
        <v>113642.966810632</v>
      </c>
      <c r="Z25" s="69" t="n">
        <f aca="false">SUM(Z22:Z24)</f>
        <v>161811.467459459</v>
      </c>
      <c r="AA25" s="69" t="n">
        <f aca="false">SUM(AA22:AA24)</f>
        <v>182640.113869308</v>
      </c>
      <c r="AB25" s="69" t="n">
        <f aca="false">SUM(AB22:AB24)</f>
        <v>201624.06427437</v>
      </c>
      <c r="AC25" s="69" t="n">
        <f aca="false">SUM(AC22:AC24)</f>
        <v>218883.351774227</v>
      </c>
      <c r="AD25" s="69" t="n">
        <f aca="false">SUM(AD22:AD24)</f>
        <v>234624.248199096</v>
      </c>
      <c r="AE25" s="69" t="n">
        <f aca="false">SUM(AE22:AE24)</f>
        <v>248921.168780853</v>
      </c>
      <c r="AF25" s="69" t="n">
        <f aca="false">SUM(AF22:AF24)</f>
        <v>261913.210502601</v>
      </c>
      <c r="AG25" s="69" t="n">
        <f aca="false">SUM(AG22:AG24)</f>
        <v>273782.496378567</v>
      </c>
      <c r="AH25" s="69" t="n">
        <f aca="false">SUM(AH22:AH24)</f>
        <v>284535.620824521</v>
      </c>
      <c r="AI25" s="69" t="n">
        <f aca="false">SUM(AI22:AI24)</f>
        <v>294353.597053414</v>
      </c>
      <c r="AJ25" s="69" t="n">
        <f aca="false">SUM(AJ22:AJ24)</f>
        <v>303285.601015807</v>
      </c>
      <c r="AK25" s="69" t="n">
        <f aca="false">SUM(AK22:AK24)</f>
        <v>311402.125132034</v>
      </c>
      <c r="AL25" s="69" t="n">
        <f aca="false">SUM(AL22:AL24)</f>
        <v>422634.77860567</v>
      </c>
      <c r="AM25" s="69" t="n">
        <f aca="false">SUM(AM22:AM24)</f>
        <v>455209.986125251</v>
      </c>
      <c r="AN25" s="69" t="n">
        <f aca="false">SUM(AN22:AN24)</f>
        <v>484999.60403351</v>
      </c>
      <c r="AO25" s="69" t="n">
        <f aca="false">SUM(AO22:AO24)</f>
        <v>512251.26221959</v>
      </c>
      <c r="AP25" s="69" t="n">
        <f aca="false">SUM(AP22:AP24)</f>
        <v>537256.63471841</v>
      </c>
      <c r="AQ25" s="69" t="n">
        <f aca="false">SUM(AQ22:AQ24)</f>
        <v>560032.173224624</v>
      </c>
      <c r="AR25" s="69" t="n">
        <f aca="false">SUM(AR22:AR24)</f>
        <v>580958.065399193</v>
      </c>
      <c r="AS25" s="69" t="n">
        <f aca="false">SUM(AS22:AS24)</f>
        <v>600047.78247762</v>
      </c>
      <c r="AT25" s="69" t="n">
        <f aca="false">SUM(AT22:AT24)</f>
        <v>617496.407254147</v>
      </c>
      <c r="AU25" s="69" t="n">
        <f aca="false">SUM(AU22:AU24)</f>
        <v>633475.326455878</v>
      </c>
      <c r="AV25" s="69" t="n">
        <f aca="false">SUM(AV22:AV24)</f>
        <v>648131.867859455</v>
      </c>
      <c r="AW25" s="69" t="n">
        <f aca="false">SUM(AW22:AW24)</f>
        <v>661544.081624443</v>
      </c>
      <c r="AX25" s="69" t="n">
        <f aca="false">SUM(AX22:AX24)</f>
        <v>830258.257013627</v>
      </c>
      <c r="AY25" s="69" t="n">
        <f aca="false">SUM(AY22:AY24)</f>
        <v>873847.152828048</v>
      </c>
      <c r="AZ25" s="69" t="n">
        <f aca="false">SUM(AZ22:AZ24)</f>
        <v>913981.340092732</v>
      </c>
      <c r="BA25" s="69" t="n">
        <f aca="false">SUM(BA22:BA24)</f>
        <v>950852.345408185</v>
      </c>
      <c r="BB25" s="69" t="n">
        <f aca="false">SUM(BB22:BB24)</f>
        <v>984721.223330347</v>
      </c>
      <c r="BC25" s="69" t="n">
        <f aca="false">SUM(BC22:BC24)</f>
        <v>1015966.41896746</v>
      </c>
      <c r="BD25" s="69" t="n">
        <f aca="false">SUM(BD22:BD24)</f>
        <v>1044678.57981234</v>
      </c>
      <c r="BE25" s="69" t="n">
        <f aca="false">SUM(BE22:BE24)</f>
        <v>1071113.84980286</v>
      </c>
      <c r="BF25" s="69" t="n">
        <f aca="false">SUM(BF22:BF24)</f>
        <v>1095479.10350301</v>
      </c>
      <c r="BG25" s="69" t="n">
        <f aca="false">SUM(BG22:BG24)</f>
        <v>1117789.3175766</v>
      </c>
      <c r="BH25" s="69" t="n">
        <f aca="false">SUM(BH22:BH24)</f>
        <v>1138344.20789433</v>
      </c>
      <c r="BI25" s="69" t="n">
        <f aca="false">SUM(BI22:BI24)</f>
        <v>1157347.19872931</v>
      </c>
      <c r="BJ25" s="69" t="n">
        <f aca="false">SUM(B25:BI25)</f>
        <v>22942885.5446828</v>
      </c>
    </row>
    <row r="26" customFormat="false" ht="15" hidden="false" customHeight="false" outlineLevel="0" collapsed="false">
      <c r="A26" s="12" t="s">
        <v>352</v>
      </c>
      <c r="B26" s="84" t="n">
        <f aca="false">B25*12</f>
        <v>0</v>
      </c>
      <c r="C26" s="84" t="n">
        <f aca="false">SUM($B25:B25)/1*12</f>
        <v>0</v>
      </c>
      <c r="D26" s="84" t="n">
        <f aca="false">SUM($B25:C25)/2*12</f>
        <v>0</v>
      </c>
      <c r="E26" s="84" t="n">
        <f aca="false">SUM($B25:D25)/3*12</f>
        <v>0</v>
      </c>
      <c r="F26" s="84" t="n">
        <f aca="false">SUM($B25:E25)/4*12</f>
        <v>0</v>
      </c>
      <c r="G26" s="84" t="n">
        <f aca="false">SUM($B25:F25)/5*12</f>
        <v>0</v>
      </c>
      <c r="H26" s="84" t="n">
        <f aca="false">SUM($B25:G25)/6*12</f>
        <v>0</v>
      </c>
      <c r="I26" s="84" t="n">
        <f aca="false">SUM($B25:H25)/7*12</f>
        <v>0</v>
      </c>
      <c r="J26" s="84" t="n">
        <f aca="false">SUM($B25:I25)/8*12</f>
        <v>0</v>
      </c>
      <c r="K26" s="84" t="n">
        <f aca="false">SUM($B25:J25)/9*12</f>
        <v>0</v>
      </c>
      <c r="L26" s="84" t="n">
        <f aca="false">SUM($B25:K25)/10*12</f>
        <v>10496.88</v>
      </c>
      <c r="M26" s="84" t="n">
        <f aca="false">SUM($B25:L25)/11*12</f>
        <v>27715.0909090909</v>
      </c>
      <c r="N26" s="84" t="n">
        <f aca="false">SUM(B25:M25)</f>
        <v>49157.2</v>
      </c>
      <c r="O26" s="84" t="n">
        <f aca="false">SUM(C25:N25)</f>
        <v>91857.8483825</v>
      </c>
      <c r="P26" s="84" t="n">
        <f aca="false">SUM(D25:O25)</f>
        <v>144736.836233663</v>
      </c>
      <c r="Q26" s="84" t="n">
        <f aca="false">SUM(E25:P25)</f>
        <v>206705.546728965</v>
      </c>
      <c r="R26" s="84" t="n">
        <f aca="false">SUM(F25:Q25)</f>
        <v>276992.906322213</v>
      </c>
      <c r="S26" s="84" t="n">
        <f aca="false">SUM(G25:R25)</f>
        <v>354727.169924103</v>
      </c>
      <c r="T26" s="84" t="n">
        <f aca="false">SUM(H25:S25)</f>
        <v>439228.032843813</v>
      </c>
      <c r="U26" s="84" t="n">
        <f aca="false">SUM(I25:T25)</f>
        <v>529860.088168651</v>
      </c>
      <c r="V26" s="84" t="n">
        <f aca="false">SUM(J25:U25)</f>
        <v>626095.212620129</v>
      </c>
      <c r="W26" s="84" t="n">
        <f aca="false">SUM(K25:V25)</f>
        <v>727365.982253717</v>
      </c>
      <c r="X26" s="84" t="n">
        <f aca="false">SUM(L25:W25)</f>
        <v>824401.615167114</v>
      </c>
      <c r="Y26" s="84" t="n">
        <f aca="false">SUM(M25:X25)</f>
        <v>917643.047651238</v>
      </c>
      <c r="Z26" s="84" t="n">
        <f aca="false">SUM(N25:Y25)</f>
        <v>1007534.31446187</v>
      </c>
      <c r="AA26" s="84" t="n">
        <f aca="false">SUM(O25:Z25)</f>
        <v>1126645.13353883</v>
      </c>
      <c r="AB26" s="84" t="n">
        <f aca="false">SUM(P25:AA25)</f>
        <v>1256406.25955697</v>
      </c>
      <c r="AC26" s="84" t="n">
        <f aca="false">SUM(Q25:AB25)</f>
        <v>1396061.61333604</v>
      </c>
      <c r="AD26" s="84" t="n">
        <f aca="false">SUM(R25:AC25)</f>
        <v>1544657.60551702</v>
      </c>
      <c r="AE26" s="84" t="n">
        <f aca="false">SUM(S25:AD25)</f>
        <v>1701547.59011423</v>
      </c>
      <c r="AF26" s="84" t="n">
        <f aca="false">SUM(T25:AE25)</f>
        <v>1865967.89597537</v>
      </c>
      <c r="AG26" s="84" t="n">
        <f aca="false">SUM(U25:AF25)</f>
        <v>2037249.05115313</v>
      </c>
      <c r="AH26" s="84" t="n">
        <f aca="false">SUM(V25:AG25)</f>
        <v>2214796.42308022</v>
      </c>
      <c r="AI26" s="84" t="n">
        <f aca="false">SUM(W25:AH25)</f>
        <v>2398061.27427116</v>
      </c>
      <c r="AJ26" s="84" t="n">
        <f aca="false">SUM(X25:AI25)</f>
        <v>2586631.83841117</v>
      </c>
      <c r="AK26" s="84" t="n">
        <f aca="false">SUM(Y25:AJ25)</f>
        <v>2780017.90694285</v>
      </c>
      <c r="AL26" s="84" t="n">
        <f aca="false">SUM(Z25:AK25)</f>
        <v>2977777.06526426</v>
      </c>
      <c r="AM26" s="84" t="n">
        <f aca="false">SUM(AA25:AL25)</f>
        <v>3238600.37641047</v>
      </c>
      <c r="AN26" s="84" t="n">
        <f aca="false">SUM(AB25:AM25)</f>
        <v>3511170.24866641</v>
      </c>
      <c r="AO26" s="84" t="n">
        <f aca="false">SUM(AC25:AN25)</f>
        <v>3794545.78842555</v>
      </c>
      <c r="AP26" s="84" t="n">
        <f aca="false">SUM(AD25:AO25)</f>
        <v>4087913.69887091</v>
      </c>
      <c r="AQ26" s="84" t="n">
        <f aca="false">SUM(AE25:AP25)</f>
        <v>4390546.08539023</v>
      </c>
      <c r="AR26" s="84" t="n">
        <f aca="false">SUM(AF25:AQ25)</f>
        <v>4701657.089834</v>
      </c>
      <c r="AS26" s="84" t="n">
        <f aca="false">SUM(AG25:AR25)</f>
        <v>5020701.94473059</v>
      </c>
      <c r="AT26" s="84" t="n">
        <f aca="false">SUM(AH25:AS25)</f>
        <v>5346967.23082965</v>
      </c>
      <c r="AU26" s="84" t="n">
        <f aca="false">SUM(AI25:AT25)</f>
        <v>5679928.01725927</v>
      </c>
      <c r="AV26" s="84" t="n">
        <f aca="false">SUM(AJ25:AU25)</f>
        <v>6019049.74666174</v>
      </c>
      <c r="AW26" s="84" t="n">
        <f aca="false">SUM(AK25:AV25)</f>
        <v>6363896.01350538</v>
      </c>
      <c r="AX26" s="84" t="n">
        <f aca="false">SUM(AL25:AW25)</f>
        <v>6714037.96999779</v>
      </c>
      <c r="AY26" s="84" t="n">
        <f aca="false">SUM(AM25:AX25)</f>
        <v>7121661.44840575</v>
      </c>
      <c r="AZ26" s="84" t="n">
        <f aca="false">SUM(AN25:AY25)</f>
        <v>7540298.61510854</v>
      </c>
      <c r="BA26" s="84" t="n">
        <f aca="false">SUM(AO25:AZ25)</f>
        <v>7969280.35116777</v>
      </c>
      <c r="BB26" s="84" t="n">
        <f aca="false">SUM(AP25:BA25)</f>
        <v>8407881.43435636</v>
      </c>
      <c r="BC26" s="84" t="n">
        <f aca="false">SUM(AQ25:BB25)</f>
        <v>8855346.0229683</v>
      </c>
      <c r="BD26" s="84" t="n">
        <f aca="false">SUM(AR25:BC25)</f>
        <v>9311280.26871113</v>
      </c>
      <c r="BE26" s="84" t="n">
        <f aca="false">SUM(AS25:BD25)</f>
        <v>9775000.78312428</v>
      </c>
      <c r="BF26" s="84" t="n">
        <f aca="false">SUM(AT25:BE25)</f>
        <v>10246066.8504495</v>
      </c>
      <c r="BG26" s="84" t="n">
        <f aca="false">SUM(AU25:BF25)</f>
        <v>10724049.5466984</v>
      </c>
      <c r="BH26" s="84" t="n">
        <f aca="false">SUM(AV25:BG25)</f>
        <v>11208363.5378191</v>
      </c>
      <c r="BI26" s="84" t="n">
        <f aca="false">SUM(AW25:BH25)</f>
        <v>11698575.877854</v>
      </c>
      <c r="BJ26" s="69" t="n">
        <f aca="false">BI26</f>
        <v>11698575.877854</v>
      </c>
      <c r="BK26" s="14" t="s">
        <v>344</v>
      </c>
    </row>
    <row r="27" customFormat="false" ht="15" hidden="false" customHeight="false" outlineLevel="0" collapsed="false">
      <c r="A27" s="12" t="s">
        <v>301</v>
      </c>
      <c r="B27" s="108" t="n">
        <f aca="false">IF(Premissas!$B$16=3,Premissas!$B$17,IF(B26&gt;Premissas!$B$18,Premissas!$B$17,IFERROR(MAX(Tributos!$C$24,(INDEX(Tributos!$C$24:$C$29,MATCH(B26,Tributos!$B$24:$B$29,1))*B26-INDEX(Tributos!$D$24:$D$29,MATCH(B26,Tributos!$B$24:$B$29,1)))/B26),Tributos!$C$24)))</f>
        <v>0.06</v>
      </c>
      <c r="C27" s="108" t="n">
        <f aca="false">IF(Premissas!$B$16=3,Premissas!$B$17,IF(C26&gt;Premissas!$B$18,Premissas!$B$17,IFERROR(MAX(Tributos!$C$24,(INDEX(Tributos!$C$24:$C$29,MATCH(C26,Tributos!$B$24:$B$29,1))*C26-INDEX(Tributos!$D$24:$D$29,MATCH(C26,Tributos!$B$24:$B$29,1)))/C26),Tributos!$C$24)))</f>
        <v>0.06</v>
      </c>
      <c r="D27" s="108" t="n">
        <f aca="false">IF(Premissas!$B$16=3,Premissas!$B$17,IF(D26&gt;Premissas!$B$18,Premissas!$B$17,IFERROR(MAX(Tributos!$C$24,(INDEX(Tributos!$C$24:$C$29,MATCH(D26,Tributos!$B$24:$B$29,1))*D26-INDEX(Tributos!$D$24:$D$29,MATCH(D26,Tributos!$B$24:$B$29,1)))/D26),Tributos!$C$24)))</f>
        <v>0.06</v>
      </c>
      <c r="E27" s="108" t="n">
        <f aca="false">IF(Premissas!$B$16=3,Premissas!$B$17,IF(E26&gt;Premissas!$B$18,Premissas!$B$17,IFERROR(MAX(Tributos!$C$24,(INDEX(Tributos!$C$24:$C$29,MATCH(E26,Tributos!$B$24:$B$29,1))*E26-INDEX(Tributos!$D$24:$D$29,MATCH(E26,Tributos!$B$24:$B$29,1)))/E26),Tributos!$C$24)))</f>
        <v>0.06</v>
      </c>
      <c r="F27" s="108" t="n">
        <f aca="false">IF(Premissas!$B$16=3,Premissas!$B$17,IF(F26&gt;Premissas!$B$18,Premissas!$B$17,IFERROR(MAX(Tributos!$C$24,(INDEX(Tributos!$C$24:$C$29,MATCH(F26,Tributos!$B$24:$B$29,1))*F26-INDEX(Tributos!$D$24:$D$29,MATCH(F26,Tributos!$B$24:$B$29,1)))/F26),Tributos!$C$24)))</f>
        <v>0.06</v>
      </c>
      <c r="G27" s="108" t="n">
        <f aca="false">IF(Premissas!$B$16=3,Premissas!$B$17,IF(G26&gt;Premissas!$B$18,Premissas!$B$17,IFERROR(MAX(Tributos!$C$24,(INDEX(Tributos!$C$24:$C$29,MATCH(G26,Tributos!$B$24:$B$29,1))*G26-INDEX(Tributos!$D$24:$D$29,MATCH(G26,Tributos!$B$24:$B$29,1)))/G26),Tributos!$C$24)))</f>
        <v>0.06</v>
      </c>
      <c r="H27" s="108" t="n">
        <f aca="false">IF(Premissas!$B$16=3,Premissas!$B$17,IF(H26&gt;Premissas!$B$18,Premissas!$B$17,IFERROR(MAX(Tributos!$C$24,(INDEX(Tributos!$C$24:$C$29,MATCH(H26,Tributos!$B$24:$B$29,1))*H26-INDEX(Tributos!$D$24:$D$29,MATCH(H26,Tributos!$B$24:$B$29,1)))/H26),Tributos!$C$24)))</f>
        <v>0.06</v>
      </c>
      <c r="I27" s="108" t="n">
        <f aca="false">IF(Premissas!$B$16=3,Premissas!$B$17,IF(I26&gt;Premissas!$B$18,Premissas!$B$17,IFERROR(MAX(Tributos!$C$24,(INDEX(Tributos!$C$24:$C$29,MATCH(I26,Tributos!$B$24:$B$29,1))*I26-INDEX(Tributos!$D$24:$D$29,MATCH(I26,Tributos!$B$24:$B$29,1)))/I26),Tributos!$C$24)))</f>
        <v>0.06</v>
      </c>
      <c r="J27" s="108" t="n">
        <f aca="false">IF(Premissas!$B$16=3,Premissas!$B$17,IF(J26&gt;Premissas!$B$18,Premissas!$B$17,IFERROR(MAX(Tributos!$C$24,(INDEX(Tributos!$C$24:$C$29,MATCH(J26,Tributos!$B$24:$B$29,1))*J26-INDEX(Tributos!$D$24:$D$29,MATCH(J26,Tributos!$B$24:$B$29,1)))/J26),Tributos!$C$24)))</f>
        <v>0.06</v>
      </c>
      <c r="K27" s="108" t="n">
        <f aca="false">IF(Premissas!$B$16=3,Premissas!$B$17,IF(K26&gt;Premissas!$B$18,Premissas!$B$17,IFERROR(MAX(Tributos!$C$24,(INDEX(Tributos!$C$24:$C$29,MATCH(K26,Tributos!$B$24:$B$29,1))*K26-INDEX(Tributos!$D$24:$D$29,MATCH(K26,Tributos!$B$24:$B$29,1)))/K26),Tributos!$C$24)))</f>
        <v>0.06</v>
      </c>
      <c r="L27" s="108" t="n">
        <f aca="false">IF(Premissas!$B$16=3,Premissas!$B$17,IF(L26&gt;Premissas!$B$18,Premissas!$B$17,IFERROR(MAX(Tributos!$C$24,(INDEX(Tributos!$C$24:$C$29,MATCH(L26,Tributos!$B$24:$B$29,1))*L26-INDEX(Tributos!$D$24:$D$29,MATCH(L26,Tributos!$B$24:$B$29,1)))/L26),Tributos!$C$24)))</f>
        <v>0.06</v>
      </c>
      <c r="M27" s="108" t="n">
        <f aca="false">IF(Premissas!$B$16=3,Premissas!$B$17,IF(M26&gt;Premissas!$B$18,Premissas!$B$17,IFERROR(MAX(Tributos!$C$24,(INDEX(Tributos!$C$24:$C$29,MATCH(M26,Tributos!$B$24:$B$29,1))*M26-INDEX(Tributos!$D$24:$D$29,MATCH(M26,Tributos!$B$24:$B$29,1)))/M26),Tributos!$C$24)))</f>
        <v>0.06</v>
      </c>
      <c r="N27" s="108" t="n">
        <f aca="false">IF(Premissas!$B$16=3,Premissas!$B$17,IF(N26&gt;Premissas!$B$18,Premissas!$B$17,IFERROR(MAX(Tributos!$C$24,(INDEX(Tributos!$C$24:$C$29,MATCH(N26,Tributos!$B$24:$B$29,1))*N26-INDEX(Tributos!$D$24:$D$29,MATCH(N26,Tributos!$B$24:$B$29,1)))/N26),Tributos!$C$24)))</f>
        <v>0.06</v>
      </c>
      <c r="O27" s="108" t="n">
        <f aca="false">IF(Premissas!$B$16=3,Premissas!$B$17,IF(O26&gt;Premissas!$B$18,Premissas!$B$17,IFERROR(MAX(Tributos!$C$24,(INDEX(Tributos!$C$24:$C$29,MATCH(O26,Tributos!$B$24:$B$29,1))*O26-INDEX(Tributos!$D$24:$D$29,MATCH(O26,Tributos!$B$24:$B$29,1)))/O26),Tributos!$C$24)))</f>
        <v>0.06</v>
      </c>
      <c r="P27" s="108" t="n">
        <f aca="false">IF(Premissas!$B$16=3,Premissas!$B$17,IF(P26&gt;Premissas!$B$18,Premissas!$B$17,IFERROR(MAX(Tributos!$C$24,(INDEX(Tributos!$C$24:$C$29,MATCH(P26,Tributos!$B$24:$B$29,1))*P26-INDEX(Tributos!$D$24:$D$29,MATCH(P26,Tributos!$B$24:$B$29,1)))/P26),Tributos!$C$24)))</f>
        <v>0.06</v>
      </c>
      <c r="Q27" s="108" t="n">
        <f aca="false">IF(Premissas!$B$16=3,Premissas!$B$17,IF(Q26&gt;Premissas!$B$18,Premissas!$B$17,IFERROR(MAX(Tributos!$C$24,(INDEX(Tributos!$C$24:$C$29,MATCH(Q26,Tributos!$B$24:$B$29,1))*Q26-INDEX(Tributos!$D$24:$D$29,MATCH(Q26,Tributos!$B$24:$B$29,1)))/Q26),Tributos!$C$24)))</f>
        <v>0.0667181962549221</v>
      </c>
      <c r="R27" s="108" t="n">
        <f aca="false">IF(Premissas!$B$16=3,Premissas!$B$17,IF(R26&gt;Premissas!$B$18,Premissas!$B$17,IFERROR(MAX(Tributos!$C$24,(INDEX(Tributos!$C$24:$C$29,MATCH(R26,Tributos!$B$24:$B$29,1))*R26-INDEX(Tributos!$D$24:$D$29,MATCH(R26,Tributos!$B$24:$B$29,1)))/R26),Tributos!$C$24)))</f>
        <v>0.0782085209174565</v>
      </c>
      <c r="S27" s="108" t="n">
        <f aca="false">IF(Premissas!$B$16=3,Premissas!$B$17,IF(S26&gt;Premissas!$B$18,Premissas!$B$17,IFERROR(MAX(Tributos!$C$24,(INDEX(Tributos!$C$24:$C$29,MATCH(S26,Tributos!$B$24:$B$29,1))*S26-INDEX(Tributos!$D$24:$D$29,MATCH(S26,Tributos!$B$24:$B$29,1)))/S26),Tributos!$C$24)))</f>
        <v>0.085613523875257</v>
      </c>
      <c r="T27" s="108" t="n">
        <f aca="false">IF(Premissas!$B$16=3,Premissas!$B$17,IF(T26&gt;Premissas!$B$18,Premissas!$B$17,IFERROR(MAX(Tributos!$C$24,(INDEX(Tributos!$C$24:$C$29,MATCH(T26,Tributos!$B$24:$B$29,1))*T26-INDEX(Tributos!$D$24:$D$29,MATCH(T26,Tributos!$B$24:$B$29,1)))/T26),Tributos!$C$24)))</f>
        <v>0.0948386289559239</v>
      </c>
      <c r="U27" s="108" t="n">
        <f aca="false">IF(Premissas!$B$16=3,Premissas!$B$17,IF(U26&gt;Premissas!$B$18,Premissas!$B$17,IFERROR(MAX(Tributos!$C$24,(INDEX(Tributos!$C$24:$C$29,MATCH(U26,Tributos!$B$24:$B$29,1))*U26-INDEX(Tributos!$D$24:$D$29,MATCH(U26,Tributos!$B$24:$B$29,1)))/U26),Tributos!$C$24)))</f>
        <v>0.101708192608036</v>
      </c>
      <c r="V27" s="108" t="n">
        <f aca="false">IF(Premissas!$B$16=3,Premissas!$B$17,IF(V26&gt;Premissas!$B$18,Premissas!$B$17,IFERROR(MAX(Tributos!$C$24,(INDEX(Tributos!$C$24:$C$29,MATCH(V26,Tributos!$B$24:$B$29,1))*V26-INDEX(Tributos!$D$24:$D$29,MATCH(V26,Tributos!$B$24:$B$29,1)))/V26),Tributos!$C$24)))</f>
        <v>0.106825371533862</v>
      </c>
      <c r="W27" s="108" t="n">
        <f aca="false">IF(Premissas!$B$16=3,Premissas!$B$17,IF(W26&gt;Premissas!$B$18,Premissas!$B$17,IFERROR(MAX(Tributos!$C$24,(INDEX(Tributos!$C$24:$C$29,MATCH(W26,Tributos!$B$24:$B$29,1))*W26-INDEX(Tributos!$D$24:$D$29,MATCH(W26,Tributos!$B$24:$B$29,1)))/W26),Tributos!$C$24)))</f>
        <v>0.111001282889845</v>
      </c>
      <c r="X27" s="108" t="n">
        <f aca="false">IF(Premissas!$B$16=3,Premissas!$B$17,IF(X26&gt;Premissas!$B$18,Premissas!$B$17,IFERROR(MAX(Tributos!$C$24,(INDEX(Tributos!$C$24:$C$29,MATCH(X26,Tributos!$B$24:$B$29,1))*X26-INDEX(Tributos!$D$24:$D$29,MATCH(X26,Tributos!$B$24:$B$29,1)))/X26),Tributos!$C$24)))</f>
        <v>0.116768643650977</v>
      </c>
      <c r="Y27" s="108" t="n">
        <f aca="false">IF(Premissas!$B$16=3,Premissas!$B$17,IF(Y26&gt;Premissas!$B$18,Premissas!$B$17,IFERROR(MAX(Tributos!$C$24,(INDEX(Tributos!$C$24:$C$29,MATCH(Y26,Tributos!$B$24:$B$29,1))*Y26-INDEX(Tributos!$D$24:$D$29,MATCH(Y26,Tributos!$B$24:$B$29,1)))/Y26),Tributos!$C$24)))</f>
        <v>0.121161368692083</v>
      </c>
      <c r="Z27" s="108" t="n">
        <f aca="false">IF(Premissas!$B$16=3,Premissas!$B$17,IF(Z26&gt;Premissas!$B$18,Premissas!$B$17,IFERROR(MAX(Tributos!$C$24,(INDEX(Tributos!$C$24:$C$29,MATCH(Z26,Tributos!$B$24:$B$29,1))*Z26-INDEX(Tributos!$D$24:$D$29,MATCH(Z26,Tributos!$B$24:$B$29,1)))/Z26),Tributos!$C$24)))</f>
        <v>0.124626514959904</v>
      </c>
      <c r="AA27" s="108" t="n">
        <f aca="false">IF(Premissas!$B$16=3,Premissas!$B$17,IF(AA26&gt;Premissas!$B$18,Premissas!$B$17,IFERROR(MAX(Tributos!$C$24,(INDEX(Tributos!$C$24:$C$29,MATCH(AA26,Tributos!$B$24:$B$29,1))*AA26-INDEX(Tributos!$D$24:$D$29,MATCH(AA26,Tributos!$B$24:$B$29,1)))/AA26),Tributos!$C$24)))</f>
        <v>0.128366259313566</v>
      </c>
      <c r="AB27" s="108" t="n">
        <f aca="false">IF(Premissas!$B$16=3,Premissas!$B$17,IF(AB26&gt;Premissas!$B$18,Premissas!$B$17,IFERROR(MAX(Tributos!$C$24,(INDEX(Tributos!$C$24:$C$29,MATCH(AB26,Tributos!$B$24:$B$29,1))*AB26-INDEX(Tributos!$D$24:$D$29,MATCH(AB26,Tributos!$B$24:$B$29,1)))/AB26),Tributos!$C$24)))</f>
        <v>0.131633379148742</v>
      </c>
      <c r="AC27" s="108" t="n">
        <f aca="false">IF(Premissas!$B$16=3,Premissas!$B$17,IF(AC26&gt;Premissas!$B$18,Premissas!$B$17,IFERROR(MAX(Tributos!$C$24,(INDEX(Tributos!$C$24:$C$29,MATCH(AC26,Tributos!$B$24:$B$29,1))*AC26-INDEX(Tributos!$D$24:$D$29,MATCH(AC26,Tributos!$B$24:$B$29,1)))/AC26),Tributos!$C$24)))</f>
        <v>0.13447104077675</v>
      </c>
      <c r="AD27" s="108" t="n">
        <f aca="false">IF(Premissas!$B$16=3,Premissas!$B$17,IF(AD26&gt;Premissas!$B$18,Premissas!$B$17,IFERROR(MAX(Tributos!$C$24,(INDEX(Tributos!$C$24:$C$29,MATCH(AD26,Tributos!$B$24:$B$29,1))*AD26-INDEX(Tributos!$D$24:$D$29,MATCH(AD26,Tributos!$B$24:$B$29,1)))/AD26),Tributos!$C$24)))</f>
        <v>0.136926925505882</v>
      </c>
      <c r="AE27" s="108" t="n">
        <f aca="false">IF(Premissas!$B$16=3,Premissas!$B$17,IF(AE26&gt;Premissas!$B$18,Premissas!$B$17,IFERROR(MAX(Tributos!$C$24,(INDEX(Tributos!$C$24:$C$29,MATCH(AE26,Tributos!$B$24:$B$29,1))*AE26-INDEX(Tributos!$D$24:$D$29,MATCH(AE26,Tributos!$B$24:$B$29,1)))/AE26),Tributos!$C$24)))</f>
        <v>0.139054361919077</v>
      </c>
      <c r="AF27" s="108" t="n">
        <f aca="false">IF(Premissas!$B$16=3,Premissas!$B$17,IF(AF26&gt;Premissas!$B$18,Premissas!$B$17,IFERROR(MAX(Tributos!$C$24,(INDEX(Tributos!$C$24:$C$29,MATCH(AF26,Tributos!$B$24:$B$29,1))*AF26-INDEX(Tributos!$D$24:$D$29,MATCH(AF26,Tributos!$B$24:$B$29,1)))/AF26),Tributos!$C$24)))</f>
        <v>0.142667651854575</v>
      </c>
      <c r="AG27" s="108" t="n">
        <f aca="false">IF(Premissas!$B$16=3,Premissas!$B$17,IF(AG26&gt;Premissas!$B$18,Premissas!$B$17,IFERROR(MAX(Tributos!$C$24,(INDEX(Tributos!$C$24:$C$29,MATCH(AG26,Tributos!$B$24:$B$29,1))*AG26-INDEX(Tributos!$D$24:$D$29,MATCH(AG26,Tributos!$B$24:$B$29,1)))/AG26),Tributos!$C$24)))</f>
        <v>0.148328600556282</v>
      </c>
      <c r="AH27" s="108" t="n">
        <f aca="false">IF(Premissas!$B$16=3,Premissas!$B$17,IF(AH26&gt;Premissas!$B$18,Premissas!$B$17,IFERROR(MAX(Tributos!$C$24,(INDEX(Tributos!$C$24:$C$29,MATCH(AH26,Tributos!$B$24:$B$29,1))*AH26-INDEX(Tributos!$D$24:$D$29,MATCH(AH26,Tributos!$B$24:$B$29,1)))/AH26),Tributos!$C$24)))</f>
        <v>0.153272438635572</v>
      </c>
      <c r="AI27" s="108" t="n">
        <f aca="false">IF(Premissas!$B$16=3,Premissas!$B$17,IF(AI26&gt;Premissas!$B$18,Premissas!$B$17,IFERROR(MAX(Tributos!$C$24,(INDEX(Tributos!$C$24:$C$29,MATCH(AI26,Tributos!$B$24:$B$29,1))*AI26-INDEX(Tributos!$D$24:$D$29,MATCH(AI26,Tributos!$B$24:$B$29,1)))/AI26),Tributos!$C$24)))</f>
        <v>0.157607677356707</v>
      </c>
      <c r="AJ27" s="108" t="n">
        <f aca="false">IF(Premissas!$B$16=3,Premissas!$B$17,IF(AJ26&gt;Premissas!$B$18,Premissas!$B$17,IFERROR(MAX(Tributos!$C$24,(INDEX(Tributos!$C$24:$C$29,MATCH(AJ26,Tributos!$B$24:$B$29,1))*AJ26-INDEX(Tributos!$D$24:$D$29,MATCH(AJ26,Tributos!$B$24:$B$29,1)))/AJ26),Tributos!$C$24)))</f>
        <v>0.161427181041283</v>
      </c>
      <c r="AK27" s="108" t="n">
        <f aca="false">IF(Premissas!$B$16=3,Premissas!$B$17,IF(AK26&gt;Premissas!$B$18,Premissas!$B$17,IFERROR(MAX(Tributos!$C$24,(INDEX(Tributos!$C$24:$C$29,MATCH(AK26,Tributos!$B$24:$B$29,1))*AK26-INDEX(Tributos!$D$24:$D$29,MATCH(AK26,Tributos!$B$24:$B$29,1)))/AK26),Tributos!$C$24)))</f>
        <v>0.164806046505591</v>
      </c>
      <c r="AL27" s="108" t="n">
        <f aca="false">IF(Premissas!$B$16=3,Premissas!$B$17,IF(AL26&gt;Premissas!$B$18,Premissas!$B$17,IFERROR(MAX(Tributos!$C$24,(INDEX(Tributos!$C$24:$C$29,MATCH(AL26,Tributos!$B$24:$B$29,1))*AL26-INDEX(Tributos!$D$24:$D$29,MATCH(AL26,Tributos!$B$24:$B$29,1)))/AL26),Tributos!$C$24)))</f>
        <v>0.167807452590864</v>
      </c>
      <c r="AM27" s="108" t="n">
        <f aca="false">IF(Premissas!$B$16=3,Premissas!$B$17,IF(AM26&gt;Premissas!$B$18,Premissas!$B$17,IFERROR(MAX(Tributos!$C$24,(INDEX(Tributos!$C$24:$C$29,MATCH(AM26,Tributos!$B$24:$B$29,1))*AM26-INDEX(Tributos!$D$24:$D$29,MATCH(AM26,Tributos!$B$24:$B$29,1)))/AM26),Tributos!$C$24)))</f>
        <v>0.17120546365796</v>
      </c>
      <c r="AN27" s="108" t="n">
        <f aca="false">IF(Premissas!$B$16=3,Premissas!$B$17,IF(AN26&gt;Premissas!$B$18,Premissas!$B$17,IFERROR(MAX(Tributos!$C$24,(INDEX(Tributos!$C$24:$C$29,MATCH(AN26,Tributos!$B$24:$B$29,1))*AN26-INDEX(Tributos!$D$24:$D$29,MATCH(AN26,Tributos!$B$24:$B$29,1)))/AN26),Tributos!$C$24)))</f>
        <v>0.17421705838738</v>
      </c>
      <c r="AO27" s="108" t="n">
        <f aca="false">IF(Premissas!$B$16=3,Premissas!$B$17,IF(AO26&gt;Premissas!$B$18,Premissas!$B$17,IFERROR(MAX(Tributos!$C$24,(INDEX(Tributos!$C$24:$C$29,MATCH(AO26,Tributos!$B$24:$B$29,1))*AO26-INDEX(Tributos!$D$24:$D$29,MATCH(AO26,Tributos!$B$24:$B$29,1)))/AO26),Tributos!$C$24)))</f>
        <v>0.15922857276447</v>
      </c>
      <c r="AP27" s="108" t="n">
        <f aca="false">IF(Premissas!$B$16=3,Premissas!$B$17,IF(AP26&gt;Premissas!$B$18,Premissas!$B$17,IFERROR(MAX(Tributos!$C$24,(INDEX(Tributos!$C$24:$C$29,MATCH(AP26,Tributos!$B$24:$B$29,1))*AP26-INDEX(Tributos!$D$24:$D$29,MATCH(AP26,Tributos!$B$24:$B$29,1)))/AP26),Tributos!$C$24)))</f>
        <v>0.171483933435538</v>
      </c>
      <c r="AQ27" s="108" t="n">
        <f aca="false">IF(Premissas!$B$16=3,Premissas!$B$17,IF(AQ26&gt;Premissas!$B$18,Premissas!$B$17,IFERROR(MAX(Tributos!$C$24,(INDEX(Tributos!$C$24:$C$29,MATCH(AQ26,Tributos!$B$24:$B$29,1))*AQ26-INDEX(Tributos!$D$24:$D$29,MATCH(AQ26,Tributos!$B$24:$B$29,1)))/AQ26),Tributos!$C$24)))</f>
        <v>0.182410158691591</v>
      </c>
      <c r="AR27" s="108" t="n">
        <f aca="false">IF(Premissas!$B$16=3,Premissas!$B$17,IF(AR26&gt;Premissas!$B$18,Premissas!$B$17,IFERROR(MAX(Tributos!$C$24,(INDEX(Tributos!$C$24:$C$29,MATCH(AR26,Tributos!$B$24:$B$29,1))*AR26-INDEX(Tributos!$D$24:$D$29,MATCH(AR26,Tributos!$B$24:$B$29,1)))/AR26),Tributos!$C$24)))</f>
        <v>0.192176252410854</v>
      </c>
      <c r="AS27" s="108" t="n">
        <f aca="false">IF(Premissas!$B$16=3,Premissas!$B$17,IF(AS26&gt;Premissas!$B$18,Premissas!$B$17,IFERROR(MAX(Tributos!$C$24,(INDEX(Tributos!$C$24:$C$29,MATCH(AS26,Tributos!$B$24:$B$29,1))*AS26-INDEX(Tributos!$D$24:$D$29,MATCH(AS26,Tributos!$B$24:$B$29,1)))/AS26),Tributos!$C$24)))</f>
        <v>0.1633</v>
      </c>
      <c r="AT27" s="108" t="n">
        <f aca="false">IF(Premissas!$B$16=3,Premissas!$B$17,IF(AT26&gt;Premissas!$B$18,Premissas!$B$17,IFERROR(MAX(Tributos!$C$24,(INDEX(Tributos!$C$24:$C$29,MATCH(AT26,Tributos!$B$24:$B$29,1))*AT26-INDEX(Tributos!$D$24:$D$29,MATCH(AT26,Tributos!$B$24:$B$29,1)))/AT26),Tributos!$C$24)))</f>
        <v>0.1633</v>
      </c>
      <c r="AU27" s="108" t="n">
        <f aca="false">IF(Premissas!$B$16=3,Premissas!$B$17,IF(AU26&gt;Premissas!$B$18,Premissas!$B$17,IFERROR(MAX(Tributos!$C$24,(INDEX(Tributos!$C$24:$C$29,MATCH(AU26,Tributos!$B$24:$B$29,1))*AU26-INDEX(Tributos!$D$24:$D$29,MATCH(AU26,Tributos!$B$24:$B$29,1)))/AU26),Tributos!$C$24)))</f>
        <v>0.1633</v>
      </c>
      <c r="AV27" s="108" t="n">
        <f aca="false">IF(Premissas!$B$16=3,Premissas!$B$17,IF(AV26&gt;Premissas!$B$18,Premissas!$B$17,IFERROR(MAX(Tributos!$C$24,(INDEX(Tributos!$C$24:$C$29,MATCH(AV26,Tributos!$B$24:$B$29,1))*AV26-INDEX(Tributos!$D$24:$D$29,MATCH(AV26,Tributos!$B$24:$B$29,1)))/AV26),Tributos!$C$24)))</f>
        <v>0.1633</v>
      </c>
      <c r="AW27" s="108" t="n">
        <f aca="false">IF(Premissas!$B$16=3,Premissas!$B$17,IF(AW26&gt;Premissas!$B$18,Premissas!$B$17,IFERROR(MAX(Tributos!$C$24,(INDEX(Tributos!$C$24:$C$29,MATCH(AW26,Tributos!$B$24:$B$29,1))*AW26-INDEX(Tributos!$D$24:$D$29,MATCH(AW26,Tributos!$B$24:$B$29,1)))/AW26),Tributos!$C$24)))</f>
        <v>0.1633</v>
      </c>
      <c r="AX27" s="108" t="n">
        <f aca="false">IF(Premissas!$B$16=3,Premissas!$B$17,IF(AX26&gt;Premissas!$B$18,Premissas!$B$17,IFERROR(MAX(Tributos!$C$24,(INDEX(Tributos!$C$24:$C$29,MATCH(AX26,Tributos!$B$24:$B$29,1))*AX26-INDEX(Tributos!$D$24:$D$29,MATCH(AX26,Tributos!$B$24:$B$29,1)))/AX26),Tributos!$C$24)))</f>
        <v>0.1633</v>
      </c>
      <c r="AY27" s="108" t="n">
        <f aca="false">IF(Premissas!$B$16=3,Premissas!$B$17,IF(AY26&gt;Premissas!$B$18,Premissas!$B$17,IFERROR(MAX(Tributos!$C$24,(INDEX(Tributos!$C$24:$C$29,MATCH(AY26,Tributos!$B$24:$B$29,1))*AY26-INDEX(Tributos!$D$24:$D$29,MATCH(AY26,Tributos!$B$24:$B$29,1)))/AY26),Tributos!$C$24)))</f>
        <v>0.1633</v>
      </c>
      <c r="AZ27" s="108" t="n">
        <f aca="false">IF(Premissas!$B$16=3,Premissas!$B$17,IF(AZ26&gt;Premissas!$B$18,Premissas!$B$17,IFERROR(MAX(Tributos!$C$24,(INDEX(Tributos!$C$24:$C$29,MATCH(AZ26,Tributos!$B$24:$B$29,1))*AZ26-INDEX(Tributos!$D$24:$D$29,MATCH(AZ26,Tributos!$B$24:$B$29,1)))/AZ26),Tributos!$C$24)))</f>
        <v>0.1633</v>
      </c>
      <c r="BA27" s="108" t="n">
        <f aca="false">IF(Premissas!$B$16=3,Premissas!$B$17,IF(BA26&gt;Premissas!$B$18,Premissas!$B$17,IFERROR(MAX(Tributos!$C$24,(INDEX(Tributos!$C$24:$C$29,MATCH(BA26,Tributos!$B$24:$B$29,1))*BA26-INDEX(Tributos!$D$24:$D$29,MATCH(BA26,Tributos!$B$24:$B$29,1)))/BA26),Tributos!$C$24)))</f>
        <v>0.1633</v>
      </c>
      <c r="BB27" s="108" t="n">
        <f aca="false">IF(Premissas!$B$16=3,Premissas!$B$17,IF(BB26&gt;Premissas!$B$18,Premissas!$B$17,IFERROR(MAX(Tributos!$C$24,(INDEX(Tributos!$C$24:$C$29,MATCH(BB26,Tributos!$B$24:$B$29,1))*BB26-INDEX(Tributos!$D$24:$D$29,MATCH(BB26,Tributos!$B$24:$B$29,1)))/BB26),Tributos!$C$24)))</f>
        <v>0.1633</v>
      </c>
      <c r="BC27" s="108" t="n">
        <f aca="false">IF(Premissas!$B$16=3,Premissas!$B$17,IF(BC26&gt;Premissas!$B$18,Premissas!$B$17,IFERROR(MAX(Tributos!$C$24,(INDEX(Tributos!$C$24:$C$29,MATCH(BC26,Tributos!$B$24:$B$29,1))*BC26-INDEX(Tributos!$D$24:$D$29,MATCH(BC26,Tributos!$B$24:$B$29,1)))/BC26),Tributos!$C$24)))</f>
        <v>0.1633</v>
      </c>
      <c r="BD27" s="108" t="n">
        <f aca="false">IF(Premissas!$B$16=3,Premissas!$B$17,IF(BD26&gt;Premissas!$B$18,Premissas!$B$17,IFERROR(MAX(Tributos!$C$24,(INDEX(Tributos!$C$24:$C$29,MATCH(BD26,Tributos!$B$24:$B$29,1))*BD26-INDEX(Tributos!$D$24:$D$29,MATCH(BD26,Tributos!$B$24:$B$29,1)))/BD26),Tributos!$C$24)))</f>
        <v>0.1633</v>
      </c>
      <c r="BE27" s="108" t="n">
        <f aca="false">IF(Premissas!$B$16=3,Premissas!$B$17,IF(BE26&gt;Premissas!$B$18,Premissas!$B$17,IFERROR(MAX(Tributos!$C$24,(INDEX(Tributos!$C$24:$C$29,MATCH(BE26,Tributos!$B$24:$B$29,1))*BE26-INDEX(Tributos!$D$24:$D$29,MATCH(BE26,Tributos!$B$24:$B$29,1)))/BE26),Tributos!$C$24)))</f>
        <v>0.1633</v>
      </c>
      <c r="BF27" s="108" t="n">
        <f aca="false">IF(Premissas!$B$16=3,Premissas!$B$17,IF(BF26&gt;Premissas!$B$18,Premissas!$B$17,IFERROR(MAX(Tributos!$C$24,(INDEX(Tributos!$C$24:$C$29,MATCH(BF26,Tributos!$B$24:$B$29,1))*BF26-INDEX(Tributos!$D$24:$D$29,MATCH(BF26,Tributos!$B$24:$B$29,1)))/BF26),Tributos!$C$24)))</f>
        <v>0.1633</v>
      </c>
      <c r="BG27" s="108" t="n">
        <f aca="false">IF(Premissas!$B$16=3,Premissas!$B$17,IF(BG26&gt;Premissas!$B$18,Premissas!$B$17,IFERROR(MAX(Tributos!$C$24,(INDEX(Tributos!$C$24:$C$29,MATCH(BG26,Tributos!$B$24:$B$29,1))*BG26-INDEX(Tributos!$D$24:$D$29,MATCH(BG26,Tributos!$B$24:$B$29,1)))/BG26),Tributos!$C$24)))</f>
        <v>0.1633</v>
      </c>
      <c r="BH27" s="108" t="n">
        <f aca="false">IF(Premissas!$B$16=3,Premissas!$B$17,IF(BH26&gt;Premissas!$B$18,Premissas!$B$17,IFERROR(MAX(Tributos!$C$24,(INDEX(Tributos!$C$24:$C$29,MATCH(BH26,Tributos!$B$24:$B$29,1))*BH26-INDEX(Tributos!$D$24:$D$29,MATCH(BH26,Tributos!$B$24:$B$29,1)))/BH26),Tributos!$C$24)))</f>
        <v>0.1633</v>
      </c>
      <c r="BI27" s="108" t="n">
        <f aca="false">IF(Premissas!$B$16=3,Premissas!$B$17,IF(BI26&gt;Premissas!$B$18,Premissas!$B$17,IFERROR(MAX(Tributos!$C$24,(INDEX(Tributos!$C$24:$C$29,MATCH(BI26,Tributos!$B$24:$B$29,1))*BI26-INDEX(Tributos!$D$24:$D$29,MATCH(BI26,Tributos!$B$24:$B$29,1)))/BI26),Tributos!$C$24)))</f>
        <v>0.1633</v>
      </c>
      <c r="BJ27" s="109" t="n">
        <f aca="false">IFERROR(-BJ28/BJ25,0)</f>
        <v>0.15956441250322</v>
      </c>
      <c r="BK27" s="14" t="s">
        <v>353</v>
      </c>
    </row>
    <row r="28" customFormat="false" ht="15" hidden="false" customHeight="false" outlineLevel="0" collapsed="false">
      <c r="A28" s="12" t="s">
        <v>236</v>
      </c>
      <c r="B28" s="84" t="n">
        <f aca="false">-B25*B27</f>
        <v>-0</v>
      </c>
      <c r="C28" s="84" t="n">
        <f aca="false">-C25*C27</f>
        <v>-0</v>
      </c>
      <c r="D28" s="84" t="n">
        <f aca="false">-D25*D27</f>
        <v>-0</v>
      </c>
      <c r="E28" s="84" t="n">
        <f aca="false">-E25*E27</f>
        <v>-0</v>
      </c>
      <c r="F28" s="84" t="n">
        <f aca="false">-F25*F27</f>
        <v>-0</v>
      </c>
      <c r="G28" s="84" t="n">
        <f aca="false">-G25*G27</f>
        <v>-0</v>
      </c>
      <c r="H28" s="84" t="n">
        <f aca="false">-H25*H27</f>
        <v>-0</v>
      </c>
      <c r="I28" s="84" t="n">
        <f aca="false">-I25*I27</f>
        <v>-0</v>
      </c>
      <c r="J28" s="84" t="n">
        <f aca="false">-J25*J27</f>
        <v>-0</v>
      </c>
      <c r="K28" s="84" t="n">
        <f aca="false">-K25*K27</f>
        <v>-524.844</v>
      </c>
      <c r="L28" s="84" t="n">
        <f aca="false">-L25*L27</f>
        <v>-999.486</v>
      </c>
      <c r="M28" s="84" t="n">
        <f aca="false">-M25*M27</f>
        <v>-1425.102</v>
      </c>
      <c r="N28" s="84" t="n">
        <f aca="false">-N25*N27</f>
        <v>-2562.03890295</v>
      </c>
      <c r="O28" s="84" t="n">
        <f aca="false">-O25*O27</f>
        <v>-3172.73927106975</v>
      </c>
      <c r="P28" s="84" t="n">
        <f aca="false">-P25*P27</f>
        <v>-3718.12262971812</v>
      </c>
      <c r="Q28" s="84" t="n">
        <f aca="false">-Q25*Q27</f>
        <v>-4689.44585158263</v>
      </c>
      <c r="R28" s="84" t="n">
        <f aca="false">-R25*R27</f>
        <v>-6079.48178091147</v>
      </c>
      <c r="S28" s="84" t="n">
        <f aca="false">-S25*S27</f>
        <v>-7234.41664505643</v>
      </c>
      <c r="T28" s="84" t="n">
        <f aca="false">-T25*T27</f>
        <v>-8595.41986646506</v>
      </c>
      <c r="U28" s="84" t="n">
        <f aca="false">-U25*U27</f>
        <v>-9787.90057336922</v>
      </c>
      <c r="V28" s="84" t="n">
        <f aca="false">-V25*V27</f>
        <v>-10818.2875916281</v>
      </c>
      <c r="W28" s="84" t="n">
        <f aca="false">-W25*W27</f>
        <v>-11742.0523613657</v>
      </c>
      <c r="X28" s="84" t="n">
        <f aca="false">-X25*X27</f>
        <v>-12832.8193460476</v>
      </c>
      <c r="Y28" s="84" t="n">
        <f aca="false">-Y25*Y27</f>
        <v>-13769.1374010052</v>
      </c>
      <c r="Z28" s="84" t="n">
        <f aca="false">-Z25*Z27</f>
        <v>-20165.9992700204</v>
      </c>
      <c r="AA28" s="84" t="n">
        <f aca="false">-AA25*AA27</f>
        <v>-23444.8282180068</v>
      </c>
      <c r="AB28" s="84" t="n">
        <f aca="false">-AB25*AB27</f>
        <v>-26540.4568981385</v>
      </c>
      <c r="AC28" s="84" t="n">
        <f aca="false">-AC25*AC27</f>
        <v>-29433.4721217838</v>
      </c>
      <c r="AD28" s="84" t="n">
        <f aca="false">-AD25*AD27</f>
        <v>-32126.3769550313</v>
      </c>
      <c r="AE28" s="84" t="n">
        <f aca="false">-AE25*AE27</f>
        <v>-34613.5742929723</v>
      </c>
      <c r="AF28" s="84" t="n">
        <f aca="false">-AF25*AF27</f>
        <v>-37366.5427320991</v>
      </c>
      <c r="AG28" s="84" t="n">
        <f aca="false">-AG25*AG27</f>
        <v>-40609.7745446382</v>
      </c>
      <c r="AH28" s="84" t="n">
        <f aca="false">-AH25*AH27</f>
        <v>-43611.4684824606</v>
      </c>
      <c r="AI28" s="84" t="n">
        <f aca="false">-AI25*AI27</f>
        <v>-46392.3867531807</v>
      </c>
      <c r="AJ28" s="84" t="n">
        <f aca="false">-AJ25*AJ27</f>
        <v>-48958.5396223929</v>
      </c>
      <c r="AK28" s="84" t="n">
        <f aca="false">-AK25*AK27</f>
        <v>-51320.9531164498</v>
      </c>
      <c r="AL28" s="84" t="n">
        <f aca="false">-AL25*AL27</f>
        <v>-70921.2655741213</v>
      </c>
      <c r="AM28" s="84" t="n">
        <f aca="false">-AM25*AM27</f>
        <v>-77934.4367363072</v>
      </c>
      <c r="AN28" s="84" t="n">
        <f aca="false">-AN25*AN27</f>
        <v>-84495.204333762</v>
      </c>
      <c r="AO28" s="84" t="n">
        <f aca="false">-AO25*AO27</f>
        <v>-81565.0373800237</v>
      </c>
      <c r="AP28" s="84" t="n">
        <f aca="false">-AP25*AP27</f>
        <v>-92130.8809858527</v>
      </c>
      <c r="AQ28" s="84" t="n">
        <f aca="false">-AQ25*AQ27</f>
        <v>-102155.5575903</v>
      </c>
      <c r="AR28" s="84" t="n">
        <f aca="false">-AR25*AR27</f>
        <v>-111646.343816277</v>
      </c>
      <c r="AS28" s="84" t="n">
        <f aca="false">-AS25*AS27</f>
        <v>-97987.8028785954</v>
      </c>
      <c r="AT28" s="84" t="n">
        <f aca="false">-AT25*AT27</f>
        <v>-100837.163304602</v>
      </c>
      <c r="AU28" s="84" t="n">
        <f aca="false">-AU25*AU27</f>
        <v>-103446.520810245</v>
      </c>
      <c r="AV28" s="84" t="n">
        <f aca="false">-AV25*AV27</f>
        <v>-105839.934021449</v>
      </c>
      <c r="AW28" s="84" t="n">
        <f aca="false">-AW25*AW27</f>
        <v>-108030.148529272</v>
      </c>
      <c r="AX28" s="84" t="n">
        <f aca="false">-AX25*AX27</f>
        <v>-135581.173370325</v>
      </c>
      <c r="AY28" s="84" t="n">
        <f aca="false">-AY25*AY27</f>
        <v>-142699.24005682</v>
      </c>
      <c r="AZ28" s="84" t="n">
        <f aca="false">-AZ25*AZ27</f>
        <v>-149253.152837143</v>
      </c>
      <c r="BA28" s="84" t="n">
        <f aca="false">-BA25*BA27</f>
        <v>-155274.188005157</v>
      </c>
      <c r="BB28" s="84" t="n">
        <f aca="false">-BB25*BB27</f>
        <v>-160804.975769846</v>
      </c>
      <c r="BC28" s="84" t="n">
        <f aca="false">-BC25*BC27</f>
        <v>-165907.316217386</v>
      </c>
      <c r="BD28" s="84" t="n">
        <f aca="false">-BD25*BD27</f>
        <v>-170596.012083355</v>
      </c>
      <c r="BE28" s="84" t="n">
        <f aca="false">-BE25*BE27</f>
        <v>-174912.891672808</v>
      </c>
      <c r="BF28" s="84" t="n">
        <f aca="false">-BF25*BF27</f>
        <v>-178891.737602041</v>
      </c>
      <c r="BG28" s="84" t="n">
        <f aca="false">-BG25*BG27</f>
        <v>-182534.995560258</v>
      </c>
      <c r="BH28" s="84" t="n">
        <f aca="false">-BH25*BH27</f>
        <v>-185891.609149144</v>
      </c>
      <c r="BI28" s="84" t="n">
        <f aca="false">-BI25*BI27</f>
        <v>-188994.797552496</v>
      </c>
      <c r="BJ28" s="69" t="n">
        <f aca="false">SUM(B28:BI28)</f>
        <v>-3660868.05306593</v>
      </c>
    </row>
    <row r="29" customFormat="false" ht="15" hidden="false" customHeight="false" outlineLevel="0" collapsed="false">
      <c r="A29" s="12" t="s">
        <v>204</v>
      </c>
      <c r="B29" s="84" t="n">
        <f aca="false">-B22*Premissas!$B$53*INDEX(Premissas!$C$54:$G$54,B$7)</f>
        <v>-0</v>
      </c>
      <c r="C29" s="84" t="n">
        <f aca="false">-C22*Premissas!$B$53*INDEX(Premissas!$C$54:$G$54,C$7)</f>
        <v>-0</v>
      </c>
      <c r="D29" s="84" t="n">
        <f aca="false">-D22*Premissas!$B$53*INDEX(Premissas!$C$54:$G$54,D$7)</f>
        <v>-0</v>
      </c>
      <c r="E29" s="84" t="n">
        <f aca="false">-E22*Premissas!$B$53*INDEX(Premissas!$C$54:$G$54,E$7)</f>
        <v>-0</v>
      </c>
      <c r="F29" s="84" t="n">
        <f aca="false">-F22*Premissas!$B$53*INDEX(Premissas!$C$54:$G$54,F$7)</f>
        <v>-0</v>
      </c>
      <c r="G29" s="84" t="n">
        <f aca="false">-G22*Premissas!$B$53*INDEX(Premissas!$C$54:$G$54,G$7)</f>
        <v>-0</v>
      </c>
      <c r="H29" s="84" t="n">
        <f aca="false">-H22*Premissas!$B$53*INDEX(Premissas!$C$54:$G$54,H$7)</f>
        <v>-0</v>
      </c>
      <c r="I29" s="84" t="n">
        <f aca="false">-I22*Premissas!$B$53*INDEX(Premissas!$C$54:$G$54,I$7)</f>
        <v>-0</v>
      </c>
      <c r="J29" s="84" t="n">
        <f aca="false">-J22*Premissas!$B$53*INDEX(Premissas!$C$54:$G$54,J$7)</f>
        <v>-0</v>
      </c>
      <c r="K29" s="84" t="n">
        <f aca="false">-K22*Premissas!$B$53*INDEX(Premissas!$C$54:$G$54,K$7)</f>
        <v>-1115.2935</v>
      </c>
      <c r="L29" s="84" t="n">
        <f aca="false">-L22*Premissas!$B$53*INDEX(Premissas!$C$54:$G$54,L$7)</f>
        <v>-2123.90775</v>
      </c>
      <c r="M29" s="84" t="n">
        <f aca="false">-M22*Premissas!$B$53*INDEX(Premissas!$C$54:$G$54,M$7)</f>
        <v>-3028.34175</v>
      </c>
      <c r="N29" s="84" t="n">
        <f aca="false">-N22*Premissas!$B$53*INDEX(Premissas!$C$54:$G$54,N$7)</f>
        <v>-4873.11924</v>
      </c>
      <c r="O29" s="84" t="n">
        <f aca="false">-O22*Premissas!$B$53*INDEX(Premissas!$C$54:$G$54,O$7)</f>
        <v>-6035.20104</v>
      </c>
      <c r="P29" s="84" t="n">
        <f aca="false">-P22*Premissas!$B$53*INDEX(Premissas!$C$54:$G$54,P$7)</f>
        <v>-7072.28412</v>
      </c>
      <c r="Q29" s="84" t="n">
        <f aca="false">-Q22*Premissas!$B$53*INDEX(Premissas!$C$54:$G$54,Q$7)</f>
        <v>-8021.93832</v>
      </c>
      <c r="R29" s="84" t="n">
        <f aca="false">-R22*Premissas!$B$53*INDEX(Premissas!$C$54:$G$54,R$7)</f>
        <v>-8871.59856</v>
      </c>
      <c r="S29" s="84" t="n">
        <f aca="false">-S22*Premissas!$B$53*INDEX(Premissas!$C$54:$G$54,S$7)</f>
        <v>-9643.79922</v>
      </c>
      <c r="T29" s="84" t="n">
        <f aca="false">-T22*Premissas!$B$53*INDEX(Premissas!$C$54:$G$54,T$7)</f>
        <v>-10343.53122</v>
      </c>
      <c r="U29" s="84" t="n">
        <f aca="false">-U22*Premissas!$B$53*INDEX(Premissas!$C$54:$G$54,U$7)</f>
        <v>-10983.30948</v>
      </c>
      <c r="V29" s="84" t="n">
        <f aca="false">-V22*Premissas!$B$53*INDEX(Premissas!$C$54:$G$54,V$7)</f>
        <v>-11558.09292</v>
      </c>
      <c r="W29" s="84" t="n">
        <f aca="false">-W22*Premissas!$B$53*INDEX(Premissas!$C$54:$G$54,W$7)</f>
        <v>-12072.87246</v>
      </c>
      <c r="X29" s="84" t="n">
        <f aca="false">-X22*Premissas!$B$53*INDEX(Premissas!$C$54:$G$54,X$7)</f>
        <v>-12542.6961</v>
      </c>
      <c r="Y29" s="84" t="n">
        <f aca="false">-Y22*Premissas!$B$53*INDEX(Premissas!$C$54:$G$54,Y$7)</f>
        <v>-12970.04676</v>
      </c>
      <c r="Z29" s="84" t="n">
        <f aca="false">-Z22*Premissas!$B$53*INDEX(Premissas!$C$54:$G$54,Z$7)</f>
        <v>-16989.462864</v>
      </c>
      <c r="AA29" s="84" t="n">
        <f aca="false">-AA22*Premissas!$B$53*INDEX(Premissas!$C$54:$G$54,AA$7)</f>
        <v>-19176.193785375</v>
      </c>
      <c r="AB29" s="84" t="n">
        <f aca="false">-AB22*Premissas!$B$53*INDEX(Premissas!$C$54:$G$54,AB$7)</f>
        <v>-21169.4806681875</v>
      </c>
      <c r="AC29" s="84" t="n">
        <f aca="false">-AC22*Premissas!$B$53*INDEX(Premissas!$C$54:$G$54,AC$7)</f>
        <v>-22981.5596525625</v>
      </c>
      <c r="AD29" s="84" t="n">
        <f aca="false">-AD22*Premissas!$B$53*INDEX(Premissas!$C$54:$G$54,AD$7)</f>
        <v>-24634.4828183437</v>
      </c>
      <c r="AE29" s="84" t="n">
        <f aca="false">-AE22*Premissas!$B$53*INDEX(Premissas!$C$54:$G$54,AE$7)</f>
        <v>-26135.5721931562</v>
      </c>
      <c r="AF29" s="84" t="n">
        <f aca="false">-AF22*Premissas!$B$53*INDEX(Premissas!$C$54:$G$54,AF$7)</f>
        <v>-27499.520973375</v>
      </c>
      <c r="AG29" s="84" t="n">
        <f aca="false">-AG22*Premissas!$B$53*INDEX(Premissas!$C$54:$G$54,AG$7)</f>
        <v>-28745.9487531562</v>
      </c>
      <c r="AH29" s="84" t="n">
        <f aca="false">-AH22*Premissas!$B$53*INDEX(Premissas!$C$54:$G$54,AH$7)</f>
        <v>-29874.806391375</v>
      </c>
      <c r="AI29" s="84" t="n">
        <f aca="false">-AI22*Premissas!$B$53*INDEX(Premissas!$C$54:$G$54,AI$7)</f>
        <v>-30905.73805275</v>
      </c>
      <c r="AJ29" s="84" t="n">
        <f aca="false">-AJ22*Premissas!$B$53*INDEX(Premissas!$C$54:$G$54,AJ$7)</f>
        <v>-31843.6209939375</v>
      </c>
      <c r="AK29" s="84" t="n">
        <f aca="false">-AK22*Premissas!$B$53*INDEX(Premissas!$C$54:$G$54,AK$7)</f>
        <v>-32695.7895278437</v>
      </c>
      <c r="AL29" s="84" t="n">
        <f aca="false">-AL22*Premissas!$B$53*INDEX(Premissas!$C$54:$G$54,AL$7)</f>
        <v>-41725.073714549</v>
      </c>
      <c r="AM29" s="84" t="n">
        <f aca="false">-AM22*Premissas!$B$53*INDEX(Premissas!$C$54:$G$54,AM$7)</f>
        <v>-44941.3121285271</v>
      </c>
      <c r="AN29" s="84" t="n">
        <f aca="false">-AN22*Premissas!$B$53*INDEX(Premissas!$C$54:$G$54,AN$7)</f>
        <v>-47882.367004324</v>
      </c>
      <c r="AO29" s="84" t="n">
        <f aca="false">-AO22*Premissas!$B$53*INDEX(Premissas!$C$54:$G$54,AO$7)</f>
        <v>-50572.8012580807</v>
      </c>
      <c r="AP29" s="84" t="n">
        <f aca="false">-AP22*Premissas!$B$53*INDEX(Premissas!$C$54:$G$54,AP$7)</f>
        <v>-53042.1199681923</v>
      </c>
      <c r="AQ29" s="84" t="n">
        <f aca="false">-AQ22*Premissas!$B$53*INDEX(Premissas!$C$54:$G$54,AQ$7)</f>
        <v>-55290.2738362821</v>
      </c>
      <c r="AR29" s="84" t="n">
        <f aca="false">-AR22*Premissas!$B$53*INDEX(Premissas!$C$54:$G$54,AR$7)</f>
        <v>-57356.6522652535</v>
      </c>
      <c r="AS29" s="84" t="n">
        <f aca="false">-AS22*Premissas!$B$53*INDEX(Premissas!$C$54:$G$54,AS$7)</f>
        <v>-59241.1813075417</v>
      </c>
      <c r="AT29" s="84" t="n">
        <f aca="false">-AT22*Premissas!$B$53*INDEX(Premissas!$C$54:$G$54,AT$7)</f>
        <v>-60963.5310154101</v>
      </c>
      <c r="AU29" s="84" t="n">
        <f aca="false">-AU22*Premissas!$B$53*INDEX(Premissas!$C$54:$G$54,AU$7)</f>
        <v>-62540.9311714803</v>
      </c>
      <c r="AV29" s="84" t="n">
        <f aca="false">-AV22*Premissas!$B$53*INDEX(Premissas!$C$54:$G$54,AV$7)</f>
        <v>-63988.1219903557</v>
      </c>
      <c r="AW29" s="84" t="n">
        <f aca="false">-AW22*Premissas!$B$53*INDEX(Premissas!$C$54:$G$54,AW$7)</f>
        <v>-65312.461254744</v>
      </c>
      <c r="AX29" s="84" t="n">
        <f aca="false">-AX22*Premissas!$B$53*INDEX(Premissas!$C$54:$G$54,AX$7)</f>
        <v>-79271.2542831528</v>
      </c>
      <c r="AY29" s="84" t="n">
        <f aca="false">-AY22*Premissas!$B$53*INDEX(Premissas!$C$54:$G$54,AY$7)</f>
        <v>-83433.1823599293</v>
      </c>
      <c r="AZ29" s="84" t="n">
        <f aca="false">-AZ22*Premissas!$B$53*INDEX(Premissas!$C$54:$G$54,AZ$7)</f>
        <v>-87265.5585176823</v>
      </c>
      <c r="BA29" s="84" t="n">
        <f aca="false">-BA22*Premissas!$B$53*INDEX(Premissas!$C$54:$G$54,BA$7)</f>
        <v>-90785.8376511693</v>
      </c>
      <c r="BB29" s="84" t="n">
        <f aca="false">-BB22*Premissas!$B$53*INDEX(Premissas!$C$54:$G$54,BB$7)</f>
        <v>-94018.9875223315</v>
      </c>
      <c r="BC29" s="84" t="n">
        <f aca="false">-BC22*Premissas!$B$53*INDEX(Premissas!$C$54:$G$54,BC$7)</f>
        <v>-97002.4973384168</v>
      </c>
      <c r="BD29" s="84" t="n">
        <f aca="false">-BD22*Premissas!$B$53*INDEX(Premissas!$C$54:$G$54,BD$7)</f>
        <v>-99743.8173593825</v>
      </c>
      <c r="BE29" s="84" t="n">
        <f aca="false">-BE22*Premissas!$B$53*INDEX(Premissas!$C$54:$G$54,BE$7)</f>
        <v>-102267.940390061</v>
      </c>
      <c r="BF29" s="84" t="n">
        <f aca="false">-BF22*Premissas!$B$53*INDEX(Premissas!$C$54:$G$54,BF$7)</f>
        <v>-104594.838135715</v>
      </c>
      <c r="BG29" s="84" t="n">
        <f aca="false">-BG22*Premissas!$B$53*INDEX(Premissas!$C$54:$G$54,BG$7)</f>
        <v>-106724.47303201</v>
      </c>
      <c r="BH29" s="84" t="n">
        <f aca="false">-BH22*Premissas!$B$53*INDEX(Premissas!$C$54:$G$54,BH$7)</f>
        <v>-108686.833940454</v>
      </c>
      <c r="BI29" s="84" t="n">
        <f aca="false">-BI22*Premissas!$B$53*INDEX(Premissas!$C$54:$G$54,BI$7)</f>
        <v>-110501.917609203</v>
      </c>
      <c r="BJ29" s="69" t="n">
        <f aca="false">SUM(B29:BI29)</f>
        <v>-2261062.17416831</v>
      </c>
    </row>
    <row r="30" customFormat="false" ht="15" hidden="false" customHeight="false" outlineLevel="0" collapsed="false">
      <c r="A30" s="12" t="s">
        <v>206</v>
      </c>
      <c r="B30" s="84" t="n">
        <f aca="false">-(B22*(1-INDEX(Premissas!$C$54:$G$54,B$7))+B23)*Premissas!$B$55</f>
        <v>-0</v>
      </c>
      <c r="C30" s="84" t="n">
        <f aca="false">-(C22*(1-INDEX(Premissas!$C$54:$G$54,C$7))+C23)*Premissas!$B$55</f>
        <v>-0</v>
      </c>
      <c r="D30" s="84" t="n">
        <f aca="false">-(D22*(1-INDEX(Premissas!$C$54:$G$54,D$7))+D23)*Premissas!$B$55</f>
        <v>-0</v>
      </c>
      <c r="E30" s="84" t="n">
        <f aca="false">-(E22*(1-INDEX(Premissas!$C$54:$G$54,E$7))+E23)*Premissas!$B$55</f>
        <v>-0</v>
      </c>
      <c r="F30" s="84" t="n">
        <f aca="false">-(F22*(1-INDEX(Premissas!$C$54:$G$54,F$7))+F23)*Premissas!$B$55</f>
        <v>-0</v>
      </c>
      <c r="G30" s="84" t="n">
        <f aca="false">-(G22*(1-INDEX(Premissas!$C$54:$G$54,G$7))+G23)*Premissas!$B$55</f>
        <v>-0</v>
      </c>
      <c r="H30" s="84" t="n">
        <f aca="false">-(H22*(1-INDEX(Premissas!$C$54:$G$54,H$7))+H23)*Premissas!$B$55</f>
        <v>-0</v>
      </c>
      <c r="I30" s="84" t="n">
        <f aca="false">-(I22*(1-INDEX(Premissas!$C$54:$G$54,I$7))+I23)*Premissas!$B$55</f>
        <v>-0</v>
      </c>
      <c r="J30" s="84" t="n">
        <f aca="false">-(J22*(1-INDEX(Premissas!$C$54:$G$54,J$7))+J23)*Premissas!$B$55</f>
        <v>-0</v>
      </c>
      <c r="K30" s="84" t="n">
        <f aca="false">-(K22*(1-INDEX(Premissas!$C$54:$G$54,K$7))+K23)*Premissas!$B$55</f>
        <v>-59.04495</v>
      </c>
      <c r="L30" s="84" t="n">
        <f aca="false">-(L22*(1-INDEX(Premissas!$C$54:$G$54,L$7))+L23)*Premissas!$B$55</f>
        <v>-112.442175</v>
      </c>
      <c r="M30" s="84" t="n">
        <f aca="false">-(M22*(1-INDEX(Premissas!$C$54:$G$54,M$7))+M23)*Premissas!$B$55</f>
        <v>-160.323975</v>
      </c>
      <c r="N30" s="84" t="n">
        <f aca="false">-(N22*(1-INDEX(Premissas!$C$54:$G$54,N$7))+N23)*Premissas!$B$55</f>
        <v>-459.5934052125</v>
      </c>
      <c r="O30" s="84" t="n">
        <f aca="false">-(O22*(1-INDEX(Premissas!$C$54:$G$54,O$7))+O23)*Premissas!$B$55</f>
        <v>-568.994141302312</v>
      </c>
      <c r="P30" s="84" t="n">
        <f aca="false">-(P22*(1-INDEX(Premissas!$C$54:$G$54,P$7))+P23)*Premissas!$B$55</f>
        <v>-666.906736288593</v>
      </c>
      <c r="Q30" s="84" t="n">
        <f aca="false">-(Q22*(1-INDEX(Premissas!$C$54:$G$54,Q$7))+Q23)*Premissas!$B$55</f>
        <v>-756.349685696176</v>
      </c>
      <c r="R30" s="84" t="n">
        <f aca="false">-(R22*(1-INDEX(Premissas!$C$54:$G$54,R$7))+R23)*Premissas!$B$55</f>
        <v>-836.56229408504</v>
      </c>
      <c r="S30" s="84" t="n">
        <f aca="false">-(S22*(1-INDEX(Premissas!$C$54:$G$54,S$7))+S23)*Premissas!$B$55</f>
        <v>-909.399065386961</v>
      </c>
      <c r="T30" s="84" t="n">
        <f aca="false">-(T22*(1-INDEX(Premissas!$C$54:$G$54,T$7))+T23)*Premissas!$B$55</f>
        <v>-975.383123617699</v>
      </c>
      <c r="U30" s="84" t="n">
        <f aca="false">-(U22*(1-INDEX(Premissas!$C$54:$G$54,U$7))+U23)*Premissas!$B$55</f>
        <v>-1035.58775631652</v>
      </c>
      <c r="V30" s="84" t="n">
        <f aca="false">-(V22*(1-INDEX(Premissas!$C$54:$G$54,V$7))+V23)*Premissas!$B$55</f>
        <v>-1089.75675751145</v>
      </c>
      <c r="W30" s="84" t="n">
        <f aca="false">-(W22*(1-INDEX(Premissas!$C$54:$G$54,W$7))+W23)*Premissas!$B$55</f>
        <v>-1138.37474310286</v>
      </c>
      <c r="X30" s="84" t="n">
        <f aca="false">-(X22*(1-INDEX(Premissas!$C$54:$G$54,X$7))+X23)*Premissas!$B$55</f>
        <v>-1182.67013178559</v>
      </c>
      <c r="Y30" s="84" t="n">
        <f aca="false">-(Y22*(1-INDEX(Premissas!$C$54:$G$54,Y$7))+Y23)*Premissas!$B$55</f>
        <v>-1222.91947847846</v>
      </c>
      <c r="Z30" s="84" t="n">
        <f aca="false">-(Z22*(1-INDEX(Premissas!$C$54:$G$54,Z$7))+Z23)*Premissas!$B$55</f>
        <v>-2184.67717647566</v>
      </c>
      <c r="AA30" s="84" t="n">
        <f aca="false">-(AA22*(1-INDEX(Premissas!$C$54:$G$54,AA$7))+AA23)*Premissas!$B$55</f>
        <v>-2465.94698850635</v>
      </c>
      <c r="AB30" s="84" t="n">
        <f aca="false">-(AB22*(1-INDEX(Premissas!$C$54:$G$54,AB$7))+AB23)*Premissas!$B$55</f>
        <v>-2722.23869189041</v>
      </c>
      <c r="AC30" s="84" t="n">
        <f aca="false">-(AC22*(1-INDEX(Premissas!$C$54:$G$54,AC$7))+AC23)*Premissas!$B$55</f>
        <v>-2955.28293407146</v>
      </c>
      <c r="AD30" s="84" t="n">
        <f aca="false">-(AD22*(1-INDEX(Premissas!$C$54:$G$54,AD$7))+AD23)*Premissas!$B$55</f>
        <v>-3167.74632345621</v>
      </c>
      <c r="AE30" s="84" t="n">
        <f aca="false">-(AE22*(1-INDEX(Premissas!$C$54:$G$54,AE$7))+AE23)*Premissas!$B$55</f>
        <v>-3360.7809371915</v>
      </c>
      <c r="AF30" s="84" t="n">
        <f aca="false">-(AF22*(1-INDEX(Premissas!$C$54:$G$54,AF$7))+AF23)*Premissas!$B$55</f>
        <v>-3536.23818060454</v>
      </c>
      <c r="AG30" s="84" t="n">
        <f aca="false">-(AG22*(1-INDEX(Premissas!$C$54:$G$54,AG$7))+AG23)*Premissas!$B$55</f>
        <v>-3696.42771108863</v>
      </c>
      <c r="AH30" s="84" t="n">
        <f aca="false">-(AH22*(1-INDEX(Premissas!$C$54:$G$54,AH$7))+AH23)*Premissas!$B$55</f>
        <v>-3841.66101969094</v>
      </c>
      <c r="AI30" s="84" t="n">
        <f aca="false">-(AI22*(1-INDEX(Premissas!$C$54:$G$54,AI$7))+AI23)*Premissas!$B$55</f>
        <v>-3974.19045157863</v>
      </c>
      <c r="AJ30" s="84" t="n">
        <f aca="false">-(AJ22*(1-INDEX(Premissas!$C$54:$G$54,AJ$7))+AJ23)*Premissas!$B$55</f>
        <v>-4094.76574753005</v>
      </c>
      <c r="AK30" s="84" t="n">
        <f aca="false">-(AK22*(1-INDEX(Premissas!$C$54:$G$54,AK$7))+AK23)*Premissas!$B$55</f>
        <v>-4204.35877258841</v>
      </c>
      <c r="AL30" s="84" t="n">
        <f aca="false">-(AL22*(1-INDEX(Premissas!$C$54:$G$54,AL$7))+AL23)*Premissas!$B$55</f>
        <v>-6501.04292289049</v>
      </c>
      <c r="AM30" s="84" t="n">
        <f aca="false">-(AM22*(1-INDEX(Premissas!$C$54:$G$54,AM$7))+AM23)*Premissas!$B$55</f>
        <v>-7002.05573707819</v>
      </c>
      <c r="AN30" s="84" t="n">
        <f aca="false">-(AN22*(1-INDEX(Premissas!$C$54:$G$54,AN$7))+AN23)*Premissas!$B$55</f>
        <v>-7460.27208021075</v>
      </c>
      <c r="AO30" s="84" t="n">
        <f aca="false">-(AO22*(1-INDEX(Premissas!$C$54:$G$54,AO$7))+AO23)*Premissas!$B$55</f>
        <v>-7879.46642245733</v>
      </c>
      <c r="AP30" s="84" t="n">
        <f aca="false">-(AP22*(1-INDEX(Premissas!$C$54:$G$54,AP$7))+AP23)*Premissas!$B$55</f>
        <v>-8263.91257187077</v>
      </c>
      <c r="AQ30" s="84" t="n">
        <f aca="false">-(AQ22*(1-INDEX(Premissas!$C$54:$G$54,AQ$7))+AQ23)*Premissas!$B$55</f>
        <v>-8614.36564422347</v>
      </c>
      <c r="AR30" s="84" t="n">
        <f aca="false">-(AR22*(1-INDEX(Premissas!$C$54:$G$54,AR$7))+AR23)*Premissas!$B$55</f>
        <v>-8936.11726338761</v>
      </c>
      <c r="AS30" s="84" t="n">
        <f aca="false">-(AS22*(1-INDEX(Premissas!$C$54:$G$54,AS$7))+AS23)*Premissas!$B$55</f>
        <v>-9229.79581923039</v>
      </c>
      <c r="AT30" s="84" t="n">
        <f aca="false">-(AT22*(1-INDEX(Premissas!$C$54:$G$54,AT$7))+AT23)*Premissas!$B$55</f>
        <v>-9498.27902181357</v>
      </c>
      <c r="AU30" s="84" t="n">
        <f aca="false">-(AU22*(1-INDEX(Premissas!$C$54:$G$54,AU$7))+AU23)*Premissas!$B$55</f>
        <v>-9744.11033907042</v>
      </c>
      <c r="AV30" s="84" t="n">
        <f aca="false">-(AV22*(1-INDEX(Premissas!$C$54:$G$54,AV$7))+AV23)*Premissas!$B$55</f>
        <v>-9969.49745656875</v>
      </c>
      <c r="AW30" s="84" t="n">
        <f aca="false">-(AW22*(1-INDEX(Premissas!$C$54:$G$54,AW$7))+AW23)*Premissas!$B$55</f>
        <v>-10175.7452966767</v>
      </c>
      <c r="AX30" s="84" t="n">
        <f aca="false">-(AX22*(1-INDEX(Premissas!$C$54:$G$54,AX$7))+AX23)*Premissas!$B$55</f>
        <v>-13580.2452806674</v>
      </c>
      <c r="AY30" s="84" t="n">
        <f aca="false">-(AY22*(1-INDEX(Premissas!$C$54:$G$54,AY$7))+AY23)*Premissas!$B$55</f>
        <v>-14293.1671692834</v>
      </c>
      <c r="AZ30" s="84" t="n">
        <f aca="false">-(AZ22*(1-INDEX(Premissas!$C$54:$G$54,AZ$7))+AZ23)*Premissas!$B$55</f>
        <v>-14949.4927488682</v>
      </c>
      <c r="BA30" s="84" t="n">
        <f aca="false">-(BA22*(1-INDEX(Premissas!$C$54:$G$54,BA$7))+BA23)*Premissas!$B$55</f>
        <v>-15552.6042480175</v>
      </c>
      <c r="BB30" s="84" t="n">
        <f aca="false">-(BB22*(1-INDEX(Premissas!$C$54:$G$54,BB$7))+BB23)*Premissas!$B$55</f>
        <v>-16106.7587931662</v>
      </c>
      <c r="BC30" s="84" t="n">
        <f aca="false">-(BC22*(1-INDEX(Premissas!$C$54:$G$54,BC$7))+BC23)*Premissas!$B$55</f>
        <v>-16617.7396520107</v>
      </c>
      <c r="BD30" s="84" t="n">
        <f aca="false">-(BD22*(1-INDEX(Premissas!$C$54:$G$54,BD$7))+BD23)*Premissas!$B$55</f>
        <v>-17087.3908837406</v>
      </c>
      <c r="BE30" s="84" t="n">
        <f aca="false">-(BE22*(1-INDEX(Premissas!$C$54:$G$54,BE$7))+BE23)*Premissas!$B$55</f>
        <v>-17519.7411241107</v>
      </c>
      <c r="BF30" s="84" t="n">
        <f aca="false">-(BF22*(1-INDEX(Premissas!$C$54:$G$54,BF$7))+BF23)*Premissas!$B$55</f>
        <v>-17918.1082169209</v>
      </c>
      <c r="BG30" s="84" t="n">
        <f aca="false">-(BG22*(1-INDEX(Premissas!$C$54:$G$54,BG$7))+BG23)*Premissas!$B$55</f>
        <v>-18283.1773813439</v>
      </c>
      <c r="BH30" s="84" t="n">
        <f aca="false">-(BH22*(1-INDEX(Premissas!$C$54:$G$54,BH$7))+BH23)*Premissas!$B$55</f>
        <v>-18619.4391731085</v>
      </c>
      <c r="BI30" s="84" t="n">
        <f aca="false">-(BI22*(1-INDEX(Premissas!$C$54:$G$54,BI$7))+BI23)*Premissas!$B$55</f>
        <v>-18930.0486600579</v>
      </c>
      <c r="BJ30" s="69" t="n">
        <f aca="false">SUM(B30:BI30)</f>
        <v>-354111.197260231</v>
      </c>
    </row>
    <row r="31" customFormat="false" ht="15" hidden="false" customHeight="false" outlineLevel="0" collapsed="false">
      <c r="A31" s="34" t="s">
        <v>300</v>
      </c>
      <c r="B31" s="69" t="n">
        <f aca="false">B25+SUM(B28:B30)</f>
        <v>0</v>
      </c>
      <c r="C31" s="69" t="n">
        <f aca="false">C25+SUM(C28:C30)</f>
        <v>0</v>
      </c>
      <c r="D31" s="69" t="n">
        <f aca="false">D25+SUM(D28:D30)</f>
        <v>0</v>
      </c>
      <c r="E31" s="69" t="n">
        <f aca="false">E25+SUM(E28:E30)</f>
        <v>0</v>
      </c>
      <c r="F31" s="69" t="n">
        <f aca="false">F25+SUM(F28:F30)</f>
        <v>0</v>
      </c>
      <c r="G31" s="69" t="n">
        <f aca="false">G25+SUM(G28:G30)</f>
        <v>0</v>
      </c>
      <c r="H31" s="69" t="n">
        <f aca="false">H25+SUM(H28:H30)</f>
        <v>0</v>
      </c>
      <c r="I31" s="69" t="n">
        <f aca="false">I25+SUM(I28:I30)</f>
        <v>0</v>
      </c>
      <c r="J31" s="69" t="n">
        <f aca="false">J25+SUM(J28:J30)</f>
        <v>0</v>
      </c>
      <c r="K31" s="69" t="n">
        <f aca="false">K25+SUM(K28:K30)</f>
        <v>7048.21755</v>
      </c>
      <c r="L31" s="69" t="n">
        <f aca="false">L25+SUM(L28:L30)</f>
        <v>13422.264075</v>
      </c>
      <c r="M31" s="69" t="n">
        <f aca="false">M25+SUM(M28:M30)</f>
        <v>19137.932275</v>
      </c>
      <c r="N31" s="69" t="n">
        <f aca="false">N25+SUM(N28:N30)</f>
        <v>34805.8968343375</v>
      </c>
      <c r="O31" s="69" t="n">
        <f aca="false">O25+SUM(O28:O30)</f>
        <v>43102.0533987904</v>
      </c>
      <c r="P31" s="69" t="n">
        <f aca="false">P25+SUM(P28:P30)</f>
        <v>50511.3970092953</v>
      </c>
      <c r="Q31" s="69" t="n">
        <f aca="false">Q25+SUM(Q28:Q30)</f>
        <v>56819.6257359696</v>
      </c>
      <c r="R31" s="69" t="n">
        <f aca="false">R25+SUM(R28:R30)</f>
        <v>61946.6209668933</v>
      </c>
      <c r="S31" s="69" t="n">
        <f aca="false">S25+SUM(S28:S30)</f>
        <v>66713.2479892669</v>
      </c>
      <c r="T31" s="69" t="n">
        <f aca="false">T25+SUM(T28:T30)</f>
        <v>70717.721114755</v>
      </c>
      <c r="U31" s="69" t="n">
        <f aca="false">U25+SUM(U28:U30)</f>
        <v>74428.3266417925</v>
      </c>
      <c r="V31" s="69" t="n">
        <f aca="false">V25+SUM(V28:V30)</f>
        <v>77804.6323644482</v>
      </c>
      <c r="W31" s="69" t="n">
        <f aca="false">W25+SUM(W28:W30)</f>
        <v>80829.7333489283</v>
      </c>
      <c r="X31" s="69" t="n">
        <f aca="false">X25+SUM(X28:X30)</f>
        <v>83341.346906291</v>
      </c>
      <c r="Y31" s="69" t="n">
        <f aca="false">Y25+SUM(Y28:Y30)</f>
        <v>85680.8631711488</v>
      </c>
      <c r="Z31" s="69" t="n">
        <f aca="false">Z25+SUM(Z28:Z30)</f>
        <v>122471.328148963</v>
      </c>
      <c r="AA31" s="69" t="n">
        <f aca="false">AA25+SUM(AA28:AA30)</f>
        <v>137553.14487742</v>
      </c>
      <c r="AB31" s="69" t="n">
        <f aca="false">AB25+SUM(AB28:AB30)</f>
        <v>151191.888016154</v>
      </c>
      <c r="AC31" s="69" t="n">
        <f aca="false">AC25+SUM(AC28:AC30)</f>
        <v>163513.037065809</v>
      </c>
      <c r="AD31" s="69" t="n">
        <f aca="false">AD25+SUM(AD28:AD30)</f>
        <v>174695.642102265</v>
      </c>
      <c r="AE31" s="69" t="n">
        <f aca="false">AE25+SUM(AE28:AE30)</f>
        <v>184811.241357533</v>
      </c>
      <c r="AF31" s="69" t="n">
        <f aca="false">AF25+SUM(AF28:AF30)</f>
        <v>193510.908616522</v>
      </c>
      <c r="AG31" s="69" t="n">
        <f aca="false">AG25+SUM(AG28:AG30)</f>
        <v>200730.345369684</v>
      </c>
      <c r="AH31" s="69" t="n">
        <f aca="false">AH25+SUM(AH28:AH30)</f>
        <v>207207.684930994</v>
      </c>
      <c r="AI31" s="69" t="n">
        <f aca="false">AI25+SUM(AI28:AI30)</f>
        <v>213081.281795905</v>
      </c>
      <c r="AJ31" s="69" t="n">
        <f aca="false">AJ25+SUM(AJ28:AJ30)</f>
        <v>218388.674651946</v>
      </c>
      <c r="AK31" s="69" t="n">
        <f aca="false">AK25+SUM(AK28:AK30)</f>
        <v>223181.023715152</v>
      </c>
      <c r="AL31" s="69" t="n">
        <f aca="false">AL25+SUM(AL28:AL30)</f>
        <v>303487.39639411</v>
      </c>
      <c r="AM31" s="69" t="n">
        <f aca="false">AM25+SUM(AM28:AM30)</f>
        <v>325332.181523339</v>
      </c>
      <c r="AN31" s="69" t="n">
        <f aca="false">AN25+SUM(AN28:AN30)</f>
        <v>345161.760615213</v>
      </c>
      <c r="AO31" s="69" t="n">
        <f aca="false">AO25+SUM(AO28:AO30)</f>
        <v>372233.957159028</v>
      </c>
      <c r="AP31" s="69" t="n">
        <f aca="false">AP25+SUM(AP28:AP30)</f>
        <v>383819.721192494</v>
      </c>
      <c r="AQ31" s="69" t="n">
        <f aca="false">AQ25+SUM(AQ28:AQ30)</f>
        <v>393971.976153819</v>
      </c>
      <c r="AR31" s="69" t="n">
        <f aca="false">AR25+SUM(AR28:AR30)</f>
        <v>403018.952054275</v>
      </c>
      <c r="AS31" s="69" t="n">
        <f aca="false">AS25+SUM(AS28:AS30)</f>
        <v>433589.002472253</v>
      </c>
      <c r="AT31" s="69" t="n">
        <f aca="false">AT25+SUM(AT28:AT30)</f>
        <v>446197.433912321</v>
      </c>
      <c r="AU31" s="69" t="n">
        <f aca="false">AU25+SUM(AU28:AU30)</f>
        <v>457743.764135082</v>
      </c>
      <c r="AV31" s="69" t="n">
        <f aca="false">AV25+SUM(AV28:AV30)</f>
        <v>468334.314391081</v>
      </c>
      <c r="AW31" s="69" t="n">
        <f aca="false">AW25+SUM(AW28:AW30)</f>
        <v>478025.726543751</v>
      </c>
      <c r="AX31" s="69" t="n">
        <f aca="false">AX25+SUM(AX28:AX30)</f>
        <v>601825.584079481</v>
      </c>
      <c r="AY31" s="69" t="n">
        <f aca="false">AY25+SUM(AY28:AY30)</f>
        <v>633421.563242015</v>
      </c>
      <c r="AZ31" s="69" t="n">
        <f aca="false">AZ25+SUM(AZ28:AZ30)</f>
        <v>662513.135989038</v>
      </c>
      <c r="BA31" s="69" t="n">
        <f aca="false">BA25+SUM(BA28:BA30)</f>
        <v>689239.715503841</v>
      </c>
      <c r="BB31" s="69" t="n">
        <f aca="false">BB25+SUM(BB28:BB30)</f>
        <v>713790.501245004</v>
      </c>
      <c r="BC31" s="69" t="n">
        <f aca="false">BC25+SUM(BC28:BC30)</f>
        <v>736438.865759646</v>
      </c>
      <c r="BD31" s="69" t="n">
        <f aca="false">BD25+SUM(BD28:BD30)</f>
        <v>757251.359485862</v>
      </c>
      <c r="BE31" s="69" t="n">
        <f aca="false">BE25+SUM(BE28:BE30)</f>
        <v>776413.276615885</v>
      </c>
      <c r="BF31" s="69" t="n">
        <f aca="false">BF25+SUM(BF28:BF30)</f>
        <v>794074.419548332</v>
      </c>
      <c r="BG31" s="69" t="n">
        <f aca="false">BG25+SUM(BG28:BG30)</f>
        <v>810246.671602985</v>
      </c>
      <c r="BH31" s="69" t="n">
        <f aca="false">BH25+SUM(BH28:BH30)</f>
        <v>825146.325631623</v>
      </c>
      <c r="BI31" s="69" t="n">
        <f aca="false">BI25+SUM(BI28:BI30)</f>
        <v>838920.43490755</v>
      </c>
      <c r="BJ31" s="69" t="n">
        <f aca="false">SUM(B31:BI31)</f>
        <v>16666844.1201883</v>
      </c>
    </row>
    <row r="32" customFormat="false" ht="15" hidden="false" customHeight="false" outlineLevel="0" collapsed="false">
      <c r="A32" s="12" t="s">
        <v>209</v>
      </c>
      <c r="B32" s="84" t="n">
        <f aca="false">-(B15*INDEX(Premissas!$C$64:$G$64,B$7)+(B13-B15)*INDEX(Premissas!$C$65:$G$65,B$7)+IF(B$4&gt;=Premissas!$B$62,INDEX(Premissas!$C$63:$G$63,B$7),0))</f>
        <v>-0</v>
      </c>
      <c r="C32" s="84" t="n">
        <f aca="false">-(C15*INDEX(Premissas!$C$64:$G$64,C$7)+(C13-C15)*INDEX(Premissas!$C$65:$G$65,C$7)+IF(C$4&gt;=Premissas!$B$62,INDEX(Premissas!$C$63:$G$63,C$7),0))</f>
        <v>-0</v>
      </c>
      <c r="D32" s="84" t="n">
        <f aca="false">-(D15*INDEX(Premissas!$C$64:$G$64,D$7)+(D13-D15)*INDEX(Premissas!$C$65:$G$65,D$7)+IF(D$4&gt;=Premissas!$B$62,INDEX(Premissas!$C$63:$G$63,D$7),0))</f>
        <v>-0</v>
      </c>
      <c r="E32" s="84" t="n">
        <f aca="false">-(E15*INDEX(Premissas!$C$64:$G$64,E$7)+(E13-E15)*INDEX(Premissas!$C$65:$G$65,E$7)+IF(E$4&gt;=Premissas!$B$62,INDEX(Premissas!$C$63:$G$63,E$7),0))</f>
        <v>-0</v>
      </c>
      <c r="F32" s="84" t="n">
        <f aca="false">-(F15*INDEX(Premissas!$C$64:$G$64,F$7)+(F13-F15)*INDEX(Premissas!$C$65:$G$65,F$7)+IF(F$4&gt;=Premissas!$B$62,INDEX(Premissas!$C$63:$G$63,F$7),0))</f>
        <v>-600</v>
      </c>
      <c r="G32" s="84" t="n">
        <f aca="false">-(G15*INDEX(Premissas!$C$64:$G$64,G$7)+(G13-G15)*INDEX(Premissas!$C$65:$G$65,G$7)+IF(G$4&gt;=Premissas!$B$62,INDEX(Premissas!$C$63:$G$63,G$7),0))</f>
        <v>-600</v>
      </c>
      <c r="H32" s="84" t="n">
        <f aca="false">-(H15*INDEX(Premissas!$C$64:$G$64,H$7)+(H13-H15)*INDEX(Premissas!$C$65:$G$65,H$7)+IF(H$4&gt;=Premissas!$B$62,INDEX(Premissas!$C$63:$G$63,H$7),0))</f>
        <v>-600</v>
      </c>
      <c r="I32" s="84" t="n">
        <f aca="false">-(I15*INDEX(Premissas!$C$64:$G$64,I$7)+(I13-I15)*INDEX(Premissas!$C$65:$G$65,I$7)+IF(I$4&gt;=Premissas!$B$62,INDEX(Premissas!$C$63:$G$63,I$7),0))</f>
        <v>-600</v>
      </c>
      <c r="J32" s="84" t="n">
        <f aca="false">-(J15*INDEX(Premissas!$C$64:$G$64,J$7)+(J13-J15)*INDEX(Premissas!$C$65:$G$65,J$7)+IF(J$4&gt;=Premissas!$B$62,INDEX(Premissas!$C$63:$G$63,J$7),0))</f>
        <v>-600</v>
      </c>
      <c r="K32" s="84" t="n">
        <f aca="false">-(K15*INDEX(Premissas!$C$64:$G$64,K$7)+(K13-K15)*INDEX(Premissas!$C$65:$G$65,K$7)+IF(K$4&gt;=Premissas!$B$62,INDEX(Premissas!$C$63:$G$63,K$7),0))</f>
        <v>-1299.68</v>
      </c>
      <c r="L32" s="84" t="n">
        <f aca="false">-(L15*INDEX(Premissas!$C$64:$G$64,L$7)+(L13-L15)*INDEX(Premissas!$C$65:$G$65,L$7)+IF(L$4&gt;=Premissas!$B$62,INDEX(Premissas!$C$63:$G$63,L$7),0))</f>
        <v>-1928.8</v>
      </c>
      <c r="M32" s="84" t="n">
        <f aca="false">-(M15*INDEX(Premissas!$C$64:$G$64,M$7)+(M13-M15)*INDEX(Premissas!$C$65:$G$65,M$7)+IF(M$4&gt;=Premissas!$B$62,INDEX(Premissas!$C$63:$G$63,M$7),0))</f>
        <v>-2495.452</v>
      </c>
      <c r="N32" s="84" t="n">
        <f aca="false">-(N15*INDEX(Premissas!$C$64:$G$64,N$7)+(N13-N15)*INDEX(Premissas!$C$65:$G$65,N$7)+IF(N$4&gt;=Premissas!$B$62,INDEX(Premissas!$C$63:$G$63,N$7),0))</f>
        <v>-5150.71386</v>
      </c>
      <c r="O32" s="84" t="n">
        <f aca="false">-(O15*INDEX(Premissas!$C$64:$G$64,O$7)+(O13-O15)*INDEX(Premissas!$C$65:$G$65,O$7)+IF(O$4&gt;=Premissas!$B$62,INDEX(Premissas!$C$63:$G$63,O$7),0))</f>
        <v>-5777.9279433</v>
      </c>
      <c r="P32" s="84" t="n">
        <f aca="false">-(P15*INDEX(Premissas!$C$64:$G$64,P$7)+(P13-P15)*INDEX(Premissas!$C$65:$G$65,P$7)+IF(P$4&gt;=Premissas!$B$62,INDEX(Premissas!$C$63:$G$63,P$7),0))</f>
        <v>-6344.6921886865</v>
      </c>
      <c r="Q32" s="84" t="n">
        <f aca="false">-(Q15*INDEX(Premissas!$C$64:$G$64,Q$7)+(Q13-Q15)*INDEX(Premissas!$C$65:$G$65,Q$7)+IF(Q$4&gt;=Premissas!$B$62,INDEX(Premissas!$C$63:$G$63,Q$7),0))</f>
        <v>-6858.02613076128</v>
      </c>
      <c r="R32" s="84" t="n">
        <f aca="false">-(R15*INDEX(Premissas!$C$64:$G$64,R$7)+(R13-R15)*INDEX(Premissas!$C$65:$G$65,R$7)+IF(R$4&gt;=Premissas!$B$62,INDEX(Premissas!$C$63:$G$63,R$7),0))</f>
        <v>-7322.12784833896</v>
      </c>
      <c r="S32" s="84" t="n">
        <f aca="false">-(S15*INDEX(Premissas!$C$64:$G$64,S$7)+(S13-S15)*INDEX(Premissas!$C$65:$G$65,S$7)+IF(S$4&gt;=Premissas!$B$62,INDEX(Premissas!$C$63:$G$63,S$7),0))</f>
        <v>-7742.37930274676</v>
      </c>
      <c r="T32" s="84" t="n">
        <f aca="false">-(T15*INDEX(Premissas!$C$64:$G$64,T$7)+(T13-T15)*INDEX(Premissas!$C$65:$G$65,T$7)+IF(T$4&gt;=Premissas!$B$62,INDEX(Premissas!$C$63:$G$63,T$7),0))</f>
        <v>-8122.70021898582</v>
      </c>
      <c r="U32" s="84" t="n">
        <f aca="false">-(U15*INDEX(Premissas!$C$64:$G$64,U$7)+(U13-U15)*INDEX(Premissas!$C$65:$G$65,U$7)+IF(U$4&gt;=Premissas!$B$62,INDEX(Premissas!$C$63:$G$63,U$7),0))</f>
        <v>-8466.89064818217</v>
      </c>
      <c r="V32" s="84" t="n">
        <f aca="false">-(V15*INDEX(Premissas!$C$64:$G$64,V$7)+(V13-V15)*INDEX(Premissas!$C$65:$G$65,V$7)+IF(V$4&gt;=Premissas!$B$62,INDEX(Premissas!$C$63:$G$63,V$7),0))</f>
        <v>-8778.64233660486</v>
      </c>
      <c r="W32" s="84" t="n">
        <f aca="false">-(W15*INDEX(Premissas!$C$64:$G$64,W$7)+(W13-W15)*INDEX(Premissas!$C$65:$G$65,W$7)+IF(W$4&gt;=Premissas!$B$62,INDEX(Premissas!$C$63:$G$63,W$7),0))</f>
        <v>-9061.5490146274</v>
      </c>
      <c r="X32" s="84" t="n">
        <f aca="false">-(X15*INDEX(Premissas!$C$64:$G$64,X$7)+(X13-X15)*INDEX(Premissas!$C$65:$G$65,X$7)+IF(X$4&gt;=Premissas!$B$62,INDEX(Premissas!$C$63:$G$63,X$7),0))</f>
        <v>-9316.45570823779</v>
      </c>
      <c r="Y32" s="84" t="n">
        <f aca="false">-(Y15*INDEX(Premissas!$C$64:$G$64,Y$7)+(Y13-Y15)*INDEX(Premissas!$C$65:$G$65,Y$7)+IF(Y$4&gt;=Premissas!$B$62,INDEX(Premissas!$C$63:$G$63,Y$7),0))</f>
        <v>-9546.7871659552</v>
      </c>
      <c r="Z32" s="84" t="n">
        <f aca="false">-(Z15*INDEX(Premissas!$C$64:$G$64,Z$7)+(Z13-Z15)*INDEX(Premissas!$C$65:$G$65,Z$7)+IF(Z$4&gt;=Premissas!$B$62,INDEX(Premissas!$C$63:$G$63,Z$7),0))</f>
        <v>-15527.3000689173</v>
      </c>
      <c r="AA32" s="84" t="n">
        <f aca="false">-(AA15*INDEX(Premissas!$C$64:$G$64,AA$7)+(AA13-AA15)*INDEX(Premissas!$C$65:$G$65,AA$7)+IF(AA$4&gt;=Premissas!$B$62,INDEX(Premissas!$C$63:$G$63,AA$7),0))</f>
        <v>-16497.1845027148</v>
      </c>
      <c r="AB32" s="84" t="n">
        <f aca="false">-(AB15*INDEX(Premissas!$C$64:$G$64,AB$7)+(AB13-AB15)*INDEX(Premissas!$C$65:$G$65,AB$7)+IF(AB$4&gt;=Premissas!$B$62,INDEX(Premissas!$C$63:$G$63,AB$7),0))</f>
        <v>-17380.1868574704</v>
      </c>
      <c r="AC32" s="84" t="n">
        <f aca="false">-(AC15*INDEX(Premissas!$C$64:$G$64,AC$7)+(AC13-AC15)*INDEX(Premissas!$C$65:$G$65,AC$7)+IF(AC$4&gt;=Premissas!$B$62,INDEX(Premissas!$C$63:$G$63,AC$7),0))</f>
        <v>-18183.1530002981</v>
      </c>
      <c r="AD32" s="84" t="n">
        <f aca="false">-(AD15*INDEX(Premissas!$C$64:$G$64,AD$7)+(AD13-AD15)*INDEX(Premissas!$C$65:$G$65,AD$7)+IF(AD$4&gt;=Premissas!$B$62,INDEX(Premissas!$C$63:$G$63,AD$7),0))</f>
        <v>-18913.8521902713</v>
      </c>
      <c r="AE32" s="84" t="n">
        <f aca="false">-(AE15*INDEX(Premissas!$C$64:$G$64,AE$7)+(AE13-AE15)*INDEX(Premissas!$C$65:$G$65,AE$7)+IF(AE$4&gt;=Premissas!$B$62,INDEX(Premissas!$C$63:$G$63,AE$7),0))</f>
        <v>-19578.7318531468</v>
      </c>
      <c r="AF32" s="84" t="n">
        <f aca="false">-(AF15*INDEX(Premissas!$C$64:$G$64,AF$7)+(AF13-AF15)*INDEX(Premissas!$C$65:$G$65,AF$7)+IF(AF$4&gt;=Premissas!$B$62,INDEX(Premissas!$C$63:$G$63,AF$7),0))</f>
        <v>-20184.0666663636</v>
      </c>
      <c r="AG32" s="84" t="n">
        <f aca="false">-(AG15*INDEX(Premissas!$C$64:$G$64,AG$7)+(AG13-AG15)*INDEX(Premissas!$C$65:$G$65,AG$7)+IF(AG$4&gt;=Premissas!$B$62,INDEX(Premissas!$C$63:$G$63,AG$7),0))</f>
        <v>-20734.8421063909</v>
      </c>
      <c r="AH32" s="84" t="n">
        <f aca="false">-(AH15*INDEX(Premissas!$C$64:$G$64,AH$7)+(AH13-AH15)*INDEX(Premissas!$C$65:$G$65,AH$7)+IF(AH$4&gt;=Premissas!$B$62,INDEX(Premissas!$C$63:$G$63,AH$7),0))</f>
        <v>-21237.0325968157</v>
      </c>
      <c r="AI32" s="84" t="n">
        <f aca="false">-(AI15*INDEX(Premissas!$C$64:$G$64,AI$7)+(AI13-AI15)*INDEX(Premissas!$C$65:$G$65,AI$7)+IF(AI$4&gt;=Premissas!$B$62,INDEX(Premissas!$C$63:$G$63,AI$7),0))</f>
        <v>-21693.0863831023</v>
      </c>
      <c r="AJ32" s="84" t="n">
        <f aca="false">-(AJ15*INDEX(Premissas!$C$64:$G$64,AJ$7)+(AJ13-AJ15)*INDEX(Premissas!$C$65:$G$65,AJ$7)+IF(AJ$4&gt;=Premissas!$B$62,INDEX(Premissas!$C$63:$G$63,AJ$7),0))</f>
        <v>-22107.5972486231</v>
      </c>
      <c r="AK32" s="84" t="n">
        <f aca="false">-(AK15*INDEX(Premissas!$C$64:$G$64,AK$7)+(AK13-AK15)*INDEX(Premissas!$C$65:$G$65,AK$7)+IF(AK$4&gt;=Premissas!$B$62,INDEX(Premissas!$C$63:$G$63,AK$7),0))</f>
        <v>-22485.051176247</v>
      </c>
      <c r="AL32" s="84" t="n">
        <f aca="false">-(AL15*INDEX(Premissas!$C$64:$G$64,AL$7)+(AL13-AL15)*INDEX(Premissas!$C$65:$G$65,AL$7)+IF(AL$4&gt;=Premissas!$B$62,INDEX(Premissas!$C$63:$G$63,AL$7),0))</f>
        <v>-32612.0703718884</v>
      </c>
      <c r="AM32" s="84" t="n">
        <f aca="false">-(AM15*INDEX(Premissas!$C$64:$G$64,AM$7)+(AM13-AM15)*INDEX(Premissas!$C$65:$G$65,AM$7)+IF(AM$4&gt;=Premissas!$B$62,INDEX(Premissas!$C$63:$G$63,AM$7),0))</f>
        <v>-33737.9734652778</v>
      </c>
      <c r="AN32" s="84" t="n">
        <f aca="false">-(AN15*INDEX(Premissas!$C$64:$G$64,AN$7)+(AN13-AN15)*INDEX(Premissas!$C$65:$G$65,AN$7)+IF(AN$4&gt;=Premissas!$B$62,INDEX(Premissas!$C$63:$G$63,AN$7),0))</f>
        <v>-34767.5000707292</v>
      </c>
      <c r="AO32" s="84" t="n">
        <f aca="false">-(AO15*INDEX(Premissas!$C$64:$G$64,AO$7)+(AO13-AO15)*INDEX(Premissas!$C$65:$G$65,AO$7)+IF(AO$4&gt;=Premissas!$B$62,INDEX(Premissas!$C$63:$G$63,AO$7),0))</f>
        <v>-35709.7089897172</v>
      </c>
      <c r="AP32" s="84" t="n">
        <f aca="false">-(AP15*INDEX(Premissas!$C$64:$G$64,AP$7)+(AP13-AP15)*INDEX(Premissas!$C$65:$G$65,AP$7)+IF(AP$4&gt;=Premissas!$B$62,INDEX(Premissas!$C$63:$G$63,AP$7),0))</f>
        <v>-36572.4901005913</v>
      </c>
      <c r="AQ32" s="84" t="n">
        <f aca="false">-(AQ15*INDEX(Premissas!$C$64:$G$64,AQ$7)+(AQ13-AQ15)*INDEX(Premissas!$C$65:$G$65,AQ$7)+IF(AQ$4&gt;=Premissas!$B$62,INDEX(Premissas!$C$63:$G$63,AQ$7),0))</f>
        <v>-37361.594992041</v>
      </c>
      <c r="AR32" s="84" t="n">
        <f aca="false">-(AR15*INDEX(Premissas!$C$64:$G$64,AR$7)+(AR13-AR15)*INDEX(Premissas!$C$65:$G$65,AR$7)+IF(AR$4&gt;=Premissas!$B$62,INDEX(Premissas!$C$63:$G$63,AR$7),0))</f>
        <v>-38082.6212677175</v>
      </c>
      <c r="AS32" s="84" t="n">
        <f aca="false">-(AS15*INDEX(Premissas!$C$64:$G$64,AS$7)+(AS13-AS15)*INDEX(Premissas!$C$65:$G$65,AS$7)+IF(AS$4&gt;=Premissas!$B$62,INDEX(Premissas!$C$63:$G$63,AS$7),0))</f>
        <v>-38742.9956349615</v>
      </c>
      <c r="AT32" s="84" t="n">
        <f aca="false">-(AT15*INDEX(Premissas!$C$64:$G$64,AT$7)+(AT13-AT15)*INDEX(Premissas!$C$65:$G$65,AT$7)+IF(AT$4&gt;=Premissas!$B$62,INDEX(Premissas!$C$63:$G$63,AT$7),0))</f>
        <v>-39348.0458809898</v>
      </c>
      <c r="AU32" s="84" t="n">
        <f aca="false">-(AU15*INDEX(Premissas!$C$64:$G$64,AU$7)+(AU13-AU15)*INDEX(Premissas!$C$65:$G$65,AU$7)+IF(AU$4&gt;=Premissas!$B$62,INDEX(Premissas!$C$63:$G$63,AU$7),0))</f>
        <v>-39901.0118311057</v>
      </c>
      <c r="AV32" s="84" t="n">
        <f aca="false">-(AV15*INDEX(Premissas!$C$64:$G$64,AV$7)+(AV13-AV15)*INDEX(Premissas!$C$65:$G$65,AV$7)+IF(AV$4&gt;=Premissas!$B$62,INDEX(Premissas!$C$63:$G$63,AV$7),0))</f>
        <v>-40406.9953754617</v>
      </c>
      <c r="AW32" s="84" t="n">
        <f aca="false">-(AW15*INDEX(Premissas!$C$64:$G$64,AW$7)+(AW13-AW15)*INDEX(Premissas!$C$65:$G$65,AW$7)+IF(AW$4&gt;=Premissas!$B$62,INDEX(Premissas!$C$63:$G$63,AW$7),0))</f>
        <v>-40870.0146435474</v>
      </c>
      <c r="AX32" s="84" t="n">
        <f aca="false">-(AX15*INDEX(Premissas!$C$64:$G$64,AX$7)+(AX13-AX15)*INDEX(Premissas!$C$65:$G$65,AX$7)+IF(AX$4&gt;=Premissas!$B$62,INDEX(Premissas!$C$63:$G$63,AX$7),0))</f>
        <v>-53588.2504720637</v>
      </c>
      <c r="AY32" s="84" t="n">
        <f aca="false">-(AY15*INDEX(Premissas!$C$64:$G$64,AY$7)+(AY13-AY15)*INDEX(Premissas!$C$65:$G$65,AY$7)+IF(AY$4&gt;=Premissas!$B$62,INDEX(Premissas!$C$63:$G$63,AY$7),0))</f>
        <v>-54826.1092342986</v>
      </c>
      <c r="AZ32" s="84" t="n">
        <f aca="false">-(AZ15*INDEX(Premissas!$C$64:$G$64,AZ$7)+(AZ13-AZ15)*INDEX(Premissas!$C$65:$G$65,AZ$7)+IF(AZ$4&gt;=Premissas!$B$62,INDEX(Premissas!$C$63:$G$63,AZ$7),0))</f>
        <v>-55965.1870955547</v>
      </c>
      <c r="BA32" s="84" t="n">
        <f aca="false">-(BA15*INDEX(Premissas!$C$64:$G$64,BA$7)+(BA13-BA15)*INDEX(Premissas!$C$65:$G$65,BA$7)+IF(BA$4&gt;=Premissas!$B$62,INDEX(Premissas!$C$63:$G$63,BA$7),0))</f>
        <v>-57012.9617279103</v>
      </c>
      <c r="BB32" s="84" t="n">
        <f aca="false">-(BB15*INDEX(Premissas!$C$64:$G$64,BB$7)+(BB13-BB15)*INDEX(Premissas!$C$65:$G$65,BB$7)+IF(BB$4&gt;=Premissas!$B$62,INDEX(Premissas!$C$63:$G$63,BB$7),0))</f>
        <v>-57976.7373896775</v>
      </c>
      <c r="BC32" s="84" t="n">
        <f aca="false">-(BC15*INDEX(Premissas!$C$64:$G$64,BC$7)+(BC13-BC15)*INDEX(Premissas!$C$65:$G$65,BC$7)+IF(BC$4&gt;=Premissas!$B$62,INDEX(Premissas!$C$63:$G$63,BC$7),0))</f>
        <v>-58863.6587985033</v>
      </c>
      <c r="BD32" s="84" t="n">
        <f aca="false">-(BD15*INDEX(Premissas!$C$64:$G$64,BD$7)+(BD13-BD15)*INDEX(Premissas!$C$65:$G$65,BD$7)+IF(BD$4&gt;=Premissas!$B$62,INDEX(Premissas!$C$63:$G$63,BD$7),0))</f>
        <v>-59679.838894623</v>
      </c>
      <c r="BE32" s="84" t="n">
        <f aca="false">-(BE15*INDEX(Premissas!$C$64:$G$64,BE$7)+(BE13-BE15)*INDEX(Premissas!$C$65:$G$65,BE$7)+IF(BE$4&gt;=Premissas!$B$62,INDEX(Premissas!$C$63:$G$63,BE$7),0))</f>
        <v>-60430.3705830532</v>
      </c>
      <c r="BF32" s="84" t="n">
        <f aca="false">-(BF15*INDEX(Premissas!$C$64:$G$64,BF$7)+(BF13-BF15)*INDEX(Premissas!$C$65:$G$65,BF$7)+IF(BF$4&gt;=Premissas!$B$62,INDEX(Premissas!$C$63:$G$63,BF$7),0))</f>
        <v>-61121.1075364089</v>
      </c>
      <c r="BG32" s="84" t="n">
        <f aca="false">-(BG15*INDEX(Premissas!$C$64:$G$64,BG$7)+(BG13-BG15)*INDEX(Premissas!$C$65:$G$65,BG$7)+IF(BG$4&gt;=Premissas!$B$62,INDEX(Premissas!$C$63:$G$63,BG$7),0))</f>
        <v>-61756.0191334962</v>
      </c>
      <c r="BH32" s="84" t="n">
        <f aca="false">-(BH15*INDEX(Premissas!$C$64:$G$64,BH$7)+(BH13-BH15)*INDEX(Premissas!$C$65:$G$65,BH$7)+IF(BH$4&gt;=Premissas!$B$62,INDEX(Premissas!$C$63:$G$63,BH$7),0))</f>
        <v>-62340.7396028165</v>
      </c>
      <c r="BI32" s="84" t="n">
        <f aca="false">-(BI15*INDEX(Premissas!$C$64:$G$64,BI$7)+(BI13-BI15)*INDEX(Premissas!$C$65:$G$65,BI$7)+IF(BI$4&gt;=Premissas!$B$62,INDEX(Premissas!$C$63:$G$63,BI$7),0))</f>
        <v>-62879.0364345912</v>
      </c>
      <c r="BJ32" s="69" t="n">
        <f aca="false">SUM(B32:BI32)</f>
        <v>-1490287.94854381</v>
      </c>
    </row>
    <row r="33" customFormat="false" ht="15" hidden="false" customHeight="false" outlineLevel="0" collapsed="false">
      <c r="A33" s="12" t="s">
        <v>210</v>
      </c>
      <c r="B33" s="84" t="n">
        <f aca="false">-(B15*INDEX(Premissas!$C$66:$G$66,B$7)+IF(B$4&gt;=Premissas!$B$10,INDEX(Premissas!$C$67:$G$67,B$7),0))</f>
        <v>-0</v>
      </c>
      <c r="C33" s="84" t="n">
        <f aca="false">-(C15*INDEX(Premissas!$C$66:$G$66,C$7)+IF(C$4&gt;=Premissas!$B$10,INDEX(Premissas!$C$67:$G$67,C$7),0))</f>
        <v>-0</v>
      </c>
      <c r="D33" s="84" t="n">
        <f aca="false">-(D15*INDEX(Premissas!$C$66:$G$66,D$7)+IF(D$4&gt;=Premissas!$B$10,INDEX(Premissas!$C$67:$G$67,D$7),0))</f>
        <v>-0</v>
      </c>
      <c r="E33" s="84" t="n">
        <f aca="false">-(E15*INDEX(Premissas!$C$66:$G$66,E$7)+IF(E$4&gt;=Premissas!$B$10,INDEX(Premissas!$C$67:$G$67,E$7),0))</f>
        <v>-0</v>
      </c>
      <c r="F33" s="84" t="n">
        <f aca="false">-(F15*INDEX(Premissas!$C$66:$G$66,F$7)+IF(F$4&gt;=Premissas!$B$10,INDEX(Premissas!$C$67:$G$67,F$7),0))</f>
        <v>-0</v>
      </c>
      <c r="G33" s="84" t="n">
        <f aca="false">-(G15*INDEX(Premissas!$C$66:$G$66,G$7)+IF(G$4&gt;=Premissas!$B$10,INDEX(Premissas!$C$67:$G$67,G$7),0))</f>
        <v>-0</v>
      </c>
      <c r="H33" s="84" t="n">
        <f aca="false">-(H15*INDEX(Premissas!$C$66:$G$66,H$7)+IF(H$4&gt;=Premissas!$B$10,INDEX(Premissas!$C$67:$G$67,H$7),0))</f>
        <v>-0</v>
      </c>
      <c r="I33" s="84" t="n">
        <f aca="false">-(I15*INDEX(Premissas!$C$66:$G$66,I$7)+IF(I$4&gt;=Premissas!$B$10,INDEX(Premissas!$C$67:$G$67,I$7),0))</f>
        <v>-0</v>
      </c>
      <c r="J33" s="84" t="n">
        <f aca="false">-(J15*INDEX(Premissas!$C$66:$G$66,J$7)+IF(J$4&gt;=Premissas!$B$10,INDEX(Premissas!$C$67:$G$67,J$7),0))</f>
        <v>-0</v>
      </c>
      <c r="K33" s="84" t="n">
        <f aca="false">-(K15*INDEX(Premissas!$C$66:$G$66,K$7)+IF(K$4&gt;=Premissas!$B$10,INDEX(Premissas!$C$67:$G$67,K$7),0))</f>
        <v>-114.1</v>
      </c>
      <c r="L33" s="84" t="n">
        <f aca="false">-(L15*INDEX(Premissas!$C$66:$G$66,L$7)+IF(L$4&gt;=Premissas!$B$10,INDEX(Premissas!$C$67:$G$67,L$7),0))</f>
        <v>-216.65</v>
      </c>
      <c r="M33" s="84" t="n">
        <f aca="false">-(M15*INDEX(Premissas!$C$66:$G$66,M$7)+IF(M$4&gt;=Premissas!$B$10,INDEX(Premissas!$C$67:$G$67,M$7),0))</f>
        <v>-309.05</v>
      </c>
      <c r="N33" s="84" t="n">
        <f aca="false">-(N15*INDEX(Premissas!$C$66:$G$66,N$7)+IF(N$4&gt;=Premissas!$B$10,INDEX(Premissas!$C$67:$G$67,N$7),0))</f>
        <v>-3487.9</v>
      </c>
      <c r="O33" s="84" t="n">
        <f aca="false">-(O15*INDEX(Premissas!$C$66:$G$66,O$7)+IF(O$4&gt;=Premissas!$B$10,INDEX(Premissas!$C$67:$G$67,O$7),0))</f>
        <v>-3603.4</v>
      </c>
      <c r="P33" s="84" t="n">
        <f aca="false">-(P15*INDEX(Premissas!$C$66:$G$66,P$7)+IF(P$4&gt;=Premissas!$B$10,INDEX(Premissas!$C$67:$G$67,P$7),0))</f>
        <v>-3707.7</v>
      </c>
      <c r="Q33" s="84" t="n">
        <f aca="false">-(Q15*INDEX(Premissas!$C$66:$G$66,Q$7)+IF(Q$4&gt;=Premissas!$B$10,INDEX(Premissas!$C$67:$G$67,Q$7),0))</f>
        <v>-3802.2</v>
      </c>
      <c r="R33" s="84" t="n">
        <f aca="false">-(R15*INDEX(Premissas!$C$66:$G$66,R$7)+IF(R$4&gt;=Premissas!$B$10,INDEX(Premissas!$C$67:$G$67,R$7),0))</f>
        <v>-3887.6</v>
      </c>
      <c r="S33" s="84" t="n">
        <f aca="false">-(S15*INDEX(Premissas!$C$66:$G$66,S$7)+IF(S$4&gt;=Premissas!$B$10,INDEX(Premissas!$C$67:$G$67,S$7),0))</f>
        <v>-3964.95</v>
      </c>
      <c r="T33" s="84" t="n">
        <f aca="false">-(T15*INDEX(Premissas!$C$66:$G$66,T$7)+IF(T$4&gt;=Premissas!$B$10,INDEX(Premissas!$C$67:$G$67,T$7),0))</f>
        <v>-4034.95</v>
      </c>
      <c r="U33" s="84" t="n">
        <f aca="false">-(U15*INDEX(Premissas!$C$66:$G$66,U$7)+IF(U$4&gt;=Premissas!$B$10,INDEX(Premissas!$C$67:$G$67,U$7),0))</f>
        <v>-4098.3</v>
      </c>
      <c r="V33" s="84" t="n">
        <f aca="false">-(V15*INDEX(Premissas!$C$66:$G$66,V$7)+IF(V$4&gt;=Premissas!$B$10,INDEX(Premissas!$C$67:$G$67,V$7),0))</f>
        <v>-4155.7</v>
      </c>
      <c r="W33" s="84" t="n">
        <f aca="false">-(W15*INDEX(Premissas!$C$66:$G$66,W$7)+IF(W$4&gt;=Premissas!$B$10,INDEX(Premissas!$C$67:$G$67,W$7),0))</f>
        <v>-4207.85</v>
      </c>
      <c r="X33" s="84" t="n">
        <f aca="false">-(X15*INDEX(Premissas!$C$66:$G$66,X$7)+IF(X$4&gt;=Premissas!$B$10,INDEX(Premissas!$C$67:$G$67,X$7),0))</f>
        <v>-4254.75</v>
      </c>
      <c r="Y33" s="84" t="n">
        <f aca="false">-(Y15*INDEX(Premissas!$C$66:$G$66,Y$7)+IF(Y$4&gt;=Premissas!$B$10,INDEX(Premissas!$C$67:$G$67,Y$7),0))</f>
        <v>-4297.1</v>
      </c>
      <c r="Z33" s="84" t="n">
        <f aca="false">-(Z15*INDEX(Premissas!$C$66:$G$66,Z$7)+IF(Z$4&gt;=Premissas!$B$10,INDEX(Premissas!$C$67:$G$67,Z$7),0))</f>
        <v>-16406.4</v>
      </c>
      <c r="AA33" s="84" t="n">
        <f aca="false">-(AA15*INDEX(Premissas!$C$66:$G$66,AA$7)+IF(AA$4&gt;=Premissas!$B$10,INDEX(Premissas!$C$67:$G$67,AA$7),0))</f>
        <v>-16587.6</v>
      </c>
      <c r="AB33" s="84" t="n">
        <f aca="false">-(AB15*INDEX(Premissas!$C$66:$G$66,AB$7)+IF(AB$4&gt;=Premissas!$B$10,INDEX(Premissas!$C$67:$G$67,AB$7),0))</f>
        <v>-16752.6</v>
      </c>
      <c r="AC33" s="84" t="n">
        <f aca="false">-(AC15*INDEX(Premissas!$C$66:$G$66,AC$7)+IF(AC$4&gt;=Premissas!$B$10,INDEX(Premissas!$C$67:$G$67,AC$7),0))</f>
        <v>-16902.6</v>
      </c>
      <c r="AD33" s="84" t="n">
        <f aca="false">-(AD15*INDEX(Premissas!$C$66:$G$66,AD$7)+IF(AD$4&gt;=Premissas!$B$10,INDEX(Premissas!$C$67:$G$67,AD$7),0))</f>
        <v>-17039.1</v>
      </c>
      <c r="AE33" s="84" t="n">
        <f aca="false">-(AE15*INDEX(Premissas!$C$66:$G$66,AE$7)+IF(AE$4&gt;=Premissas!$B$10,INDEX(Premissas!$C$67:$G$67,AE$7),0))</f>
        <v>-17163.3</v>
      </c>
      <c r="AF33" s="84" t="n">
        <f aca="false">-(AF15*INDEX(Premissas!$C$66:$G$66,AF$7)+IF(AF$4&gt;=Premissas!$B$10,INDEX(Premissas!$C$67:$G$67,AF$7),0))</f>
        <v>-17276.4</v>
      </c>
      <c r="AG33" s="84" t="n">
        <f aca="false">-(AG15*INDEX(Premissas!$C$66:$G$66,AG$7)+IF(AG$4&gt;=Premissas!$B$10,INDEX(Premissas!$C$67:$G$67,AG$7),0))</f>
        <v>-17379.3</v>
      </c>
      <c r="AH33" s="84" t="n">
        <f aca="false">-(AH15*INDEX(Premissas!$C$66:$G$66,AH$7)+IF(AH$4&gt;=Premissas!$B$10,INDEX(Premissas!$C$67:$G$67,AH$7),0))</f>
        <v>-17473.2</v>
      </c>
      <c r="AI33" s="84" t="n">
        <f aca="false">-(AI15*INDEX(Premissas!$C$66:$G$66,AI$7)+IF(AI$4&gt;=Premissas!$B$10,INDEX(Premissas!$C$67:$G$67,AI$7),0))</f>
        <v>-17558.4</v>
      </c>
      <c r="AJ33" s="84" t="n">
        <f aca="false">-(AJ15*INDEX(Premissas!$C$66:$G$66,AJ$7)+IF(AJ$4&gt;=Premissas!$B$10,INDEX(Premissas!$C$67:$G$67,AJ$7),0))</f>
        <v>-17635.8</v>
      </c>
      <c r="AK33" s="84" t="n">
        <f aca="false">-(AK15*INDEX(Premissas!$C$66:$G$66,AK$7)+IF(AK$4&gt;=Premissas!$B$10,INDEX(Premissas!$C$67:$G$67,AK$7),0))</f>
        <v>-17706.3</v>
      </c>
      <c r="AL33" s="84" t="n">
        <f aca="false">-(AL15*INDEX(Premissas!$C$66:$G$66,AL$7)+IF(AL$4&gt;=Premissas!$B$10,INDEX(Premissas!$C$67:$G$67,AL$7),0))</f>
        <v>-48048.36</v>
      </c>
      <c r="AM33" s="84" t="n">
        <f aca="false">-(AM15*INDEX(Premissas!$C$66:$G$66,AM$7)+IF(AM$4&gt;=Premissas!$B$10,INDEX(Premissas!$C$67:$G$67,AM$7),0))</f>
        <v>-48283.28</v>
      </c>
      <c r="AN33" s="84" t="n">
        <f aca="false">-(AN15*INDEX(Premissas!$C$66:$G$66,AN$7)+IF(AN$4&gt;=Premissas!$B$10,INDEX(Premissas!$C$67:$G$67,AN$7),0))</f>
        <v>-48498.04</v>
      </c>
      <c r="AO33" s="84" t="n">
        <f aca="false">-(AO15*INDEX(Premissas!$C$66:$G$66,AO$7)+IF(AO$4&gt;=Premissas!$B$10,INDEX(Premissas!$C$67:$G$67,AO$7),0))</f>
        <v>-48694.6</v>
      </c>
      <c r="AP33" s="84" t="n">
        <f aca="false">-(AP15*INDEX(Premissas!$C$66:$G$66,AP$7)+IF(AP$4&gt;=Premissas!$B$10,INDEX(Premissas!$C$67:$G$67,AP$7),0))</f>
        <v>-48874.64</v>
      </c>
      <c r="AQ33" s="84" t="n">
        <f aca="false">-(AQ15*INDEX(Premissas!$C$66:$G$66,AQ$7)+IF(AQ$4&gt;=Premissas!$B$10,INDEX(Premissas!$C$67:$G$67,AQ$7),0))</f>
        <v>-49039.28</v>
      </c>
      <c r="AR33" s="84" t="n">
        <f aca="false">-(AR15*INDEX(Premissas!$C$66:$G$66,AR$7)+IF(AR$4&gt;=Premissas!$B$10,INDEX(Premissas!$C$67:$G$67,AR$7),0))</f>
        <v>-49189.64</v>
      </c>
      <c r="AS33" s="84" t="n">
        <f aca="false">-(AS15*INDEX(Premissas!$C$66:$G$66,AS$7)+IF(AS$4&gt;=Premissas!$B$10,INDEX(Premissas!$C$67:$G$67,AS$7),0))</f>
        <v>-49327.4</v>
      </c>
      <c r="AT33" s="84" t="n">
        <f aca="false">-(AT15*INDEX(Premissas!$C$66:$G$66,AT$7)+IF(AT$4&gt;=Premissas!$B$10,INDEX(Premissas!$C$67:$G$67,AT$7),0))</f>
        <v>-49453.68</v>
      </c>
      <c r="AU33" s="84" t="n">
        <f aca="false">-(AU15*INDEX(Premissas!$C$66:$G$66,AU$7)+IF(AU$4&gt;=Premissas!$B$10,INDEX(Premissas!$C$67:$G$67,AU$7),0))</f>
        <v>-49569.04</v>
      </c>
      <c r="AV33" s="84" t="n">
        <f aca="false">-(AV15*INDEX(Premissas!$C$66:$G$66,AV$7)+IF(AV$4&gt;=Premissas!$B$10,INDEX(Premissas!$C$67:$G$67,AV$7),0))</f>
        <v>-49674.6</v>
      </c>
      <c r="AW33" s="84" t="n">
        <f aca="false">-(AW15*INDEX(Premissas!$C$66:$G$66,AW$7)+IF(AW$4&gt;=Premissas!$B$10,INDEX(Premissas!$C$67:$G$67,AW$7),0))</f>
        <v>-49771.2</v>
      </c>
      <c r="AX33" s="84" t="n">
        <f aca="false">-(AX15*INDEX(Premissas!$C$66:$G$66,AX$7)+IF(AX$4&gt;=Premissas!$B$10,INDEX(Premissas!$C$67:$G$67,AX$7),0))</f>
        <v>-94840.25</v>
      </c>
      <c r="AY33" s="84" t="n">
        <f aca="false">-(AY15*INDEX(Premissas!$C$66:$G$66,AY$7)+IF(AY$4&gt;=Premissas!$B$10,INDEX(Premissas!$C$67:$G$67,AY$7),0))</f>
        <v>-95094.25</v>
      </c>
      <c r="AZ33" s="84" t="n">
        <f aca="false">-(AZ15*INDEX(Premissas!$C$66:$G$66,AZ$7)+IF(AZ$4&gt;=Premissas!$B$10,INDEX(Premissas!$C$67:$G$67,AZ$7),0))</f>
        <v>-95328</v>
      </c>
      <c r="BA33" s="84" t="n">
        <f aca="false">-(BA15*INDEX(Premissas!$C$66:$G$66,BA$7)+IF(BA$4&gt;=Premissas!$B$10,INDEX(Premissas!$C$67:$G$67,BA$7),0))</f>
        <v>-95543</v>
      </c>
      <c r="BB33" s="84" t="n">
        <f aca="false">-(BB15*INDEX(Premissas!$C$66:$G$66,BB$7)+IF(BB$4&gt;=Premissas!$B$10,INDEX(Premissas!$C$67:$G$67,BB$7),0))</f>
        <v>-95740.75</v>
      </c>
      <c r="BC33" s="84" t="n">
        <f aca="false">-(BC15*INDEX(Premissas!$C$66:$G$66,BC$7)+IF(BC$4&gt;=Premissas!$B$10,INDEX(Premissas!$C$67:$G$67,BC$7),0))</f>
        <v>-95922.75</v>
      </c>
      <c r="BD33" s="84" t="n">
        <f aca="false">-(BD15*INDEX(Premissas!$C$66:$G$66,BD$7)+IF(BD$4&gt;=Premissas!$B$10,INDEX(Premissas!$C$67:$G$67,BD$7),0))</f>
        <v>-96090.25</v>
      </c>
      <c r="BE33" s="84" t="n">
        <f aca="false">-(BE15*INDEX(Premissas!$C$66:$G$66,BE$7)+IF(BE$4&gt;=Premissas!$B$10,INDEX(Premissas!$C$67:$G$67,BE$7),0))</f>
        <v>-96244.25</v>
      </c>
      <c r="BF33" s="84" t="n">
        <f aca="false">-(BF15*INDEX(Premissas!$C$66:$G$66,BF$7)+IF(BF$4&gt;=Premissas!$B$10,INDEX(Premissas!$C$67:$G$67,BF$7),0))</f>
        <v>-96386</v>
      </c>
      <c r="BG33" s="84" t="n">
        <f aca="false">-(BG15*INDEX(Premissas!$C$66:$G$66,BG$7)+IF(BG$4&gt;=Premissas!$B$10,INDEX(Premissas!$C$67:$G$67,BG$7),0))</f>
        <v>-96516.25</v>
      </c>
      <c r="BH33" s="84" t="n">
        <f aca="false">-(BH15*INDEX(Premissas!$C$66:$G$66,BH$7)+IF(BH$4&gt;=Premissas!$B$10,INDEX(Premissas!$C$67:$G$67,BH$7),0))</f>
        <v>-96636.25</v>
      </c>
      <c r="BI33" s="84" t="n">
        <f aca="false">-(BI15*INDEX(Premissas!$C$66:$G$66,BI$7)+IF(BI$4&gt;=Premissas!$B$10,INDEX(Premissas!$C$67:$G$67,BI$7),0))</f>
        <v>-96746.75</v>
      </c>
      <c r="BJ33" s="69" t="n">
        <f aca="false">SUM(B33:BI33)</f>
        <v>-1993535.71</v>
      </c>
    </row>
    <row r="34" customFormat="false" ht="15" hidden="false" customHeight="false" outlineLevel="0" collapsed="false">
      <c r="A34" s="12" t="s">
        <v>354</v>
      </c>
      <c r="B34" s="84" t="n">
        <f aca="false">-(IF(B$4&gt;=Premissas!$B$68,INDEX(Premissas!$C$69:$G$69,B$7),0)+IF(B$4&gt;=Premissas!$B$70,INDEX(Premissas!$C$71:$G$71,B$7),0))</f>
        <v>-0</v>
      </c>
      <c r="C34" s="84" t="n">
        <f aca="false">-(IF(C$4&gt;=Premissas!$B$68,INDEX(Premissas!$C$69:$G$69,C$7),0)+IF(C$4&gt;=Premissas!$B$70,INDEX(Premissas!$C$71:$G$71,C$7),0))</f>
        <v>-0</v>
      </c>
      <c r="D34" s="84" t="n">
        <f aca="false">-(IF(D$4&gt;=Premissas!$B$68,INDEX(Premissas!$C$69:$G$69,D$7),0)+IF(D$4&gt;=Premissas!$B$70,INDEX(Premissas!$C$71:$G$71,D$7),0))</f>
        <v>-0</v>
      </c>
      <c r="E34" s="84" t="n">
        <f aca="false">-(IF(E$4&gt;=Premissas!$B$68,INDEX(Premissas!$C$69:$G$69,E$7),0)+IF(E$4&gt;=Premissas!$B$70,INDEX(Premissas!$C$71:$G$71,E$7),0))</f>
        <v>-0</v>
      </c>
      <c r="F34" s="84" t="n">
        <f aca="false">-(IF(F$4&gt;=Premissas!$B$68,INDEX(Premissas!$C$69:$G$69,F$7),0)+IF(F$4&gt;=Premissas!$B$70,INDEX(Premissas!$C$71:$G$71,F$7),0))</f>
        <v>-0</v>
      </c>
      <c r="G34" s="84" t="n">
        <f aca="false">-(IF(G$4&gt;=Premissas!$B$68,INDEX(Premissas!$C$69:$G$69,G$7),0)+IF(G$4&gt;=Premissas!$B$70,INDEX(Premissas!$C$71:$G$71,G$7),0))</f>
        <v>-0</v>
      </c>
      <c r="H34" s="84" t="n">
        <f aca="false">-(IF(H$4&gt;=Premissas!$B$68,INDEX(Premissas!$C$69:$G$69,H$7),0)+IF(H$4&gt;=Premissas!$B$70,INDEX(Premissas!$C$71:$G$71,H$7),0))</f>
        <v>-0</v>
      </c>
      <c r="I34" s="84" t="n">
        <f aca="false">-(IF(I$4&gt;=Premissas!$B$68,INDEX(Premissas!$C$69:$G$69,I$7),0)+IF(I$4&gt;=Premissas!$B$70,INDEX(Premissas!$C$71:$G$71,I$7),0))</f>
        <v>-0</v>
      </c>
      <c r="J34" s="84" t="n">
        <f aca="false">-(IF(J$4&gt;=Premissas!$B$68,INDEX(Premissas!$C$69:$G$69,J$7),0)+IF(J$4&gt;=Premissas!$B$70,INDEX(Premissas!$C$71:$G$71,J$7),0))</f>
        <v>-0</v>
      </c>
      <c r="K34" s="84" t="n">
        <f aca="false">-(IF(K$4&gt;=Premissas!$B$68,INDEX(Premissas!$C$69:$G$69,K$7),0)+IF(K$4&gt;=Premissas!$B$70,INDEX(Premissas!$C$71:$G$71,K$7),0))</f>
        <v>-0</v>
      </c>
      <c r="L34" s="84" t="n">
        <f aca="false">-(IF(L$4&gt;=Premissas!$B$68,INDEX(Premissas!$C$69:$G$69,L$7),0)+IF(L$4&gt;=Premissas!$B$70,INDEX(Premissas!$C$71:$G$71,L$7),0))</f>
        <v>-4000</v>
      </c>
      <c r="M34" s="84" t="n">
        <f aca="false">-(IF(M$4&gt;=Premissas!$B$68,INDEX(Premissas!$C$69:$G$69,M$7),0)+IF(M$4&gt;=Premissas!$B$70,INDEX(Premissas!$C$71:$G$71,M$7),0))</f>
        <v>-4000</v>
      </c>
      <c r="N34" s="84" t="n">
        <f aca="false">-(IF(N$4&gt;=Premissas!$B$68,INDEX(Premissas!$C$69:$G$69,N$7),0)+IF(N$4&gt;=Premissas!$B$70,INDEX(Premissas!$C$71:$G$71,N$7),0))</f>
        <v>-40000</v>
      </c>
      <c r="O34" s="84" t="n">
        <f aca="false">-(IF(O$4&gt;=Premissas!$B$68,INDEX(Premissas!$C$69:$G$69,O$7),0)+IF(O$4&gt;=Premissas!$B$70,INDEX(Premissas!$C$71:$G$71,O$7),0))</f>
        <v>-40000</v>
      </c>
      <c r="P34" s="84" t="n">
        <f aca="false">-(IF(P$4&gt;=Premissas!$B$68,INDEX(Premissas!$C$69:$G$69,P$7),0)+IF(P$4&gt;=Premissas!$B$70,INDEX(Premissas!$C$71:$G$71,P$7),0))</f>
        <v>-40000</v>
      </c>
      <c r="Q34" s="84" t="n">
        <f aca="false">-(IF(Q$4&gt;=Premissas!$B$68,INDEX(Premissas!$C$69:$G$69,Q$7),0)+IF(Q$4&gt;=Premissas!$B$70,INDEX(Premissas!$C$71:$G$71,Q$7),0))</f>
        <v>-40000</v>
      </c>
      <c r="R34" s="84" t="n">
        <f aca="false">-(IF(R$4&gt;=Premissas!$B$68,INDEX(Premissas!$C$69:$G$69,R$7),0)+IF(R$4&gt;=Premissas!$B$70,INDEX(Premissas!$C$71:$G$71,R$7),0))</f>
        <v>-40000</v>
      </c>
      <c r="S34" s="84" t="n">
        <f aca="false">-(IF(S$4&gt;=Premissas!$B$68,INDEX(Premissas!$C$69:$G$69,S$7),0)+IF(S$4&gt;=Premissas!$B$70,INDEX(Premissas!$C$71:$G$71,S$7),0))</f>
        <v>-40000</v>
      </c>
      <c r="T34" s="84" t="n">
        <f aca="false">-(IF(T$4&gt;=Premissas!$B$68,INDEX(Premissas!$C$69:$G$69,T$7),0)+IF(T$4&gt;=Premissas!$B$70,INDEX(Premissas!$C$71:$G$71,T$7),0))</f>
        <v>-40000</v>
      </c>
      <c r="U34" s="84" t="n">
        <f aca="false">-(IF(U$4&gt;=Premissas!$B$68,INDEX(Premissas!$C$69:$G$69,U$7),0)+IF(U$4&gt;=Premissas!$B$70,INDEX(Premissas!$C$71:$G$71,U$7),0))</f>
        <v>-40000</v>
      </c>
      <c r="V34" s="84" t="n">
        <f aca="false">-(IF(V$4&gt;=Premissas!$B$68,INDEX(Premissas!$C$69:$G$69,V$7),0)+IF(V$4&gt;=Premissas!$B$70,INDEX(Premissas!$C$71:$G$71,V$7),0))</f>
        <v>-40000</v>
      </c>
      <c r="W34" s="84" t="n">
        <f aca="false">-(IF(W$4&gt;=Premissas!$B$68,INDEX(Premissas!$C$69:$G$69,W$7),0)+IF(W$4&gt;=Premissas!$B$70,INDEX(Premissas!$C$71:$G$71,W$7),0))</f>
        <v>-40000</v>
      </c>
      <c r="X34" s="84" t="n">
        <f aca="false">-(IF(X$4&gt;=Premissas!$B$68,INDEX(Premissas!$C$69:$G$69,X$7),0)+IF(X$4&gt;=Premissas!$B$70,INDEX(Premissas!$C$71:$G$71,X$7),0))</f>
        <v>-40000</v>
      </c>
      <c r="Y34" s="84" t="n">
        <f aca="false">-(IF(Y$4&gt;=Premissas!$B$68,INDEX(Premissas!$C$69:$G$69,Y$7),0)+IF(Y$4&gt;=Premissas!$B$70,INDEX(Premissas!$C$71:$G$71,Y$7),0))</f>
        <v>-40000</v>
      </c>
      <c r="Z34" s="84" t="n">
        <f aca="false">-(IF(Z$4&gt;=Premissas!$B$68,INDEX(Premissas!$C$69:$G$69,Z$7),0)+IF(Z$4&gt;=Premissas!$B$70,INDEX(Premissas!$C$71:$G$71,Z$7),0))</f>
        <v>-130000</v>
      </c>
      <c r="AA34" s="84" t="n">
        <f aca="false">-(IF(AA$4&gt;=Premissas!$B$68,INDEX(Premissas!$C$69:$G$69,AA$7),0)+IF(AA$4&gt;=Premissas!$B$70,INDEX(Premissas!$C$71:$G$71,AA$7),0))</f>
        <v>-130000</v>
      </c>
      <c r="AB34" s="84" t="n">
        <f aca="false">-(IF(AB$4&gt;=Premissas!$B$68,INDEX(Premissas!$C$69:$G$69,AB$7),0)+IF(AB$4&gt;=Premissas!$B$70,INDEX(Premissas!$C$71:$G$71,AB$7),0))</f>
        <v>-130000</v>
      </c>
      <c r="AC34" s="84" t="n">
        <f aca="false">-(IF(AC$4&gt;=Premissas!$B$68,INDEX(Premissas!$C$69:$G$69,AC$7),0)+IF(AC$4&gt;=Premissas!$B$70,INDEX(Premissas!$C$71:$G$71,AC$7),0))</f>
        <v>-130000</v>
      </c>
      <c r="AD34" s="84" t="n">
        <f aca="false">-(IF(AD$4&gt;=Premissas!$B$68,INDEX(Premissas!$C$69:$G$69,AD$7),0)+IF(AD$4&gt;=Premissas!$B$70,INDEX(Premissas!$C$71:$G$71,AD$7),0))</f>
        <v>-130000</v>
      </c>
      <c r="AE34" s="84" t="n">
        <f aca="false">-(IF(AE$4&gt;=Premissas!$B$68,INDEX(Premissas!$C$69:$G$69,AE$7),0)+IF(AE$4&gt;=Premissas!$B$70,INDEX(Premissas!$C$71:$G$71,AE$7),0))</f>
        <v>-130000</v>
      </c>
      <c r="AF34" s="84" t="n">
        <f aca="false">-(IF(AF$4&gt;=Premissas!$B$68,INDEX(Premissas!$C$69:$G$69,AF$7),0)+IF(AF$4&gt;=Premissas!$B$70,INDEX(Premissas!$C$71:$G$71,AF$7),0))</f>
        <v>-130000</v>
      </c>
      <c r="AG34" s="84" t="n">
        <f aca="false">-(IF(AG$4&gt;=Premissas!$B$68,INDEX(Premissas!$C$69:$G$69,AG$7),0)+IF(AG$4&gt;=Premissas!$B$70,INDEX(Premissas!$C$71:$G$71,AG$7),0))</f>
        <v>-130000</v>
      </c>
      <c r="AH34" s="84" t="n">
        <f aca="false">-(IF(AH$4&gt;=Premissas!$B$68,INDEX(Premissas!$C$69:$G$69,AH$7),0)+IF(AH$4&gt;=Premissas!$B$70,INDEX(Premissas!$C$71:$G$71,AH$7),0))</f>
        <v>-130000</v>
      </c>
      <c r="AI34" s="84" t="n">
        <f aca="false">-(IF(AI$4&gt;=Premissas!$B$68,INDEX(Premissas!$C$69:$G$69,AI$7),0)+IF(AI$4&gt;=Premissas!$B$70,INDEX(Premissas!$C$71:$G$71,AI$7),0))</f>
        <v>-130000</v>
      </c>
      <c r="AJ34" s="84" t="n">
        <f aca="false">-(IF(AJ$4&gt;=Premissas!$B$68,INDEX(Premissas!$C$69:$G$69,AJ$7),0)+IF(AJ$4&gt;=Premissas!$B$70,INDEX(Premissas!$C$71:$G$71,AJ$7),0))</f>
        <v>-130000</v>
      </c>
      <c r="AK34" s="84" t="n">
        <f aca="false">-(IF(AK$4&gt;=Premissas!$B$68,INDEX(Premissas!$C$69:$G$69,AK$7),0)+IF(AK$4&gt;=Premissas!$B$70,INDEX(Premissas!$C$71:$G$71,AK$7),0))</f>
        <v>-130000</v>
      </c>
      <c r="AL34" s="84" t="n">
        <f aca="false">-(IF(AL$4&gt;=Premissas!$B$68,INDEX(Premissas!$C$69:$G$69,AL$7),0)+IF(AL$4&gt;=Premissas!$B$70,INDEX(Premissas!$C$71:$G$71,AL$7),0))</f>
        <v>-300000</v>
      </c>
      <c r="AM34" s="84" t="n">
        <f aca="false">-(IF(AM$4&gt;=Premissas!$B$68,INDEX(Premissas!$C$69:$G$69,AM$7),0)+IF(AM$4&gt;=Premissas!$B$70,INDEX(Premissas!$C$71:$G$71,AM$7),0))</f>
        <v>-300000</v>
      </c>
      <c r="AN34" s="84" t="n">
        <f aca="false">-(IF(AN$4&gt;=Premissas!$B$68,INDEX(Premissas!$C$69:$G$69,AN$7),0)+IF(AN$4&gt;=Premissas!$B$70,INDEX(Premissas!$C$71:$G$71,AN$7),0))</f>
        <v>-300000</v>
      </c>
      <c r="AO34" s="84" t="n">
        <f aca="false">-(IF(AO$4&gt;=Premissas!$B$68,INDEX(Premissas!$C$69:$G$69,AO$7),0)+IF(AO$4&gt;=Premissas!$B$70,INDEX(Premissas!$C$71:$G$71,AO$7),0))</f>
        <v>-300000</v>
      </c>
      <c r="AP34" s="84" t="n">
        <f aca="false">-(IF(AP$4&gt;=Premissas!$B$68,INDEX(Premissas!$C$69:$G$69,AP$7),0)+IF(AP$4&gt;=Premissas!$B$70,INDEX(Premissas!$C$71:$G$71,AP$7),0))</f>
        <v>-300000</v>
      </c>
      <c r="AQ34" s="84" t="n">
        <f aca="false">-(IF(AQ$4&gt;=Premissas!$B$68,INDEX(Premissas!$C$69:$G$69,AQ$7),0)+IF(AQ$4&gt;=Premissas!$B$70,INDEX(Premissas!$C$71:$G$71,AQ$7),0))</f>
        <v>-300000</v>
      </c>
      <c r="AR34" s="84" t="n">
        <f aca="false">-(IF(AR$4&gt;=Premissas!$B$68,INDEX(Premissas!$C$69:$G$69,AR$7),0)+IF(AR$4&gt;=Premissas!$B$70,INDEX(Premissas!$C$71:$G$71,AR$7),0))</f>
        <v>-300000</v>
      </c>
      <c r="AS34" s="84" t="n">
        <f aca="false">-(IF(AS$4&gt;=Premissas!$B$68,INDEX(Premissas!$C$69:$G$69,AS$7),0)+IF(AS$4&gt;=Premissas!$B$70,INDEX(Premissas!$C$71:$G$71,AS$7),0))</f>
        <v>-300000</v>
      </c>
      <c r="AT34" s="84" t="n">
        <f aca="false">-(IF(AT$4&gt;=Premissas!$B$68,INDEX(Premissas!$C$69:$G$69,AT$7),0)+IF(AT$4&gt;=Premissas!$B$70,INDEX(Premissas!$C$71:$G$71,AT$7),0))</f>
        <v>-300000</v>
      </c>
      <c r="AU34" s="84" t="n">
        <f aca="false">-(IF(AU$4&gt;=Premissas!$B$68,INDEX(Premissas!$C$69:$G$69,AU$7),0)+IF(AU$4&gt;=Premissas!$B$70,INDEX(Premissas!$C$71:$G$71,AU$7),0))</f>
        <v>-300000</v>
      </c>
      <c r="AV34" s="84" t="n">
        <f aca="false">-(IF(AV$4&gt;=Premissas!$B$68,INDEX(Premissas!$C$69:$G$69,AV$7),0)+IF(AV$4&gt;=Premissas!$B$70,INDEX(Premissas!$C$71:$G$71,AV$7),0))</f>
        <v>-300000</v>
      </c>
      <c r="AW34" s="84" t="n">
        <f aca="false">-(IF(AW$4&gt;=Premissas!$B$68,INDEX(Premissas!$C$69:$G$69,AW$7),0)+IF(AW$4&gt;=Premissas!$B$70,INDEX(Premissas!$C$71:$G$71,AW$7),0))</f>
        <v>-300000</v>
      </c>
      <c r="AX34" s="84" t="n">
        <f aca="false">-(IF(AX$4&gt;=Premissas!$B$68,INDEX(Premissas!$C$69:$G$69,AX$7),0)+IF(AX$4&gt;=Premissas!$B$70,INDEX(Premissas!$C$71:$G$71,AX$7),0))</f>
        <v>-560000</v>
      </c>
      <c r="AY34" s="84" t="n">
        <f aca="false">-(IF(AY$4&gt;=Premissas!$B$68,INDEX(Premissas!$C$69:$G$69,AY$7),0)+IF(AY$4&gt;=Premissas!$B$70,INDEX(Premissas!$C$71:$G$71,AY$7),0))</f>
        <v>-560000</v>
      </c>
      <c r="AZ34" s="84" t="n">
        <f aca="false">-(IF(AZ$4&gt;=Premissas!$B$68,INDEX(Premissas!$C$69:$G$69,AZ$7),0)+IF(AZ$4&gt;=Premissas!$B$70,INDEX(Premissas!$C$71:$G$71,AZ$7),0))</f>
        <v>-560000</v>
      </c>
      <c r="BA34" s="84" t="n">
        <f aca="false">-(IF(BA$4&gt;=Premissas!$B$68,INDEX(Premissas!$C$69:$G$69,BA$7),0)+IF(BA$4&gt;=Premissas!$B$70,INDEX(Premissas!$C$71:$G$71,BA$7),0))</f>
        <v>-560000</v>
      </c>
      <c r="BB34" s="84" t="n">
        <f aca="false">-(IF(BB$4&gt;=Premissas!$B$68,INDEX(Premissas!$C$69:$G$69,BB$7),0)+IF(BB$4&gt;=Premissas!$B$70,INDEX(Premissas!$C$71:$G$71,BB$7),0))</f>
        <v>-560000</v>
      </c>
      <c r="BC34" s="84" t="n">
        <f aca="false">-(IF(BC$4&gt;=Premissas!$B$68,INDEX(Premissas!$C$69:$G$69,BC$7),0)+IF(BC$4&gt;=Premissas!$B$70,INDEX(Premissas!$C$71:$G$71,BC$7),0))</f>
        <v>-560000</v>
      </c>
      <c r="BD34" s="84" t="n">
        <f aca="false">-(IF(BD$4&gt;=Premissas!$B$68,INDEX(Premissas!$C$69:$G$69,BD$7),0)+IF(BD$4&gt;=Premissas!$B$70,INDEX(Premissas!$C$71:$G$71,BD$7),0))</f>
        <v>-560000</v>
      </c>
      <c r="BE34" s="84" t="n">
        <f aca="false">-(IF(BE$4&gt;=Premissas!$B$68,INDEX(Premissas!$C$69:$G$69,BE$7),0)+IF(BE$4&gt;=Premissas!$B$70,INDEX(Premissas!$C$71:$G$71,BE$7),0))</f>
        <v>-560000</v>
      </c>
      <c r="BF34" s="84" t="n">
        <f aca="false">-(IF(BF$4&gt;=Premissas!$B$68,INDEX(Premissas!$C$69:$G$69,BF$7),0)+IF(BF$4&gt;=Premissas!$B$70,INDEX(Premissas!$C$71:$G$71,BF$7),0))</f>
        <v>-560000</v>
      </c>
      <c r="BG34" s="84" t="n">
        <f aca="false">-(IF(BG$4&gt;=Premissas!$B$68,INDEX(Premissas!$C$69:$G$69,BG$7),0)+IF(BG$4&gt;=Premissas!$B$70,INDEX(Premissas!$C$71:$G$71,BG$7),0))</f>
        <v>-560000</v>
      </c>
      <c r="BH34" s="84" t="n">
        <f aca="false">-(IF(BH$4&gt;=Premissas!$B$68,INDEX(Premissas!$C$69:$G$69,BH$7),0)+IF(BH$4&gt;=Premissas!$B$70,INDEX(Premissas!$C$71:$G$71,BH$7),0))</f>
        <v>-560000</v>
      </c>
      <c r="BI34" s="84" t="n">
        <f aca="false">-(IF(BI$4&gt;=Premissas!$B$68,INDEX(Premissas!$C$69:$G$69,BI$7),0)+IF(BI$4&gt;=Premissas!$B$70,INDEX(Premissas!$C$71:$G$71,BI$7),0))</f>
        <v>-560000</v>
      </c>
      <c r="BJ34" s="69" t="n">
        <f aca="false">SUM(B34:BI34)</f>
        <v>-12368000</v>
      </c>
    </row>
    <row r="35" customFormat="false" ht="15" hidden="false" customHeight="false" outlineLevel="0" collapsed="false">
      <c r="A35" s="12" t="s">
        <v>215</v>
      </c>
      <c r="B35" s="84" t="n">
        <f aca="false">-(B10*(1-INDEX(Premissas!$C$50:$G$50,B$7))*INDEX(Premissas!$C$47:$G$47,B$7)+IF(B$4&gt;=Premissas!$B$75,INDEX(Premissas!$C$74:$G$74,B$7),0)+IF(B$4=DATE(YEAR(Premissas!$B$77),MONTH(Premissas!$B$77),1),Premissas!$B$76,0))</f>
        <v>-0</v>
      </c>
      <c r="C35" s="84" t="n">
        <f aca="false">-(C10*(1-INDEX(Premissas!$C$50:$G$50,C$7))*INDEX(Premissas!$C$47:$G$47,C$7)+IF(C$4&gt;=Premissas!$B$75,INDEX(Premissas!$C$74:$G$74,C$7),0)+IF(C$4=DATE(YEAR(Premissas!$B$77),MONTH(Premissas!$B$77),1),Premissas!$B$76,0))</f>
        <v>-0</v>
      </c>
      <c r="D35" s="84" t="n">
        <f aca="false">-(D10*(1-INDEX(Premissas!$C$50:$G$50,D$7))*INDEX(Premissas!$C$47:$G$47,D$7)+IF(D$4&gt;=Premissas!$B$75,INDEX(Premissas!$C$74:$G$74,D$7),0)+IF(D$4=DATE(YEAR(Premissas!$B$77),MONTH(Premissas!$B$77),1),Premissas!$B$76,0))</f>
        <v>-0</v>
      </c>
      <c r="E35" s="84" t="n">
        <f aca="false">-(E10*(1-INDEX(Premissas!$C$50:$G$50,E$7))*INDEX(Premissas!$C$47:$G$47,E$7)+IF(E$4&gt;=Premissas!$B$75,INDEX(Premissas!$C$74:$G$74,E$7),0)+IF(E$4=DATE(YEAR(Premissas!$B$77),MONTH(Premissas!$B$77),1),Premissas!$B$76,0))</f>
        <v>-0</v>
      </c>
      <c r="F35" s="84" t="n">
        <f aca="false">-(F10*(1-INDEX(Premissas!$C$50:$G$50,F$7))*INDEX(Premissas!$C$47:$G$47,F$7)+IF(F$4&gt;=Premissas!$B$75,INDEX(Premissas!$C$74:$G$74,F$7),0)+IF(F$4=DATE(YEAR(Premissas!$B$77),MONTH(Premissas!$B$77),1),Premissas!$B$76,0))</f>
        <v>-0</v>
      </c>
      <c r="G35" s="84" t="n">
        <f aca="false">-(G10*(1-INDEX(Premissas!$C$50:$G$50,G$7))*INDEX(Premissas!$C$47:$G$47,G$7)+IF(G$4&gt;=Premissas!$B$75,INDEX(Premissas!$C$74:$G$74,G$7),0)+IF(G$4=DATE(YEAR(Premissas!$B$77),MONTH(Premissas!$B$77),1),Premissas!$B$76,0))</f>
        <v>-0</v>
      </c>
      <c r="H35" s="84" t="n">
        <f aca="false">-(H10*(1-INDEX(Premissas!$C$50:$G$50,H$7))*INDEX(Premissas!$C$47:$G$47,H$7)+IF(H$4&gt;=Premissas!$B$75,INDEX(Premissas!$C$74:$G$74,H$7),0)+IF(H$4=DATE(YEAR(Premissas!$B$77),MONTH(Premissas!$B$77),1),Premissas!$B$76,0))</f>
        <v>-0</v>
      </c>
      <c r="I35" s="84" t="n">
        <f aca="false">-(I10*(1-INDEX(Premissas!$C$50:$G$50,I$7))*INDEX(Premissas!$C$47:$G$47,I$7)+IF(I$4&gt;=Premissas!$B$75,INDEX(Premissas!$C$74:$G$74,I$7),0)+IF(I$4=DATE(YEAR(Premissas!$B$77),MONTH(Premissas!$B$77),1),Premissas!$B$76,0))</f>
        <v>-0</v>
      </c>
      <c r="J35" s="84" t="n">
        <f aca="false">-(J10*(1-INDEX(Premissas!$C$50:$G$50,J$7))*INDEX(Premissas!$C$47:$G$47,J$7)+IF(J$4&gt;=Premissas!$B$75,INDEX(Premissas!$C$74:$G$74,J$7),0)+IF(J$4=DATE(YEAR(Premissas!$B$77),MONTH(Premissas!$B$77),1),Premissas!$B$76,0))</f>
        <v>-0</v>
      </c>
      <c r="K35" s="84" t="n">
        <f aca="false">-(K10*(1-INDEX(Premissas!$C$50:$G$50,K$7))*INDEX(Premissas!$C$47:$G$47,K$7)+IF(K$4&gt;=Premissas!$B$75,INDEX(Premissas!$C$74:$G$74,K$7),0)+IF(K$4=DATE(YEAR(Premissas!$B$77),MONTH(Premissas!$B$77),1),Premissas!$B$76,0))</f>
        <v>-58408</v>
      </c>
      <c r="L35" s="84" t="n">
        <f aca="false">-(L10*(1-INDEX(Premissas!$C$50:$G$50,L$7))*INDEX(Premissas!$C$47:$G$47,L$7)+IF(L$4&gt;=Premissas!$B$75,INDEX(Premissas!$C$74:$G$74,L$7),0)+IF(L$4=DATE(YEAR(Premissas!$B$77),MONTH(Premissas!$B$77),1),Premissas!$B$76,0))</f>
        <v>-33408</v>
      </c>
      <c r="M35" s="84" t="n">
        <f aca="false">-(M10*(1-INDEX(Premissas!$C$50:$G$50,M$7))*INDEX(Premissas!$C$47:$G$47,M$7)+IF(M$4&gt;=Premissas!$B$75,INDEX(Premissas!$C$74:$G$74,M$7),0)+IF(M$4=DATE(YEAR(Premissas!$B$77),MONTH(Premissas!$B$77),1),Premissas!$B$76,0))</f>
        <v>-33408</v>
      </c>
      <c r="N35" s="84" t="n">
        <f aca="false">-(N10*(1-INDEX(Premissas!$C$50:$G$50,N$7))*INDEX(Premissas!$C$47:$G$47,N$7)+IF(N$4&gt;=Premissas!$B$75,INDEX(Premissas!$C$74:$G$74,N$7),0)+IF(N$4=DATE(YEAR(Premissas!$B$77),MONTH(Premissas!$B$77),1),Premissas!$B$76,0))</f>
        <v>-59880</v>
      </c>
      <c r="O35" s="84" t="n">
        <f aca="false">-(O10*(1-INDEX(Premissas!$C$50:$G$50,O$7))*INDEX(Premissas!$C$47:$G$47,O$7)+IF(O$4&gt;=Premissas!$B$75,INDEX(Premissas!$C$74:$G$74,O$7),0)+IF(O$4=DATE(YEAR(Premissas!$B$77),MONTH(Premissas!$B$77),1),Premissas!$B$76,0))</f>
        <v>-59880</v>
      </c>
      <c r="P35" s="84" t="n">
        <f aca="false">-(P10*(1-INDEX(Premissas!$C$50:$G$50,P$7))*INDEX(Premissas!$C$47:$G$47,P$7)+IF(P$4&gt;=Premissas!$B$75,INDEX(Premissas!$C$74:$G$74,P$7),0)+IF(P$4=DATE(YEAR(Premissas!$B$77),MONTH(Premissas!$B$77),1),Premissas!$B$76,0))</f>
        <v>-59880</v>
      </c>
      <c r="Q35" s="84" t="n">
        <f aca="false">-(Q10*(1-INDEX(Premissas!$C$50:$G$50,Q$7))*INDEX(Premissas!$C$47:$G$47,Q$7)+IF(Q$4&gt;=Premissas!$B$75,INDEX(Premissas!$C$74:$G$74,Q$7),0)+IF(Q$4=DATE(YEAR(Premissas!$B$77),MONTH(Premissas!$B$77),1),Premissas!$B$76,0))</f>
        <v>-59880</v>
      </c>
      <c r="R35" s="84" t="n">
        <f aca="false">-(R10*(1-INDEX(Premissas!$C$50:$G$50,R$7))*INDEX(Premissas!$C$47:$G$47,R$7)+IF(R$4&gt;=Premissas!$B$75,INDEX(Premissas!$C$74:$G$74,R$7),0)+IF(R$4=DATE(YEAR(Premissas!$B$77),MONTH(Premissas!$B$77),1),Premissas!$B$76,0))</f>
        <v>-59880</v>
      </c>
      <c r="S35" s="84" t="n">
        <f aca="false">-(S10*(1-INDEX(Premissas!$C$50:$G$50,S$7))*INDEX(Premissas!$C$47:$G$47,S$7)+IF(S$4&gt;=Premissas!$B$75,INDEX(Premissas!$C$74:$G$74,S$7),0)+IF(S$4=DATE(YEAR(Premissas!$B$77),MONTH(Premissas!$B$77),1),Premissas!$B$76,0))</f>
        <v>-59880</v>
      </c>
      <c r="T35" s="84" t="n">
        <f aca="false">-(T10*(1-INDEX(Premissas!$C$50:$G$50,T$7))*INDEX(Premissas!$C$47:$G$47,T$7)+IF(T$4&gt;=Premissas!$B$75,INDEX(Premissas!$C$74:$G$74,T$7),0)+IF(T$4=DATE(YEAR(Premissas!$B$77),MONTH(Premissas!$B$77),1),Premissas!$B$76,0))</f>
        <v>-59880</v>
      </c>
      <c r="U35" s="84" t="n">
        <f aca="false">-(U10*(1-INDEX(Premissas!$C$50:$G$50,U$7))*INDEX(Premissas!$C$47:$G$47,U$7)+IF(U$4&gt;=Premissas!$B$75,INDEX(Premissas!$C$74:$G$74,U$7),0)+IF(U$4=DATE(YEAR(Premissas!$B$77),MONTH(Premissas!$B$77),1),Premissas!$B$76,0))</f>
        <v>-59880</v>
      </c>
      <c r="V35" s="84" t="n">
        <f aca="false">-(V10*(1-INDEX(Premissas!$C$50:$G$50,V$7))*INDEX(Premissas!$C$47:$G$47,V$7)+IF(V$4&gt;=Premissas!$B$75,INDEX(Premissas!$C$74:$G$74,V$7),0)+IF(V$4=DATE(YEAR(Premissas!$B$77),MONTH(Premissas!$B$77),1),Premissas!$B$76,0))</f>
        <v>-59880</v>
      </c>
      <c r="W35" s="84" t="n">
        <f aca="false">-(W10*(1-INDEX(Premissas!$C$50:$G$50,W$7))*INDEX(Premissas!$C$47:$G$47,W$7)+IF(W$4&gt;=Premissas!$B$75,INDEX(Premissas!$C$74:$G$74,W$7),0)+IF(W$4=DATE(YEAR(Premissas!$B$77),MONTH(Premissas!$B$77),1),Premissas!$B$76,0))</f>
        <v>-59880</v>
      </c>
      <c r="X35" s="84" t="n">
        <f aca="false">-(X10*(1-INDEX(Premissas!$C$50:$G$50,X$7))*INDEX(Premissas!$C$47:$G$47,X$7)+IF(X$4&gt;=Premissas!$B$75,INDEX(Premissas!$C$74:$G$74,X$7),0)+IF(X$4=DATE(YEAR(Premissas!$B$77),MONTH(Premissas!$B$77),1),Premissas!$B$76,0))</f>
        <v>-59880</v>
      </c>
      <c r="Y35" s="84" t="n">
        <f aca="false">-(Y10*(1-INDEX(Premissas!$C$50:$G$50,Y$7))*INDEX(Premissas!$C$47:$G$47,Y$7)+IF(Y$4&gt;=Premissas!$B$75,INDEX(Premissas!$C$74:$G$74,Y$7),0)+IF(Y$4=DATE(YEAR(Premissas!$B$77),MONTH(Premissas!$B$77),1),Premissas!$B$76,0))</f>
        <v>-59880</v>
      </c>
      <c r="Z35" s="84" t="n">
        <f aca="false">-(Z10*(1-INDEX(Premissas!$C$50:$G$50,Z$7))*INDEX(Premissas!$C$47:$G$47,Z$7)+IF(Z$4&gt;=Premissas!$B$75,INDEX(Premissas!$C$74:$G$74,Z$7),0)+IF(Z$4=DATE(YEAR(Premissas!$B$77),MONTH(Premissas!$B$77),1),Premissas!$B$76,0))</f>
        <v>-165300</v>
      </c>
      <c r="AA35" s="84" t="n">
        <f aca="false">-(AA10*(1-INDEX(Premissas!$C$50:$G$50,AA$7))*INDEX(Premissas!$C$47:$G$47,AA$7)+IF(AA$4&gt;=Premissas!$B$75,INDEX(Premissas!$C$74:$G$74,AA$7),0)+IF(AA$4=DATE(YEAR(Premissas!$B$77),MONTH(Premissas!$B$77),1),Premissas!$B$76,0))</f>
        <v>-165300</v>
      </c>
      <c r="AB35" s="84" t="n">
        <f aca="false">-(AB10*(1-INDEX(Premissas!$C$50:$G$50,AB$7))*INDEX(Premissas!$C$47:$G$47,AB$7)+IF(AB$4&gt;=Premissas!$B$75,INDEX(Premissas!$C$74:$G$74,AB$7),0)+IF(AB$4=DATE(YEAR(Premissas!$B$77),MONTH(Premissas!$B$77),1),Premissas!$B$76,0))</f>
        <v>-165300</v>
      </c>
      <c r="AC35" s="84" t="n">
        <f aca="false">-(AC10*(1-INDEX(Premissas!$C$50:$G$50,AC$7))*INDEX(Premissas!$C$47:$G$47,AC$7)+IF(AC$4&gt;=Premissas!$B$75,INDEX(Premissas!$C$74:$G$74,AC$7),0)+IF(AC$4=DATE(YEAR(Premissas!$B$77),MONTH(Premissas!$B$77),1),Premissas!$B$76,0))</f>
        <v>-165300</v>
      </c>
      <c r="AD35" s="84" t="n">
        <f aca="false">-(AD10*(1-INDEX(Premissas!$C$50:$G$50,AD$7))*INDEX(Premissas!$C$47:$G$47,AD$7)+IF(AD$4&gt;=Premissas!$B$75,INDEX(Premissas!$C$74:$G$74,AD$7),0)+IF(AD$4=DATE(YEAR(Premissas!$B$77),MONTH(Premissas!$B$77),1),Premissas!$B$76,0))</f>
        <v>-165300</v>
      </c>
      <c r="AE35" s="84" t="n">
        <f aca="false">-(AE10*(1-INDEX(Premissas!$C$50:$G$50,AE$7))*INDEX(Premissas!$C$47:$G$47,AE$7)+IF(AE$4&gt;=Premissas!$B$75,INDEX(Premissas!$C$74:$G$74,AE$7),0)+IF(AE$4=DATE(YEAR(Premissas!$B$77),MONTH(Premissas!$B$77),1),Premissas!$B$76,0))</f>
        <v>-165300</v>
      </c>
      <c r="AF35" s="84" t="n">
        <f aca="false">-(AF10*(1-INDEX(Premissas!$C$50:$G$50,AF$7))*INDEX(Premissas!$C$47:$G$47,AF$7)+IF(AF$4&gt;=Premissas!$B$75,INDEX(Premissas!$C$74:$G$74,AF$7),0)+IF(AF$4=DATE(YEAR(Premissas!$B$77),MONTH(Premissas!$B$77),1),Premissas!$B$76,0))</f>
        <v>-165300</v>
      </c>
      <c r="AG35" s="84" t="n">
        <f aca="false">-(AG10*(1-INDEX(Premissas!$C$50:$G$50,AG$7))*INDEX(Premissas!$C$47:$G$47,AG$7)+IF(AG$4&gt;=Premissas!$B$75,INDEX(Premissas!$C$74:$G$74,AG$7),0)+IF(AG$4=DATE(YEAR(Premissas!$B$77),MONTH(Premissas!$B$77),1),Premissas!$B$76,0))</f>
        <v>-165300</v>
      </c>
      <c r="AH35" s="84" t="n">
        <f aca="false">-(AH10*(1-INDEX(Premissas!$C$50:$G$50,AH$7))*INDEX(Premissas!$C$47:$G$47,AH$7)+IF(AH$4&gt;=Premissas!$B$75,INDEX(Premissas!$C$74:$G$74,AH$7),0)+IF(AH$4=DATE(YEAR(Premissas!$B$77),MONTH(Premissas!$B$77),1),Premissas!$B$76,0))</f>
        <v>-165300</v>
      </c>
      <c r="AI35" s="84" t="n">
        <f aca="false">-(AI10*(1-INDEX(Premissas!$C$50:$G$50,AI$7))*INDEX(Premissas!$C$47:$G$47,AI$7)+IF(AI$4&gt;=Premissas!$B$75,INDEX(Premissas!$C$74:$G$74,AI$7),0)+IF(AI$4=DATE(YEAR(Premissas!$B$77),MONTH(Premissas!$B$77),1),Premissas!$B$76,0))</f>
        <v>-165300</v>
      </c>
      <c r="AJ35" s="84" t="n">
        <f aca="false">-(AJ10*(1-INDEX(Premissas!$C$50:$G$50,AJ$7))*INDEX(Premissas!$C$47:$G$47,AJ$7)+IF(AJ$4&gt;=Premissas!$B$75,INDEX(Premissas!$C$74:$G$74,AJ$7),0)+IF(AJ$4=DATE(YEAR(Premissas!$B$77),MONTH(Premissas!$B$77),1),Premissas!$B$76,0))</f>
        <v>-165300</v>
      </c>
      <c r="AK35" s="84" t="n">
        <f aca="false">-(AK10*(1-INDEX(Premissas!$C$50:$G$50,AK$7))*INDEX(Premissas!$C$47:$G$47,AK$7)+IF(AK$4&gt;=Premissas!$B$75,INDEX(Premissas!$C$74:$G$74,AK$7),0)+IF(AK$4=DATE(YEAR(Premissas!$B$77),MONTH(Premissas!$B$77),1),Premissas!$B$76,0))</f>
        <v>-165300</v>
      </c>
      <c r="AL35" s="84" t="n">
        <f aca="false">-(AL10*(1-INDEX(Premissas!$C$50:$G$50,AL$7))*INDEX(Premissas!$C$47:$G$47,AL$7)+IF(AL$4&gt;=Premissas!$B$75,INDEX(Premissas!$C$74:$G$74,AL$7),0)+IF(AL$4=DATE(YEAR(Premissas!$B$77),MONTH(Premissas!$B$77),1),Premissas!$B$76,0))</f>
        <v>-322280</v>
      </c>
      <c r="AM35" s="84" t="n">
        <f aca="false">-(AM10*(1-INDEX(Premissas!$C$50:$G$50,AM$7))*INDEX(Premissas!$C$47:$G$47,AM$7)+IF(AM$4&gt;=Premissas!$B$75,INDEX(Premissas!$C$74:$G$74,AM$7),0)+IF(AM$4=DATE(YEAR(Premissas!$B$77),MONTH(Premissas!$B$77),1),Premissas!$B$76,0))</f>
        <v>-322280</v>
      </c>
      <c r="AN35" s="84" t="n">
        <f aca="false">-(AN10*(1-INDEX(Premissas!$C$50:$G$50,AN$7))*INDEX(Premissas!$C$47:$G$47,AN$7)+IF(AN$4&gt;=Premissas!$B$75,INDEX(Premissas!$C$74:$G$74,AN$7),0)+IF(AN$4=DATE(YEAR(Premissas!$B$77),MONTH(Premissas!$B$77),1),Premissas!$B$76,0))</f>
        <v>-322280</v>
      </c>
      <c r="AO35" s="84" t="n">
        <f aca="false">-(AO10*(1-INDEX(Premissas!$C$50:$G$50,AO$7))*INDEX(Premissas!$C$47:$G$47,AO$7)+IF(AO$4&gt;=Premissas!$B$75,INDEX(Premissas!$C$74:$G$74,AO$7),0)+IF(AO$4=DATE(YEAR(Premissas!$B$77),MONTH(Premissas!$B$77),1),Premissas!$B$76,0))</f>
        <v>-322280</v>
      </c>
      <c r="AP35" s="84" t="n">
        <f aca="false">-(AP10*(1-INDEX(Premissas!$C$50:$G$50,AP$7))*INDEX(Premissas!$C$47:$G$47,AP$7)+IF(AP$4&gt;=Premissas!$B$75,INDEX(Premissas!$C$74:$G$74,AP$7),0)+IF(AP$4=DATE(YEAR(Premissas!$B$77),MONTH(Premissas!$B$77),1),Premissas!$B$76,0))</f>
        <v>-322280</v>
      </c>
      <c r="AQ35" s="84" t="n">
        <f aca="false">-(AQ10*(1-INDEX(Premissas!$C$50:$G$50,AQ$7))*INDEX(Premissas!$C$47:$G$47,AQ$7)+IF(AQ$4&gt;=Premissas!$B$75,INDEX(Premissas!$C$74:$G$74,AQ$7),0)+IF(AQ$4=DATE(YEAR(Premissas!$B$77),MONTH(Premissas!$B$77),1),Premissas!$B$76,0))</f>
        <v>-322280</v>
      </c>
      <c r="AR35" s="84" t="n">
        <f aca="false">-(AR10*(1-INDEX(Premissas!$C$50:$G$50,AR$7))*INDEX(Premissas!$C$47:$G$47,AR$7)+IF(AR$4&gt;=Premissas!$B$75,INDEX(Premissas!$C$74:$G$74,AR$7),0)+IF(AR$4=DATE(YEAR(Premissas!$B$77),MONTH(Premissas!$B$77),1),Premissas!$B$76,0))</f>
        <v>-322280</v>
      </c>
      <c r="AS35" s="84" t="n">
        <f aca="false">-(AS10*(1-INDEX(Premissas!$C$50:$G$50,AS$7))*INDEX(Premissas!$C$47:$G$47,AS$7)+IF(AS$4&gt;=Premissas!$B$75,INDEX(Premissas!$C$74:$G$74,AS$7),0)+IF(AS$4=DATE(YEAR(Premissas!$B$77),MONTH(Premissas!$B$77),1),Premissas!$B$76,0))</f>
        <v>-322280</v>
      </c>
      <c r="AT35" s="84" t="n">
        <f aca="false">-(AT10*(1-INDEX(Premissas!$C$50:$G$50,AT$7))*INDEX(Premissas!$C$47:$G$47,AT$7)+IF(AT$4&gt;=Premissas!$B$75,INDEX(Premissas!$C$74:$G$74,AT$7),0)+IF(AT$4=DATE(YEAR(Premissas!$B$77),MONTH(Premissas!$B$77),1),Premissas!$B$76,0))</f>
        <v>-322280</v>
      </c>
      <c r="AU35" s="84" t="n">
        <f aca="false">-(AU10*(1-INDEX(Premissas!$C$50:$G$50,AU$7))*INDEX(Premissas!$C$47:$G$47,AU$7)+IF(AU$4&gt;=Premissas!$B$75,INDEX(Premissas!$C$74:$G$74,AU$7),0)+IF(AU$4=DATE(YEAR(Premissas!$B$77),MONTH(Premissas!$B$77),1),Premissas!$B$76,0))</f>
        <v>-322280</v>
      </c>
      <c r="AV35" s="84" t="n">
        <f aca="false">-(AV10*(1-INDEX(Premissas!$C$50:$G$50,AV$7))*INDEX(Premissas!$C$47:$G$47,AV$7)+IF(AV$4&gt;=Premissas!$B$75,INDEX(Premissas!$C$74:$G$74,AV$7),0)+IF(AV$4=DATE(YEAR(Premissas!$B$77),MONTH(Premissas!$B$77),1),Premissas!$B$76,0))</f>
        <v>-322280</v>
      </c>
      <c r="AW35" s="84" t="n">
        <f aca="false">-(AW10*(1-INDEX(Premissas!$C$50:$G$50,AW$7))*INDEX(Premissas!$C$47:$G$47,AW$7)+IF(AW$4&gt;=Premissas!$B$75,INDEX(Premissas!$C$74:$G$74,AW$7),0)+IF(AW$4=DATE(YEAR(Premissas!$B$77),MONTH(Premissas!$B$77),1),Premissas!$B$76,0))</f>
        <v>-322280</v>
      </c>
      <c r="AX35" s="84" t="n">
        <f aca="false">-(AX10*(1-INDEX(Premissas!$C$50:$G$50,AX$7))*INDEX(Premissas!$C$47:$G$47,AX$7)+IF(AX$4&gt;=Premissas!$B$75,INDEX(Premissas!$C$74:$G$74,AX$7),0)+IF(AX$4=DATE(YEAR(Premissas!$B$77),MONTH(Premissas!$B$77),1),Premissas!$B$76,0))</f>
        <v>-523600</v>
      </c>
      <c r="AY35" s="84" t="n">
        <f aca="false">-(AY10*(1-INDEX(Premissas!$C$50:$G$50,AY$7))*INDEX(Premissas!$C$47:$G$47,AY$7)+IF(AY$4&gt;=Premissas!$B$75,INDEX(Premissas!$C$74:$G$74,AY$7),0)+IF(AY$4=DATE(YEAR(Premissas!$B$77),MONTH(Premissas!$B$77),1),Premissas!$B$76,0))</f>
        <v>-523600</v>
      </c>
      <c r="AZ35" s="84" t="n">
        <f aca="false">-(AZ10*(1-INDEX(Premissas!$C$50:$G$50,AZ$7))*INDEX(Premissas!$C$47:$G$47,AZ$7)+IF(AZ$4&gt;=Premissas!$B$75,INDEX(Premissas!$C$74:$G$74,AZ$7),0)+IF(AZ$4=DATE(YEAR(Premissas!$B$77),MONTH(Premissas!$B$77),1),Premissas!$B$76,0))</f>
        <v>-523600</v>
      </c>
      <c r="BA35" s="84" t="n">
        <f aca="false">-(BA10*(1-INDEX(Premissas!$C$50:$G$50,BA$7))*INDEX(Premissas!$C$47:$G$47,BA$7)+IF(BA$4&gt;=Premissas!$B$75,INDEX(Premissas!$C$74:$G$74,BA$7),0)+IF(BA$4=DATE(YEAR(Premissas!$B$77),MONTH(Premissas!$B$77),1),Premissas!$B$76,0))</f>
        <v>-523600</v>
      </c>
      <c r="BB35" s="84" t="n">
        <f aca="false">-(BB10*(1-INDEX(Premissas!$C$50:$G$50,BB$7))*INDEX(Premissas!$C$47:$G$47,BB$7)+IF(BB$4&gt;=Premissas!$B$75,INDEX(Premissas!$C$74:$G$74,BB$7),0)+IF(BB$4=DATE(YEAR(Premissas!$B$77),MONTH(Premissas!$B$77),1),Premissas!$B$76,0))</f>
        <v>-523600</v>
      </c>
      <c r="BC35" s="84" t="n">
        <f aca="false">-(BC10*(1-INDEX(Premissas!$C$50:$G$50,BC$7))*INDEX(Premissas!$C$47:$G$47,BC$7)+IF(BC$4&gt;=Premissas!$B$75,INDEX(Premissas!$C$74:$G$74,BC$7),0)+IF(BC$4=DATE(YEAR(Premissas!$B$77),MONTH(Premissas!$B$77),1),Premissas!$B$76,0))</f>
        <v>-523600</v>
      </c>
      <c r="BD35" s="84" t="n">
        <f aca="false">-(BD10*(1-INDEX(Premissas!$C$50:$G$50,BD$7))*INDEX(Premissas!$C$47:$G$47,BD$7)+IF(BD$4&gt;=Premissas!$B$75,INDEX(Premissas!$C$74:$G$74,BD$7),0)+IF(BD$4=DATE(YEAR(Premissas!$B$77),MONTH(Premissas!$B$77),1),Premissas!$B$76,0))</f>
        <v>-523600</v>
      </c>
      <c r="BE35" s="84" t="n">
        <f aca="false">-(BE10*(1-INDEX(Premissas!$C$50:$G$50,BE$7))*INDEX(Premissas!$C$47:$G$47,BE$7)+IF(BE$4&gt;=Premissas!$B$75,INDEX(Premissas!$C$74:$G$74,BE$7),0)+IF(BE$4=DATE(YEAR(Premissas!$B$77),MONTH(Premissas!$B$77),1),Premissas!$B$76,0))</f>
        <v>-523600</v>
      </c>
      <c r="BF35" s="84" t="n">
        <f aca="false">-(BF10*(1-INDEX(Premissas!$C$50:$G$50,BF$7))*INDEX(Premissas!$C$47:$G$47,BF$7)+IF(BF$4&gt;=Premissas!$B$75,INDEX(Premissas!$C$74:$G$74,BF$7),0)+IF(BF$4=DATE(YEAR(Premissas!$B$77),MONTH(Premissas!$B$77),1),Premissas!$B$76,0))</f>
        <v>-523600</v>
      </c>
      <c r="BG35" s="84" t="n">
        <f aca="false">-(BG10*(1-INDEX(Premissas!$C$50:$G$50,BG$7))*INDEX(Premissas!$C$47:$G$47,BG$7)+IF(BG$4&gt;=Premissas!$B$75,INDEX(Premissas!$C$74:$G$74,BG$7),0)+IF(BG$4=DATE(YEAR(Premissas!$B$77),MONTH(Premissas!$B$77),1),Premissas!$B$76,0))</f>
        <v>-523600</v>
      </c>
      <c r="BH35" s="84" t="n">
        <f aca="false">-(BH10*(1-INDEX(Premissas!$C$50:$G$50,BH$7))*INDEX(Premissas!$C$47:$G$47,BH$7)+IF(BH$4&gt;=Premissas!$B$75,INDEX(Premissas!$C$74:$G$74,BH$7),0)+IF(BH$4=DATE(YEAR(Premissas!$B$77),MONTH(Premissas!$B$77),1),Premissas!$B$76,0))</f>
        <v>-523600</v>
      </c>
      <c r="BI35" s="84" t="n">
        <f aca="false">-(BI10*(1-INDEX(Premissas!$C$50:$G$50,BI$7))*INDEX(Premissas!$C$47:$G$47,BI$7)+IF(BI$4&gt;=Premissas!$B$75,INDEX(Premissas!$C$74:$G$74,BI$7),0)+IF(BI$4=DATE(YEAR(Premissas!$B$77),MONTH(Premissas!$B$77),1),Premissas!$B$76,0))</f>
        <v>-523600</v>
      </c>
      <c r="BJ35" s="69" t="n">
        <f aca="false">SUM(B35:BI35)</f>
        <v>-12977944</v>
      </c>
    </row>
    <row r="36" customFormat="false" ht="15" hidden="false" customHeight="false" outlineLevel="0" collapsed="false">
      <c r="A36" s="12" t="s">
        <v>217</v>
      </c>
      <c r="B36" s="84" t="n">
        <f aca="false">-IF(B$4&gt;=Premissas!$B$72,INDEX(Premissas!$C$73:$G$73,B$7),0)</f>
        <v>-0</v>
      </c>
      <c r="C36" s="84" t="n">
        <f aca="false">-IF(C$4&gt;=Premissas!$B$72,INDEX(Premissas!$C$73:$G$73,C$7),0)</f>
        <v>-0</v>
      </c>
      <c r="D36" s="84" t="n">
        <f aca="false">-IF(D$4&gt;=Premissas!$B$72,INDEX(Premissas!$C$73:$G$73,D$7),0)</f>
        <v>-0</v>
      </c>
      <c r="E36" s="84" t="n">
        <f aca="false">-IF(E$4&gt;=Premissas!$B$72,INDEX(Premissas!$C$73:$G$73,E$7),0)</f>
        <v>-1500</v>
      </c>
      <c r="F36" s="84" t="n">
        <f aca="false">-IF(F$4&gt;=Premissas!$B$72,INDEX(Premissas!$C$73:$G$73,F$7),0)</f>
        <v>-1500</v>
      </c>
      <c r="G36" s="84" t="n">
        <f aca="false">-IF(G$4&gt;=Premissas!$B$72,INDEX(Premissas!$C$73:$G$73,G$7),0)</f>
        <v>-1500</v>
      </c>
      <c r="H36" s="84" t="n">
        <f aca="false">-IF(H$4&gt;=Premissas!$B$72,INDEX(Premissas!$C$73:$G$73,H$7),0)</f>
        <v>-1500</v>
      </c>
      <c r="I36" s="84" t="n">
        <f aca="false">-IF(I$4&gt;=Premissas!$B$72,INDEX(Premissas!$C$73:$G$73,I$7),0)</f>
        <v>-1500</v>
      </c>
      <c r="J36" s="84" t="n">
        <f aca="false">-IF(J$4&gt;=Premissas!$B$72,INDEX(Premissas!$C$73:$G$73,J$7),0)</f>
        <v>-1500</v>
      </c>
      <c r="K36" s="84" t="n">
        <f aca="false">-IF(K$4&gt;=Premissas!$B$72,INDEX(Premissas!$C$73:$G$73,K$7),0)</f>
        <v>-1500</v>
      </c>
      <c r="L36" s="84" t="n">
        <f aca="false">-IF(L$4&gt;=Premissas!$B$72,INDEX(Premissas!$C$73:$G$73,L$7),0)</f>
        <v>-1500</v>
      </c>
      <c r="M36" s="84" t="n">
        <f aca="false">-IF(M$4&gt;=Premissas!$B$72,INDEX(Premissas!$C$73:$G$73,M$7),0)</f>
        <v>-1500</v>
      </c>
      <c r="N36" s="84" t="n">
        <f aca="false">-IF(N$4&gt;=Premissas!$B$72,INDEX(Premissas!$C$73:$G$73,N$7),0)</f>
        <v>-6000</v>
      </c>
      <c r="O36" s="84" t="n">
        <f aca="false">-IF(O$4&gt;=Premissas!$B$72,INDEX(Premissas!$C$73:$G$73,O$7),0)</f>
        <v>-6000</v>
      </c>
      <c r="P36" s="84" t="n">
        <f aca="false">-IF(P$4&gt;=Premissas!$B$72,INDEX(Premissas!$C$73:$G$73,P$7),0)</f>
        <v>-6000</v>
      </c>
      <c r="Q36" s="84" t="n">
        <f aca="false">-IF(Q$4&gt;=Premissas!$B$72,INDEX(Premissas!$C$73:$G$73,Q$7),0)</f>
        <v>-6000</v>
      </c>
      <c r="R36" s="84" t="n">
        <f aca="false">-IF(R$4&gt;=Premissas!$B$72,INDEX(Premissas!$C$73:$G$73,R$7),0)</f>
        <v>-6000</v>
      </c>
      <c r="S36" s="84" t="n">
        <f aca="false">-IF(S$4&gt;=Premissas!$B$72,INDEX(Premissas!$C$73:$G$73,S$7),0)</f>
        <v>-6000</v>
      </c>
      <c r="T36" s="84" t="n">
        <f aca="false">-IF(T$4&gt;=Premissas!$B$72,INDEX(Premissas!$C$73:$G$73,T$7),0)</f>
        <v>-6000</v>
      </c>
      <c r="U36" s="84" t="n">
        <f aca="false">-IF(U$4&gt;=Premissas!$B$72,INDEX(Premissas!$C$73:$G$73,U$7),0)</f>
        <v>-6000</v>
      </c>
      <c r="V36" s="84" t="n">
        <f aca="false">-IF(V$4&gt;=Premissas!$B$72,INDEX(Premissas!$C$73:$G$73,V$7),0)</f>
        <v>-6000</v>
      </c>
      <c r="W36" s="84" t="n">
        <f aca="false">-IF(W$4&gt;=Premissas!$B$72,INDEX(Premissas!$C$73:$G$73,W$7),0)</f>
        <v>-6000</v>
      </c>
      <c r="X36" s="84" t="n">
        <f aca="false">-IF(X$4&gt;=Premissas!$B$72,INDEX(Premissas!$C$73:$G$73,X$7),0)</f>
        <v>-6000</v>
      </c>
      <c r="Y36" s="84" t="n">
        <f aca="false">-IF(Y$4&gt;=Premissas!$B$72,INDEX(Premissas!$C$73:$G$73,Y$7),0)</f>
        <v>-6000</v>
      </c>
      <c r="Z36" s="84" t="n">
        <f aca="false">-IF(Z$4&gt;=Premissas!$B$72,INDEX(Premissas!$C$73:$G$73,Z$7),0)</f>
        <v>-25000</v>
      </c>
      <c r="AA36" s="84" t="n">
        <f aca="false">-IF(AA$4&gt;=Premissas!$B$72,INDEX(Premissas!$C$73:$G$73,AA$7),0)</f>
        <v>-25000</v>
      </c>
      <c r="AB36" s="84" t="n">
        <f aca="false">-IF(AB$4&gt;=Premissas!$B$72,INDEX(Premissas!$C$73:$G$73,AB$7),0)</f>
        <v>-25000</v>
      </c>
      <c r="AC36" s="84" t="n">
        <f aca="false">-IF(AC$4&gt;=Premissas!$B$72,INDEX(Premissas!$C$73:$G$73,AC$7),0)</f>
        <v>-25000</v>
      </c>
      <c r="AD36" s="84" t="n">
        <f aca="false">-IF(AD$4&gt;=Premissas!$B$72,INDEX(Premissas!$C$73:$G$73,AD$7),0)</f>
        <v>-25000</v>
      </c>
      <c r="AE36" s="84" t="n">
        <f aca="false">-IF(AE$4&gt;=Premissas!$B$72,INDEX(Premissas!$C$73:$G$73,AE$7),0)</f>
        <v>-25000</v>
      </c>
      <c r="AF36" s="84" t="n">
        <f aca="false">-IF(AF$4&gt;=Premissas!$B$72,INDEX(Premissas!$C$73:$G$73,AF$7),0)</f>
        <v>-25000</v>
      </c>
      <c r="AG36" s="84" t="n">
        <f aca="false">-IF(AG$4&gt;=Premissas!$B$72,INDEX(Premissas!$C$73:$G$73,AG$7),0)</f>
        <v>-25000</v>
      </c>
      <c r="AH36" s="84" t="n">
        <f aca="false">-IF(AH$4&gt;=Premissas!$B$72,INDEX(Premissas!$C$73:$G$73,AH$7),0)</f>
        <v>-25000</v>
      </c>
      <c r="AI36" s="84" t="n">
        <f aca="false">-IF(AI$4&gt;=Premissas!$B$72,INDEX(Premissas!$C$73:$G$73,AI$7),0)</f>
        <v>-25000</v>
      </c>
      <c r="AJ36" s="84" t="n">
        <f aca="false">-IF(AJ$4&gt;=Premissas!$B$72,INDEX(Premissas!$C$73:$G$73,AJ$7),0)</f>
        <v>-25000</v>
      </c>
      <c r="AK36" s="84" t="n">
        <f aca="false">-IF(AK$4&gt;=Premissas!$B$72,INDEX(Premissas!$C$73:$G$73,AK$7),0)</f>
        <v>-25000</v>
      </c>
      <c r="AL36" s="84" t="n">
        <f aca="false">-IF(AL$4&gt;=Premissas!$B$72,INDEX(Premissas!$C$73:$G$73,AL$7),0)</f>
        <v>-60000</v>
      </c>
      <c r="AM36" s="84" t="n">
        <f aca="false">-IF(AM$4&gt;=Premissas!$B$72,INDEX(Premissas!$C$73:$G$73,AM$7),0)</f>
        <v>-60000</v>
      </c>
      <c r="AN36" s="84" t="n">
        <f aca="false">-IF(AN$4&gt;=Premissas!$B$72,INDEX(Premissas!$C$73:$G$73,AN$7),0)</f>
        <v>-60000</v>
      </c>
      <c r="AO36" s="84" t="n">
        <f aca="false">-IF(AO$4&gt;=Premissas!$B$72,INDEX(Premissas!$C$73:$G$73,AO$7),0)</f>
        <v>-60000</v>
      </c>
      <c r="AP36" s="84" t="n">
        <f aca="false">-IF(AP$4&gt;=Premissas!$B$72,INDEX(Premissas!$C$73:$G$73,AP$7),0)</f>
        <v>-60000</v>
      </c>
      <c r="AQ36" s="84" t="n">
        <f aca="false">-IF(AQ$4&gt;=Premissas!$B$72,INDEX(Premissas!$C$73:$G$73,AQ$7),0)</f>
        <v>-60000</v>
      </c>
      <c r="AR36" s="84" t="n">
        <f aca="false">-IF(AR$4&gt;=Premissas!$B$72,INDEX(Premissas!$C$73:$G$73,AR$7),0)</f>
        <v>-60000</v>
      </c>
      <c r="AS36" s="84" t="n">
        <f aca="false">-IF(AS$4&gt;=Premissas!$B$72,INDEX(Premissas!$C$73:$G$73,AS$7),0)</f>
        <v>-60000</v>
      </c>
      <c r="AT36" s="84" t="n">
        <f aca="false">-IF(AT$4&gt;=Premissas!$B$72,INDEX(Premissas!$C$73:$G$73,AT$7),0)</f>
        <v>-60000</v>
      </c>
      <c r="AU36" s="84" t="n">
        <f aca="false">-IF(AU$4&gt;=Premissas!$B$72,INDEX(Premissas!$C$73:$G$73,AU$7),0)</f>
        <v>-60000</v>
      </c>
      <c r="AV36" s="84" t="n">
        <f aca="false">-IF(AV$4&gt;=Premissas!$B$72,INDEX(Premissas!$C$73:$G$73,AV$7),0)</f>
        <v>-60000</v>
      </c>
      <c r="AW36" s="84" t="n">
        <f aca="false">-IF(AW$4&gt;=Premissas!$B$72,INDEX(Premissas!$C$73:$G$73,AW$7),0)</f>
        <v>-60000</v>
      </c>
      <c r="AX36" s="84" t="n">
        <f aca="false">-IF(AX$4&gt;=Premissas!$B$72,INDEX(Premissas!$C$73:$G$73,AX$7),0)</f>
        <v>-110000</v>
      </c>
      <c r="AY36" s="84" t="n">
        <f aca="false">-IF(AY$4&gt;=Premissas!$B$72,INDEX(Premissas!$C$73:$G$73,AY$7),0)</f>
        <v>-110000</v>
      </c>
      <c r="AZ36" s="84" t="n">
        <f aca="false">-IF(AZ$4&gt;=Premissas!$B$72,INDEX(Premissas!$C$73:$G$73,AZ$7),0)</f>
        <v>-110000</v>
      </c>
      <c r="BA36" s="84" t="n">
        <f aca="false">-IF(BA$4&gt;=Premissas!$B$72,INDEX(Premissas!$C$73:$G$73,BA$7),0)</f>
        <v>-110000</v>
      </c>
      <c r="BB36" s="84" t="n">
        <f aca="false">-IF(BB$4&gt;=Premissas!$B$72,INDEX(Premissas!$C$73:$G$73,BB$7),0)</f>
        <v>-110000</v>
      </c>
      <c r="BC36" s="84" t="n">
        <f aca="false">-IF(BC$4&gt;=Premissas!$B$72,INDEX(Premissas!$C$73:$G$73,BC$7),0)</f>
        <v>-110000</v>
      </c>
      <c r="BD36" s="84" t="n">
        <f aca="false">-IF(BD$4&gt;=Premissas!$B$72,INDEX(Premissas!$C$73:$G$73,BD$7),0)</f>
        <v>-110000</v>
      </c>
      <c r="BE36" s="84" t="n">
        <f aca="false">-IF(BE$4&gt;=Premissas!$B$72,INDEX(Premissas!$C$73:$G$73,BE$7),0)</f>
        <v>-110000</v>
      </c>
      <c r="BF36" s="84" t="n">
        <f aca="false">-IF(BF$4&gt;=Premissas!$B$72,INDEX(Premissas!$C$73:$G$73,BF$7),0)</f>
        <v>-110000</v>
      </c>
      <c r="BG36" s="84" t="n">
        <f aca="false">-IF(BG$4&gt;=Premissas!$B$72,INDEX(Premissas!$C$73:$G$73,BG$7),0)</f>
        <v>-110000</v>
      </c>
      <c r="BH36" s="84" t="n">
        <f aca="false">-IF(BH$4&gt;=Premissas!$B$72,INDEX(Premissas!$C$73:$G$73,BH$7),0)</f>
        <v>-110000</v>
      </c>
      <c r="BI36" s="84" t="n">
        <f aca="false">-IF(BI$4&gt;=Premissas!$B$72,INDEX(Premissas!$C$73:$G$73,BI$7),0)</f>
        <v>-110000</v>
      </c>
      <c r="BJ36" s="69" t="n">
        <f aca="false">SUM(B36:BI36)</f>
        <v>-2425500</v>
      </c>
    </row>
    <row r="37" customFormat="false" ht="15" hidden="false" customHeight="false" outlineLevel="0" collapsed="false">
      <c r="A37" s="34" t="s">
        <v>355</v>
      </c>
      <c r="B37" s="69" t="n">
        <f aca="false">SUM(B31:B36)</f>
        <v>0</v>
      </c>
      <c r="C37" s="69" t="n">
        <f aca="false">SUM(C31:C36)</f>
        <v>0</v>
      </c>
      <c r="D37" s="69" t="n">
        <f aca="false">SUM(D31:D36)</f>
        <v>0</v>
      </c>
      <c r="E37" s="69" t="n">
        <f aca="false">SUM(E31:E36)</f>
        <v>-1500</v>
      </c>
      <c r="F37" s="69" t="n">
        <f aca="false">SUM(F31:F36)</f>
        <v>-2100</v>
      </c>
      <c r="G37" s="69" t="n">
        <f aca="false">SUM(G31:G36)</f>
        <v>-2100</v>
      </c>
      <c r="H37" s="69" t="n">
        <f aca="false">SUM(H31:H36)</f>
        <v>-2100</v>
      </c>
      <c r="I37" s="69" t="n">
        <f aca="false">SUM(I31:I36)</f>
        <v>-2100</v>
      </c>
      <c r="J37" s="69" t="n">
        <f aca="false">SUM(J31:J36)</f>
        <v>-2100</v>
      </c>
      <c r="K37" s="69" t="n">
        <f aca="false">SUM(K31:K36)</f>
        <v>-54273.56245</v>
      </c>
      <c r="L37" s="69" t="n">
        <f aca="false">SUM(L31:L36)</f>
        <v>-27631.185925</v>
      </c>
      <c r="M37" s="69" t="n">
        <f aca="false">SUM(M31:M36)</f>
        <v>-22574.569725</v>
      </c>
      <c r="N37" s="69" t="n">
        <f aca="false">SUM(N31:N36)</f>
        <v>-79712.7170256625</v>
      </c>
      <c r="O37" s="69" t="n">
        <f aca="false">SUM(O31:O36)</f>
        <v>-72159.2745445096</v>
      </c>
      <c r="P37" s="69" t="n">
        <f aca="false">SUM(P31:P36)</f>
        <v>-65420.9951793912</v>
      </c>
      <c r="Q37" s="69" t="n">
        <f aca="false">SUM(Q31:Q36)</f>
        <v>-59720.6003947917</v>
      </c>
      <c r="R37" s="69" t="n">
        <f aca="false">SUM(R31:R36)</f>
        <v>-55143.1068814457</v>
      </c>
      <c r="S37" s="69" t="n">
        <f aca="false">SUM(S31:S36)</f>
        <v>-50874.0813134799</v>
      </c>
      <c r="T37" s="69" t="n">
        <f aca="false">SUM(T31:T36)</f>
        <v>-47319.9291042308</v>
      </c>
      <c r="U37" s="69" t="n">
        <f aca="false">SUM(U31:U36)</f>
        <v>-44016.8640063897</v>
      </c>
      <c r="V37" s="69" t="n">
        <f aca="false">SUM(V31:V36)</f>
        <v>-41009.7099721567</v>
      </c>
      <c r="W37" s="69" t="n">
        <f aca="false">SUM(W31:W36)</f>
        <v>-38319.6656656991</v>
      </c>
      <c r="X37" s="69" t="n">
        <f aca="false">SUM(X31:X36)</f>
        <v>-36109.8588019468</v>
      </c>
      <c r="Y37" s="69" t="n">
        <f aca="false">SUM(Y31:Y36)</f>
        <v>-34043.0239948064</v>
      </c>
      <c r="Z37" s="69" t="n">
        <f aca="false">SUM(Z31:Z36)</f>
        <v>-229762.371919954</v>
      </c>
      <c r="AA37" s="69" t="n">
        <f aca="false">SUM(AA31:AA36)</f>
        <v>-215831.639625295</v>
      </c>
      <c r="AB37" s="69" t="n">
        <f aca="false">SUM(AB31:AB36)</f>
        <v>-203240.898841317</v>
      </c>
      <c r="AC37" s="69" t="n">
        <f aca="false">SUM(AC31:AC36)</f>
        <v>-191872.715934489</v>
      </c>
      <c r="AD37" s="69" t="n">
        <f aca="false">SUM(AD31:AD36)</f>
        <v>-181557.310088006</v>
      </c>
      <c r="AE37" s="69" t="n">
        <f aca="false">SUM(AE31:AE36)</f>
        <v>-172230.790495614</v>
      </c>
      <c r="AF37" s="69" t="n">
        <f aca="false">SUM(AF31:AF36)</f>
        <v>-164249.558049841</v>
      </c>
      <c r="AG37" s="69" t="n">
        <f aca="false">SUM(AG31:AG36)</f>
        <v>-157683.796736707</v>
      </c>
      <c r="AH37" s="69" t="n">
        <f aca="false">SUM(AH31:AH36)</f>
        <v>-151802.547665821</v>
      </c>
      <c r="AI37" s="69" t="n">
        <f aca="false">SUM(AI31:AI36)</f>
        <v>-146470.204587198</v>
      </c>
      <c r="AJ37" s="69" t="n">
        <f aca="false">SUM(AJ31:AJ36)</f>
        <v>-141654.722596677</v>
      </c>
      <c r="AK37" s="69" t="n">
        <f aca="false">SUM(AK31:AK36)</f>
        <v>-137310.327461095</v>
      </c>
      <c r="AL37" s="69" t="n">
        <f aca="false">SUM(AL31:AL36)</f>
        <v>-459453.033977779</v>
      </c>
      <c r="AM37" s="69" t="n">
        <f aca="false">SUM(AM31:AM36)</f>
        <v>-438969.071941939</v>
      </c>
      <c r="AN37" s="69" t="n">
        <f aca="false">SUM(AN31:AN36)</f>
        <v>-420383.779455516</v>
      </c>
      <c r="AO37" s="69" t="n">
        <f aca="false">SUM(AO31:AO36)</f>
        <v>-394450.351830689</v>
      </c>
      <c r="AP37" s="69" t="n">
        <f aca="false">SUM(AP31:AP36)</f>
        <v>-383907.408908097</v>
      </c>
      <c r="AQ37" s="69" t="n">
        <f aca="false">SUM(AQ31:AQ36)</f>
        <v>-374708.898838223</v>
      </c>
      <c r="AR37" s="69" t="n">
        <f aca="false">SUM(AR31:AR36)</f>
        <v>-366533.309213443</v>
      </c>
      <c r="AS37" s="69" t="n">
        <f aca="false">SUM(AS31:AS36)</f>
        <v>-336761.393162709</v>
      </c>
      <c r="AT37" s="69" t="n">
        <f aca="false">SUM(AT31:AT36)</f>
        <v>-324884.291968669</v>
      </c>
      <c r="AU37" s="69" t="n">
        <f aca="false">SUM(AU31:AU36)</f>
        <v>-314006.287696023</v>
      </c>
      <c r="AV37" s="69" t="n">
        <f aca="false">SUM(AV31:AV36)</f>
        <v>-304027.28098438</v>
      </c>
      <c r="AW37" s="69" t="n">
        <f aca="false">SUM(AW31:AW36)</f>
        <v>-294895.488099797</v>
      </c>
      <c r="AX37" s="69" t="n">
        <f aca="false">SUM(AX31:AX36)</f>
        <v>-740202.916392583</v>
      </c>
      <c r="AY37" s="69" t="n">
        <f aca="false">SUM(AY31:AY36)</f>
        <v>-710098.795992284</v>
      </c>
      <c r="AZ37" s="69" t="n">
        <f aca="false">SUM(AZ31:AZ36)</f>
        <v>-682380.051106517</v>
      </c>
      <c r="BA37" s="69" t="n">
        <f aca="false">SUM(BA31:BA36)</f>
        <v>-656916.246224069</v>
      </c>
      <c r="BB37" s="69" t="n">
        <f aca="false">SUM(BB31:BB36)</f>
        <v>-633526.986144674</v>
      </c>
      <c r="BC37" s="69" t="n">
        <f aca="false">SUM(BC31:BC36)</f>
        <v>-611947.543038857</v>
      </c>
      <c r="BD37" s="69" t="n">
        <f aca="false">SUM(BD31:BD36)</f>
        <v>-592118.729408761</v>
      </c>
      <c r="BE37" s="69" t="n">
        <f aca="false">SUM(BE31:BE36)</f>
        <v>-573861.343967168</v>
      </c>
      <c r="BF37" s="69" t="n">
        <f aca="false">SUM(BF31:BF36)</f>
        <v>-557032.687988077</v>
      </c>
      <c r="BG37" s="69" t="n">
        <f aca="false">SUM(BG31:BG36)</f>
        <v>-541625.597530511</v>
      </c>
      <c r="BH37" s="69" t="n">
        <f aca="false">SUM(BH31:BH36)</f>
        <v>-527430.663971194</v>
      </c>
      <c r="BI37" s="69" t="n">
        <f aca="false">SUM(BI31:BI36)</f>
        <v>-514305.351527041</v>
      </c>
      <c r="BJ37" s="69" t="n">
        <f aca="false">SUM(B37:BI37)</f>
        <v>-14588423.5383555</v>
      </c>
    </row>
    <row r="38" customFormat="false" ht="15" hidden="false" customHeight="false" outlineLevel="0" collapsed="false">
      <c r="A38" s="12" t="s">
        <v>356</v>
      </c>
      <c r="B38" s="84" t="n">
        <f aca="false">-Investimentos!B32</f>
        <v>-0</v>
      </c>
      <c r="C38" s="84" t="n">
        <f aca="false">-Investimentos!C32</f>
        <v>-0</v>
      </c>
      <c r="D38" s="84" t="n">
        <f aca="false">-Investimentos!D32</f>
        <v>-0</v>
      </c>
      <c r="E38" s="84" t="n">
        <f aca="false">-Investimentos!E32</f>
        <v>-0</v>
      </c>
      <c r="F38" s="84" t="n">
        <f aca="false">-Investimentos!F32</f>
        <v>-6000</v>
      </c>
      <c r="G38" s="84" t="n">
        <f aca="false">-Investimentos!G32</f>
        <v>-0</v>
      </c>
      <c r="H38" s="84" t="n">
        <f aca="false">-Investimentos!H32</f>
        <v>-0</v>
      </c>
      <c r="I38" s="84" t="n">
        <f aca="false">-Investimentos!I32</f>
        <v>-16127.82</v>
      </c>
      <c r="J38" s="84" t="n">
        <f aca="false">-Investimentos!J32</f>
        <v>-7000</v>
      </c>
      <c r="K38" s="84" t="n">
        <f aca="false">-Investimentos!K32</f>
        <v>-7000</v>
      </c>
      <c r="L38" s="84" t="n">
        <f aca="false">-Investimentos!L32</f>
        <v>-0</v>
      </c>
      <c r="M38" s="84" t="n">
        <f aca="false">-Investimentos!M32</f>
        <v>-0</v>
      </c>
      <c r="N38" s="84" t="n">
        <f aca="false">-Investimentos!N32</f>
        <v>-15000</v>
      </c>
      <c r="O38" s="84" t="n">
        <f aca="false">-Investimentos!O32</f>
        <v>-0</v>
      </c>
      <c r="P38" s="84" t="n">
        <f aca="false">-Investimentos!P32</f>
        <v>-12000</v>
      </c>
      <c r="Q38" s="84" t="n">
        <f aca="false">-Investimentos!Q32</f>
        <v>-0</v>
      </c>
      <c r="R38" s="84" t="n">
        <f aca="false">-Investimentos!R32</f>
        <v>-0</v>
      </c>
      <c r="S38" s="84" t="n">
        <f aca="false">-Investimentos!S32</f>
        <v>-6000</v>
      </c>
      <c r="T38" s="84" t="n">
        <f aca="false">-Investimentos!T32</f>
        <v>-25000</v>
      </c>
      <c r="U38" s="84" t="n">
        <f aca="false">-Investimentos!U32</f>
        <v>-0</v>
      </c>
      <c r="V38" s="84" t="n">
        <f aca="false">-Investimentos!V32</f>
        <v>-0</v>
      </c>
      <c r="W38" s="84" t="n">
        <f aca="false">-Investimentos!W32</f>
        <v>-0</v>
      </c>
      <c r="X38" s="84" t="n">
        <f aca="false">-Investimentos!X32</f>
        <v>-0</v>
      </c>
      <c r="Y38" s="84" t="n">
        <f aca="false">-Investimentos!Y32</f>
        <v>-0</v>
      </c>
      <c r="Z38" s="84" t="n">
        <f aca="false">-Investimentos!Z32</f>
        <v>-45000</v>
      </c>
      <c r="AA38" s="84" t="n">
        <f aca="false">-Investimentos!AA32</f>
        <v>-0</v>
      </c>
      <c r="AB38" s="84" t="n">
        <f aca="false">-Investimentos!AB32</f>
        <v>-0</v>
      </c>
      <c r="AC38" s="84" t="n">
        <f aca="false">-Investimentos!AC32</f>
        <v>-0</v>
      </c>
      <c r="AD38" s="84" t="n">
        <f aca="false">-Investimentos!AD32</f>
        <v>-0</v>
      </c>
      <c r="AE38" s="84" t="n">
        <f aca="false">-Investimentos!AE32</f>
        <v>-15000</v>
      </c>
      <c r="AF38" s="84" t="n">
        <f aca="false">-Investimentos!AF32</f>
        <v>-0</v>
      </c>
      <c r="AG38" s="84" t="n">
        <f aca="false">-Investimentos!AG32</f>
        <v>-0</v>
      </c>
      <c r="AH38" s="84" t="n">
        <f aca="false">-Investimentos!AH32</f>
        <v>-0</v>
      </c>
      <c r="AI38" s="84" t="n">
        <f aca="false">-Investimentos!AI32</f>
        <v>-0</v>
      </c>
      <c r="AJ38" s="84" t="n">
        <f aca="false">-Investimentos!AJ32</f>
        <v>-0</v>
      </c>
      <c r="AK38" s="84" t="n">
        <f aca="false">-Investimentos!AK32</f>
        <v>-0</v>
      </c>
      <c r="AL38" s="84" t="n">
        <f aca="false">-Investimentos!AL32</f>
        <v>-60000</v>
      </c>
      <c r="AM38" s="84" t="n">
        <f aca="false">-Investimentos!AM32</f>
        <v>-0</v>
      </c>
      <c r="AN38" s="84" t="n">
        <f aca="false">-Investimentos!AN32</f>
        <v>-0</v>
      </c>
      <c r="AO38" s="84" t="n">
        <f aca="false">-Investimentos!AO32</f>
        <v>-0</v>
      </c>
      <c r="AP38" s="84" t="n">
        <f aca="false">-Investimentos!AP32</f>
        <v>-0</v>
      </c>
      <c r="AQ38" s="84" t="n">
        <f aca="false">-Investimentos!AQ32</f>
        <v>-25000</v>
      </c>
      <c r="AR38" s="84" t="n">
        <f aca="false">-Investimentos!AR32</f>
        <v>-0</v>
      </c>
      <c r="AS38" s="84" t="n">
        <f aca="false">-Investimentos!AS32</f>
        <v>-0</v>
      </c>
      <c r="AT38" s="84" t="n">
        <f aca="false">-Investimentos!AT32</f>
        <v>-0</v>
      </c>
      <c r="AU38" s="84" t="n">
        <f aca="false">-Investimentos!AU32</f>
        <v>-0</v>
      </c>
      <c r="AV38" s="84" t="n">
        <f aca="false">-Investimentos!AV32</f>
        <v>-0</v>
      </c>
      <c r="AW38" s="84" t="n">
        <f aca="false">-Investimentos!AW32</f>
        <v>-0</v>
      </c>
      <c r="AX38" s="84" t="n">
        <f aca="false">-Investimentos!AX32</f>
        <v>-70000</v>
      </c>
      <c r="AY38" s="84" t="n">
        <f aca="false">-Investimentos!AY32</f>
        <v>-0</v>
      </c>
      <c r="AZ38" s="84" t="n">
        <f aca="false">-Investimentos!AZ32</f>
        <v>-0</v>
      </c>
      <c r="BA38" s="84" t="n">
        <f aca="false">-Investimentos!BA32</f>
        <v>-0</v>
      </c>
      <c r="BB38" s="84" t="n">
        <f aca="false">-Investimentos!BB32</f>
        <v>-0</v>
      </c>
      <c r="BC38" s="84" t="n">
        <f aca="false">-Investimentos!BC32</f>
        <v>-30000</v>
      </c>
      <c r="BD38" s="84" t="n">
        <f aca="false">-Investimentos!BD32</f>
        <v>-0</v>
      </c>
      <c r="BE38" s="84" t="n">
        <f aca="false">-Investimentos!BE32</f>
        <v>-0</v>
      </c>
      <c r="BF38" s="84" t="n">
        <f aca="false">-Investimentos!BF32</f>
        <v>-0</v>
      </c>
      <c r="BG38" s="84" t="n">
        <f aca="false">-Investimentos!BG32</f>
        <v>-0</v>
      </c>
      <c r="BH38" s="84" t="n">
        <f aca="false">-Investimentos!BH32</f>
        <v>-0</v>
      </c>
      <c r="BI38" s="84" t="n">
        <f aca="false">-Investimentos!BI32</f>
        <v>-0</v>
      </c>
      <c r="BJ38" s="69" t="n">
        <f aca="false">SUM(B38:BI38)</f>
        <v>-339127.82</v>
      </c>
    </row>
    <row r="39" customFormat="false" ht="15" hidden="false" customHeight="false" outlineLevel="0" collapsed="false">
      <c r="A39" s="34" t="s">
        <v>266</v>
      </c>
      <c r="B39" s="69" t="n">
        <f aca="false">B37+B38</f>
        <v>0</v>
      </c>
      <c r="C39" s="69" t="n">
        <f aca="false">C37+C38</f>
        <v>0</v>
      </c>
      <c r="D39" s="69" t="n">
        <f aca="false">D37+D38</f>
        <v>0</v>
      </c>
      <c r="E39" s="69" t="n">
        <f aca="false">E37+E38</f>
        <v>-1500</v>
      </c>
      <c r="F39" s="69" t="n">
        <f aca="false">F37+F38</f>
        <v>-8100</v>
      </c>
      <c r="G39" s="69" t="n">
        <f aca="false">G37+G38</f>
        <v>-2100</v>
      </c>
      <c r="H39" s="69" t="n">
        <f aca="false">H37+H38</f>
        <v>-2100</v>
      </c>
      <c r="I39" s="69" t="n">
        <f aca="false">I37+I38</f>
        <v>-18227.82</v>
      </c>
      <c r="J39" s="69" t="n">
        <f aca="false">J37+J38</f>
        <v>-9100</v>
      </c>
      <c r="K39" s="69" t="n">
        <f aca="false">K37+K38</f>
        <v>-61273.56245</v>
      </c>
      <c r="L39" s="69" t="n">
        <f aca="false">L37+L38</f>
        <v>-27631.185925</v>
      </c>
      <c r="M39" s="69" t="n">
        <f aca="false">M37+M38</f>
        <v>-22574.569725</v>
      </c>
      <c r="N39" s="69" t="n">
        <f aca="false">N37+N38</f>
        <v>-94712.7170256625</v>
      </c>
      <c r="O39" s="69" t="n">
        <f aca="false">O37+O38</f>
        <v>-72159.2745445096</v>
      </c>
      <c r="P39" s="69" t="n">
        <f aca="false">P37+P38</f>
        <v>-77420.9951793912</v>
      </c>
      <c r="Q39" s="69" t="n">
        <f aca="false">Q37+Q38</f>
        <v>-59720.6003947917</v>
      </c>
      <c r="R39" s="69" t="n">
        <f aca="false">R37+R38</f>
        <v>-55143.1068814457</v>
      </c>
      <c r="S39" s="69" t="n">
        <f aca="false">S37+S38</f>
        <v>-56874.0813134799</v>
      </c>
      <c r="T39" s="69" t="n">
        <f aca="false">T37+T38</f>
        <v>-72319.9291042308</v>
      </c>
      <c r="U39" s="69" t="n">
        <f aca="false">U37+U38</f>
        <v>-44016.8640063897</v>
      </c>
      <c r="V39" s="69" t="n">
        <f aca="false">V37+V38</f>
        <v>-41009.7099721567</v>
      </c>
      <c r="W39" s="69" t="n">
        <f aca="false">W37+W38</f>
        <v>-38319.6656656991</v>
      </c>
      <c r="X39" s="69" t="n">
        <f aca="false">X37+X38</f>
        <v>-36109.8588019468</v>
      </c>
      <c r="Y39" s="69" t="n">
        <f aca="false">Y37+Y38</f>
        <v>-34043.0239948064</v>
      </c>
      <c r="Z39" s="69" t="n">
        <f aca="false">Z37+Z38</f>
        <v>-274762.371919954</v>
      </c>
      <c r="AA39" s="69" t="n">
        <f aca="false">AA37+AA38</f>
        <v>-215831.639625295</v>
      </c>
      <c r="AB39" s="69" t="n">
        <f aca="false">AB37+AB38</f>
        <v>-203240.898841317</v>
      </c>
      <c r="AC39" s="69" t="n">
        <f aca="false">AC37+AC38</f>
        <v>-191872.715934489</v>
      </c>
      <c r="AD39" s="69" t="n">
        <f aca="false">AD37+AD38</f>
        <v>-181557.310088006</v>
      </c>
      <c r="AE39" s="69" t="n">
        <f aca="false">AE37+AE38</f>
        <v>-187230.790495614</v>
      </c>
      <c r="AF39" s="69" t="n">
        <f aca="false">AF37+AF38</f>
        <v>-164249.558049841</v>
      </c>
      <c r="AG39" s="69" t="n">
        <f aca="false">AG37+AG38</f>
        <v>-157683.796736707</v>
      </c>
      <c r="AH39" s="69" t="n">
        <f aca="false">AH37+AH38</f>
        <v>-151802.547665821</v>
      </c>
      <c r="AI39" s="69" t="n">
        <f aca="false">AI37+AI38</f>
        <v>-146470.204587198</v>
      </c>
      <c r="AJ39" s="69" t="n">
        <f aca="false">AJ37+AJ38</f>
        <v>-141654.722596677</v>
      </c>
      <c r="AK39" s="69" t="n">
        <f aca="false">AK37+AK38</f>
        <v>-137310.327461095</v>
      </c>
      <c r="AL39" s="69" t="n">
        <f aca="false">AL37+AL38</f>
        <v>-519453.033977779</v>
      </c>
      <c r="AM39" s="69" t="n">
        <f aca="false">AM37+AM38</f>
        <v>-438969.071941939</v>
      </c>
      <c r="AN39" s="69" t="n">
        <f aca="false">AN37+AN38</f>
        <v>-420383.779455516</v>
      </c>
      <c r="AO39" s="69" t="n">
        <f aca="false">AO37+AO38</f>
        <v>-394450.351830689</v>
      </c>
      <c r="AP39" s="69" t="n">
        <f aca="false">AP37+AP38</f>
        <v>-383907.408908097</v>
      </c>
      <c r="AQ39" s="69" t="n">
        <f aca="false">AQ37+AQ38</f>
        <v>-399708.898838223</v>
      </c>
      <c r="AR39" s="69" t="n">
        <f aca="false">AR37+AR38</f>
        <v>-366533.309213443</v>
      </c>
      <c r="AS39" s="69" t="n">
        <f aca="false">AS37+AS38</f>
        <v>-336761.393162709</v>
      </c>
      <c r="AT39" s="69" t="n">
        <f aca="false">AT37+AT38</f>
        <v>-324884.291968669</v>
      </c>
      <c r="AU39" s="69" t="n">
        <f aca="false">AU37+AU38</f>
        <v>-314006.287696023</v>
      </c>
      <c r="AV39" s="69" t="n">
        <f aca="false">AV37+AV38</f>
        <v>-304027.28098438</v>
      </c>
      <c r="AW39" s="69" t="n">
        <f aca="false">AW37+AW38</f>
        <v>-294895.488099797</v>
      </c>
      <c r="AX39" s="69" t="n">
        <f aca="false">AX37+AX38</f>
        <v>-810202.916392583</v>
      </c>
      <c r="AY39" s="69" t="n">
        <f aca="false">AY37+AY38</f>
        <v>-710098.795992284</v>
      </c>
      <c r="AZ39" s="69" t="n">
        <f aca="false">AZ37+AZ38</f>
        <v>-682380.051106517</v>
      </c>
      <c r="BA39" s="69" t="n">
        <f aca="false">BA37+BA38</f>
        <v>-656916.246224069</v>
      </c>
      <c r="BB39" s="69" t="n">
        <f aca="false">BB37+BB38</f>
        <v>-633526.986144674</v>
      </c>
      <c r="BC39" s="69" t="n">
        <f aca="false">BC37+BC38</f>
        <v>-641947.543038857</v>
      </c>
      <c r="BD39" s="69" t="n">
        <f aca="false">BD37+BD38</f>
        <v>-592118.729408761</v>
      </c>
      <c r="BE39" s="69" t="n">
        <f aca="false">BE37+BE38</f>
        <v>-573861.343967168</v>
      </c>
      <c r="BF39" s="69" t="n">
        <f aca="false">BF37+BF38</f>
        <v>-557032.687988077</v>
      </c>
      <c r="BG39" s="69" t="n">
        <f aca="false">BG37+BG38</f>
        <v>-541625.597530511</v>
      </c>
      <c r="BH39" s="69" t="n">
        <f aca="false">BH37+BH38</f>
        <v>-527430.663971194</v>
      </c>
      <c r="BI39" s="69" t="n">
        <f aca="false">BI37+BI38</f>
        <v>-514305.351527041</v>
      </c>
      <c r="BJ39" s="69" t="n">
        <f aca="false">SUM(B39:BI39)</f>
        <v>-14927551.3583555</v>
      </c>
    </row>
    <row r="40" customFormat="false" ht="15" hidden="false" customHeight="false" outlineLevel="0" collapsed="false">
      <c r="A40" s="12" t="s">
        <v>268</v>
      </c>
      <c r="B40" s="84" t="n">
        <f aca="false">B39/(1+Premissas!$B$12)^B$5</f>
        <v>0</v>
      </c>
      <c r="C40" s="84" t="n">
        <f aca="false">C39/(1+Premissas!$B$12)^C$5</f>
        <v>0</v>
      </c>
      <c r="D40" s="84" t="n">
        <f aca="false">D39/(1+Premissas!$B$12)^D$5</f>
        <v>0</v>
      </c>
      <c r="E40" s="84" t="n">
        <f aca="false">E39/(1+Premissas!$B$12)^E$5</f>
        <v>-1392.47665008383</v>
      </c>
      <c r="F40" s="84" t="n">
        <f aca="false">F39/(1+Premissas!$B$12)^F$5</f>
        <v>-7380.84094984538</v>
      </c>
      <c r="G40" s="84" t="n">
        <f aca="false">G39/(1+Premissas!$B$12)^G$5</f>
        <v>-1878.29710109982</v>
      </c>
      <c r="H40" s="84" t="n">
        <f aca="false">H39/(1+Premissas!$B$12)^H$5</f>
        <v>-1843.69235056949</v>
      </c>
      <c r="I40" s="84" t="n">
        <f aca="false">I39/(1+Premissas!$B$12)^I$5</f>
        <v>-15708.2590926628</v>
      </c>
      <c r="J40" s="84" t="n">
        <f aca="false">J39/(1+Premissas!$B$12)^J$5</f>
        <v>-7697.6627978473</v>
      </c>
      <c r="K40" s="84" t="n">
        <f aca="false">K39/(1+Premissas!$B$12)^K$5</f>
        <v>-50876.214162612</v>
      </c>
      <c r="L40" s="84" t="n">
        <f aca="false">L39/(1+Premissas!$B$12)^L$5</f>
        <v>-22519.8423833983</v>
      </c>
      <c r="M40" s="84" t="n">
        <f aca="false">M39/(1+Premissas!$B$12)^M$5</f>
        <v>-18059.65578</v>
      </c>
      <c r="N40" s="84" t="n">
        <f aca="false">N39/(1+Premissas!$B$12)^N$5</f>
        <v>-74374.2240903714</v>
      </c>
      <c r="O40" s="84" t="n">
        <f aca="false">O39/(1+Premissas!$B$12)^O$5</f>
        <v>-55619.934939564</v>
      </c>
      <c r="P40" s="84" t="n">
        <f aca="false">P39/(1+Premissas!$B$12)^P$5</f>
        <v>-58576.2052412675</v>
      </c>
      <c r="Q40" s="84" t="n">
        <f aca="false">Q39/(1+Premissas!$B$12)^Q$5</f>
        <v>-44351.7555086585</v>
      </c>
      <c r="R40" s="84" t="n">
        <f aca="false">R39/(1+Premissas!$B$12)^R$5</f>
        <v>-40197.7779133111</v>
      </c>
      <c r="S40" s="84" t="n">
        <f aca="false">S39/(1+Premissas!$B$12)^S$5</f>
        <v>-40695.7798319333</v>
      </c>
      <c r="T40" s="84" t="n">
        <f aca="false">T39/(1+Premissas!$B$12)^T$5</f>
        <v>-50794.5524126469</v>
      </c>
      <c r="U40" s="84" t="n">
        <f aca="false">U39/(1+Premissas!$B$12)^U$5</f>
        <v>-30346.0668037701</v>
      </c>
      <c r="V40" s="84" t="n">
        <f aca="false">V39/(1+Premissas!$B$12)^V$5</f>
        <v>-27751.9928618178</v>
      </c>
      <c r="W40" s="84" t="n">
        <f aca="false">W39/(1+Premissas!$B$12)^W$5</f>
        <v>-25453.8425917528</v>
      </c>
      <c r="X40" s="84" t="n">
        <f aca="false">X39/(1+Premissas!$B$12)^X$5</f>
        <v>-23544.0731617924</v>
      </c>
      <c r="Y40" s="84" t="n">
        <f aca="false">Y39/(1+Premissas!$B$12)^Y$5</f>
        <v>-21787.5353566761</v>
      </c>
      <c r="Z40" s="84" t="n">
        <f aca="false">Z39/(1+Premissas!$B$12)^Z$5</f>
        <v>-172608.189164204</v>
      </c>
      <c r="AA40" s="84" t="n">
        <f aca="false">AA39/(1+Premissas!$B$12)^AA$5</f>
        <v>-133089.384056417</v>
      </c>
      <c r="AB40" s="84" t="n">
        <f aca="false">AB39/(1+Premissas!$B$12)^AB$5</f>
        <v>-123016.55979868</v>
      </c>
      <c r="AC40" s="84" t="n">
        <f aca="false">AC39/(1+Premissas!$B$12)^AC$5</f>
        <v>-113996.064736829</v>
      </c>
      <c r="AD40" s="84" t="n">
        <f aca="false">AD39/(1+Premissas!$B$12)^AD$5</f>
        <v>-105880.148467463</v>
      </c>
      <c r="AE40" s="84" t="n">
        <f aca="false">AE39/(1+Premissas!$B$12)^AE$5</f>
        <v>-107177.158407479</v>
      </c>
      <c r="AF40" s="84" t="n">
        <f aca="false">AF39/(1+Premissas!$B$12)^AF$5</f>
        <v>-92289.7230509444</v>
      </c>
      <c r="AG40" s="84" t="n">
        <f aca="false">AG39/(1+Premissas!$B$12)^AG$5</f>
        <v>-86968.1770868473</v>
      </c>
      <c r="AH40" s="84" t="n">
        <f aca="false">AH39/(1+Premissas!$B$12)^AH$5</f>
        <v>-82181.9656288797</v>
      </c>
      <c r="AI40" s="84" t="n">
        <f aca="false">AI39/(1+Premissas!$B$12)^AI$5</f>
        <v>-77834.2810079701</v>
      </c>
      <c r="AJ40" s="84" t="n">
        <f aca="false">AJ39/(1+Premissas!$B$12)^AJ$5</f>
        <v>-73888.5005520931</v>
      </c>
      <c r="AK40" s="84" t="n">
        <f aca="false">AK39/(1+Premissas!$B$12)^AK$5</f>
        <v>-70302.8876600804</v>
      </c>
      <c r="AL40" s="84" t="n">
        <f aca="false">AL39/(1+Premissas!$B$12)^AL$5</f>
        <v>-261060.048140441</v>
      </c>
      <c r="AM40" s="84" t="n">
        <f aca="false">AM39/(1+Premissas!$B$12)^AM$5</f>
        <v>-216547.021580325</v>
      </c>
      <c r="AN40" s="84" t="n">
        <f aca="false">AN39/(1+Premissas!$B$12)^AN$5</f>
        <v>-203558.10917432</v>
      </c>
      <c r="AO40" s="84" t="n">
        <f aca="false">AO39/(1+Premissas!$B$12)^AO$5</f>
        <v>-187481.738083528</v>
      </c>
      <c r="AP40" s="84" t="n">
        <f aca="false">AP39/(1+Premissas!$B$12)^AP$5</f>
        <v>-179108.947728934</v>
      </c>
      <c r="AQ40" s="84" t="n">
        <f aca="false">AQ39/(1+Premissas!$B$12)^AQ$5</f>
        <v>-183045.379894036</v>
      </c>
      <c r="AR40" s="84" t="n">
        <f aca="false">AR39/(1+Premissas!$B$12)^AR$5</f>
        <v>-164760.297673324</v>
      </c>
      <c r="AS40" s="84" t="n">
        <f aca="false">AS39/(1+Premissas!$B$12)^AS$5</f>
        <v>-148588.631591568</v>
      </c>
      <c r="AT40" s="84" t="n">
        <f aca="false">AT39/(1+Premissas!$B$12)^AT$5</f>
        <v>-140707.149525362</v>
      </c>
      <c r="AU40" s="84" t="n">
        <f aca="false">AU39/(1+Premissas!$B$12)^AU$5</f>
        <v>-133490.377534097</v>
      </c>
      <c r="AV40" s="84" t="n">
        <f aca="false">AV39/(1+Premissas!$B$12)^AV$5</f>
        <v>-126866.902886542</v>
      </c>
      <c r="AW40" s="84" t="n">
        <f aca="false">AW39/(1+Premissas!$B$12)^AW$5</f>
        <v>-120789.191925676</v>
      </c>
      <c r="AX40" s="84" t="n">
        <f aca="false">AX39/(1+Premissas!$B$12)^AX$5</f>
        <v>-325745.118071284</v>
      </c>
      <c r="AY40" s="84" t="n">
        <f aca="false">AY39/(1+Premissas!$B$12)^AY$5</f>
        <v>-280238.019721338</v>
      </c>
      <c r="AZ40" s="84" t="n">
        <f aca="false">AZ39/(1+Premissas!$B$12)^AZ$5</f>
        <v>-264337.492985915</v>
      </c>
      <c r="BA40" s="84" t="n">
        <f aca="false">BA39/(1+Premissas!$B$12)^BA$5</f>
        <v>-249785.148464533</v>
      </c>
      <c r="BB40" s="84" t="n">
        <f aca="false">BB39/(1+Premissas!$B$12)^BB$5</f>
        <v>-236453.580656828</v>
      </c>
      <c r="BC40" s="84" t="n">
        <f aca="false">BC39/(1+Premissas!$B$12)^BC$5</f>
        <v>-235182.218317635</v>
      </c>
      <c r="BD40" s="84" t="n">
        <f aca="false">BD39/(1+Premissas!$B$12)^BD$5</f>
        <v>-212930.515536916</v>
      </c>
      <c r="BE40" s="84" t="n">
        <f aca="false">BE39/(1+Premissas!$B$12)^BE$5</f>
        <v>-202563.05753476</v>
      </c>
      <c r="BF40" s="84" t="n">
        <f aca="false">BF39/(1+Premissas!$B$12)^BF$5</f>
        <v>-193000.360206547</v>
      </c>
      <c r="BG40" s="84" t="n">
        <f aca="false">BG39/(1+Premissas!$B$12)^BG$5</f>
        <v>-184204.733037629</v>
      </c>
      <c r="BH40" s="84" t="n">
        <f aca="false">BH39/(1+Premissas!$B$12)^BH$5</f>
        <v>-176072.343531185</v>
      </c>
      <c r="BI40" s="84" t="n">
        <f aca="false">BI39/(1+Premissas!$B$12)^BI$5</f>
        <v>-168527.57758838</v>
      </c>
      <c r="BJ40" s="69" t="n">
        <f aca="false">SUM(B40:BI40)</f>
        <v>-6655127.68299067</v>
      </c>
    </row>
    <row r="41" customFormat="false" ht="15" hidden="false" customHeight="false" outlineLevel="0" collapsed="false">
      <c r="A41" s="12" t="s">
        <v>269</v>
      </c>
      <c r="B41" s="84" t="n">
        <f aca="false">B40</f>
        <v>0</v>
      </c>
      <c r="C41" s="84" t="n">
        <f aca="false">B41+C40</f>
        <v>0</v>
      </c>
      <c r="D41" s="84" t="n">
        <f aca="false">C41+D40</f>
        <v>0</v>
      </c>
      <c r="E41" s="84" t="n">
        <f aca="false">D41+E40</f>
        <v>-1392.47665008383</v>
      </c>
      <c r="F41" s="84" t="n">
        <f aca="false">E41+F40</f>
        <v>-8773.31759992921</v>
      </c>
      <c r="G41" s="84" t="n">
        <f aca="false">F41+G40</f>
        <v>-10651.614701029</v>
      </c>
      <c r="H41" s="84" t="n">
        <f aca="false">G41+H40</f>
        <v>-12495.3070515985</v>
      </c>
      <c r="I41" s="84" t="n">
        <f aca="false">H41+I40</f>
        <v>-28203.5661442613</v>
      </c>
      <c r="J41" s="84" t="n">
        <f aca="false">I41+J40</f>
        <v>-35901.2289421086</v>
      </c>
      <c r="K41" s="84" t="n">
        <f aca="false">J41+K40</f>
        <v>-86777.4431047206</v>
      </c>
      <c r="L41" s="84" t="n">
        <f aca="false">K41+L40</f>
        <v>-109297.285488119</v>
      </c>
      <c r="M41" s="84" t="n">
        <f aca="false">L41+M40</f>
        <v>-127356.941268119</v>
      </c>
      <c r="N41" s="84" t="n">
        <f aca="false">M41+N40</f>
        <v>-201731.16535849</v>
      </c>
      <c r="O41" s="84" t="n">
        <f aca="false">N41+O40</f>
        <v>-257351.100298054</v>
      </c>
      <c r="P41" s="84" t="n">
        <f aca="false">O41+P40</f>
        <v>-315927.305539322</v>
      </c>
      <c r="Q41" s="84" t="n">
        <f aca="false">P41+Q40</f>
        <v>-360279.06104798</v>
      </c>
      <c r="R41" s="84" t="n">
        <f aca="false">Q41+R40</f>
        <v>-400476.838961292</v>
      </c>
      <c r="S41" s="84" t="n">
        <f aca="false">R41+S40</f>
        <v>-441172.618793225</v>
      </c>
      <c r="T41" s="84" t="n">
        <f aca="false">S41+T40</f>
        <v>-491967.171205872</v>
      </c>
      <c r="U41" s="84" t="n">
        <f aca="false">T41+U40</f>
        <v>-522313.238009642</v>
      </c>
      <c r="V41" s="84" t="n">
        <f aca="false">U41+V40</f>
        <v>-550065.23087146</v>
      </c>
      <c r="W41" s="84" t="n">
        <f aca="false">V41+W40</f>
        <v>-575519.073463213</v>
      </c>
      <c r="X41" s="84" t="n">
        <f aca="false">W41+X40</f>
        <v>-599063.146625005</v>
      </c>
      <c r="Y41" s="84" t="n">
        <f aca="false">X41+Y40</f>
        <v>-620850.681981681</v>
      </c>
      <c r="Z41" s="84" t="n">
        <f aca="false">Y41+Z40</f>
        <v>-793458.871145885</v>
      </c>
      <c r="AA41" s="84" t="n">
        <f aca="false">Z41+AA40</f>
        <v>-926548.255202302</v>
      </c>
      <c r="AB41" s="84" t="n">
        <f aca="false">AA41+AB40</f>
        <v>-1049564.81500098</v>
      </c>
      <c r="AC41" s="84" t="n">
        <f aca="false">AB41+AC40</f>
        <v>-1163560.87973781</v>
      </c>
      <c r="AD41" s="84" t="n">
        <f aca="false">AC41+AD40</f>
        <v>-1269441.02820527</v>
      </c>
      <c r="AE41" s="84" t="n">
        <f aca="false">AD41+AE40</f>
        <v>-1376618.18661275</v>
      </c>
      <c r="AF41" s="84" t="n">
        <f aca="false">AE41+AF40</f>
        <v>-1468907.9096637</v>
      </c>
      <c r="AG41" s="84" t="n">
        <f aca="false">AF41+AG40</f>
        <v>-1555876.08675055</v>
      </c>
      <c r="AH41" s="84" t="n">
        <f aca="false">AG41+AH40</f>
        <v>-1638058.05237943</v>
      </c>
      <c r="AI41" s="84" t="n">
        <f aca="false">AH41+AI40</f>
        <v>-1715892.3333874</v>
      </c>
      <c r="AJ41" s="84" t="n">
        <f aca="false">AI41+AJ40</f>
        <v>-1789780.83393949</v>
      </c>
      <c r="AK41" s="84" t="n">
        <f aca="false">AJ41+AK40</f>
        <v>-1860083.72159957</v>
      </c>
      <c r="AL41" s="84" t="n">
        <f aca="false">AK41+AL40</f>
        <v>-2121143.76974001</v>
      </c>
      <c r="AM41" s="84" t="n">
        <f aca="false">AL41+AM40</f>
        <v>-2337690.79132033</v>
      </c>
      <c r="AN41" s="84" t="n">
        <f aca="false">AM41+AN40</f>
        <v>-2541248.90049465</v>
      </c>
      <c r="AO41" s="84" t="n">
        <f aca="false">AN41+AO40</f>
        <v>-2728730.63857818</v>
      </c>
      <c r="AP41" s="84" t="n">
        <f aca="false">AO41+AP40</f>
        <v>-2907839.58630712</v>
      </c>
      <c r="AQ41" s="84" t="n">
        <f aca="false">AP41+AQ40</f>
        <v>-3090884.96620115</v>
      </c>
      <c r="AR41" s="84" t="n">
        <f aca="false">AQ41+AR40</f>
        <v>-3255645.26387448</v>
      </c>
      <c r="AS41" s="84" t="n">
        <f aca="false">AR41+AS40</f>
        <v>-3404233.89546604</v>
      </c>
      <c r="AT41" s="84" t="n">
        <f aca="false">AS41+AT40</f>
        <v>-3544941.04499141</v>
      </c>
      <c r="AU41" s="84" t="n">
        <f aca="false">AT41+AU40</f>
        <v>-3678431.4225255</v>
      </c>
      <c r="AV41" s="84" t="n">
        <f aca="false">AU41+AV40</f>
        <v>-3805298.32541205</v>
      </c>
      <c r="AW41" s="84" t="n">
        <f aca="false">AV41+AW40</f>
        <v>-3926087.51733772</v>
      </c>
      <c r="AX41" s="84" t="n">
        <f aca="false">AW41+AX40</f>
        <v>-4251832.63540901</v>
      </c>
      <c r="AY41" s="84" t="n">
        <f aca="false">AX41+AY40</f>
        <v>-4532070.65513034</v>
      </c>
      <c r="AZ41" s="84" t="n">
        <f aca="false">AY41+AZ40</f>
        <v>-4796408.14811626</v>
      </c>
      <c r="BA41" s="84" t="n">
        <f aca="false">AZ41+BA40</f>
        <v>-5046193.29658079</v>
      </c>
      <c r="BB41" s="84" t="n">
        <f aca="false">BA41+BB40</f>
        <v>-5282646.87723762</v>
      </c>
      <c r="BC41" s="84" t="n">
        <f aca="false">BB41+BC40</f>
        <v>-5517829.09555526</v>
      </c>
      <c r="BD41" s="84" t="n">
        <f aca="false">BC41+BD40</f>
        <v>-5730759.61109217</v>
      </c>
      <c r="BE41" s="84" t="n">
        <f aca="false">BD41+BE40</f>
        <v>-5933322.66862693</v>
      </c>
      <c r="BF41" s="84" t="n">
        <f aca="false">BE41+BF40</f>
        <v>-6126323.02883348</v>
      </c>
      <c r="BG41" s="84" t="n">
        <f aca="false">BF41+BG40</f>
        <v>-6310527.76187111</v>
      </c>
      <c r="BH41" s="84" t="n">
        <f aca="false">BG41+BH40</f>
        <v>-6486600.10540229</v>
      </c>
      <c r="BI41" s="84" t="n">
        <f aca="false">BH41+BI40</f>
        <v>-6655127.68299067</v>
      </c>
      <c r="BJ41" s="69" t="n">
        <f aca="false">BI41</f>
        <v>-6655127.68299067</v>
      </c>
      <c r="BK41" s="14" t="s">
        <v>344</v>
      </c>
    </row>
    <row r="42" customFormat="false" ht="15" hidden="false" customHeight="false" outlineLevel="0" collapsed="false">
      <c r="A42" s="12" t="s">
        <v>270</v>
      </c>
      <c r="B42" s="84" t="n">
        <f aca="false">B39</f>
        <v>0</v>
      </c>
      <c r="C42" s="84" t="n">
        <f aca="false">B42+C39</f>
        <v>0</v>
      </c>
      <c r="D42" s="84" t="n">
        <f aca="false">C42+D39</f>
        <v>0</v>
      </c>
      <c r="E42" s="84" t="n">
        <f aca="false">D42+E39</f>
        <v>-1500</v>
      </c>
      <c r="F42" s="84" t="n">
        <f aca="false">E42+F39</f>
        <v>-9600</v>
      </c>
      <c r="G42" s="84" t="n">
        <f aca="false">F42+G39</f>
        <v>-11700</v>
      </c>
      <c r="H42" s="84" t="n">
        <f aca="false">G42+H39</f>
        <v>-13800</v>
      </c>
      <c r="I42" s="84" t="n">
        <f aca="false">H42+I39</f>
        <v>-32027.82</v>
      </c>
      <c r="J42" s="84" t="n">
        <f aca="false">I42+J39</f>
        <v>-41127.82</v>
      </c>
      <c r="K42" s="84" t="n">
        <f aca="false">J42+K39</f>
        <v>-102401.38245</v>
      </c>
      <c r="L42" s="84" t="n">
        <f aca="false">K42+L39</f>
        <v>-130032.568375</v>
      </c>
      <c r="M42" s="84" t="n">
        <f aca="false">L42+M39</f>
        <v>-152607.1381</v>
      </c>
      <c r="N42" s="84" t="n">
        <f aca="false">M42+N39</f>
        <v>-247319.855125663</v>
      </c>
      <c r="O42" s="84" t="n">
        <f aca="false">N42+O39</f>
        <v>-319479.129670172</v>
      </c>
      <c r="P42" s="84" t="n">
        <f aca="false">O42+P39</f>
        <v>-396900.124849563</v>
      </c>
      <c r="Q42" s="84" t="n">
        <f aca="false">P42+Q39</f>
        <v>-456620.725244355</v>
      </c>
      <c r="R42" s="84" t="n">
        <f aca="false">Q42+R39</f>
        <v>-511763.832125801</v>
      </c>
      <c r="S42" s="84" t="n">
        <f aca="false">R42+S39</f>
        <v>-568637.913439281</v>
      </c>
      <c r="T42" s="84" t="n">
        <f aca="false">S42+T39</f>
        <v>-640957.842543511</v>
      </c>
      <c r="U42" s="84" t="n">
        <f aca="false">T42+U39</f>
        <v>-684974.706549901</v>
      </c>
      <c r="V42" s="84" t="n">
        <f aca="false">U42+V39</f>
        <v>-725984.416522058</v>
      </c>
      <c r="W42" s="84" t="n">
        <f aca="false">V42+W39</f>
        <v>-764304.082187757</v>
      </c>
      <c r="X42" s="84" t="n">
        <f aca="false">W42+X39</f>
        <v>-800413.940989704</v>
      </c>
      <c r="Y42" s="84" t="n">
        <f aca="false">X42+Y39</f>
        <v>-834456.96498451</v>
      </c>
      <c r="Z42" s="84" t="n">
        <f aca="false">Y42+Z39</f>
        <v>-1109219.33690446</v>
      </c>
      <c r="AA42" s="84" t="n">
        <f aca="false">Z42+AA39</f>
        <v>-1325050.97652976</v>
      </c>
      <c r="AB42" s="84" t="n">
        <f aca="false">AA42+AB39</f>
        <v>-1528291.87537108</v>
      </c>
      <c r="AC42" s="84" t="n">
        <f aca="false">AB42+AC39</f>
        <v>-1720164.59130557</v>
      </c>
      <c r="AD42" s="84" t="n">
        <f aca="false">AC42+AD39</f>
        <v>-1901721.90139357</v>
      </c>
      <c r="AE42" s="84" t="n">
        <f aca="false">AD42+AE39</f>
        <v>-2088952.69188919</v>
      </c>
      <c r="AF42" s="84" t="n">
        <f aca="false">AE42+AF39</f>
        <v>-2253202.24993903</v>
      </c>
      <c r="AG42" s="84" t="n">
        <f aca="false">AF42+AG39</f>
        <v>-2410886.04667573</v>
      </c>
      <c r="AH42" s="84" t="n">
        <f aca="false">AG42+AH39</f>
        <v>-2562688.59434156</v>
      </c>
      <c r="AI42" s="84" t="n">
        <f aca="false">AH42+AI39</f>
        <v>-2709158.79892875</v>
      </c>
      <c r="AJ42" s="84" t="n">
        <f aca="false">AI42+AJ39</f>
        <v>-2850813.52152543</v>
      </c>
      <c r="AK42" s="84" t="n">
        <f aca="false">AJ42+AK39</f>
        <v>-2988123.84898652</v>
      </c>
      <c r="AL42" s="84" t="n">
        <f aca="false">AK42+AL39</f>
        <v>-3507576.8829643</v>
      </c>
      <c r="AM42" s="84" t="n">
        <f aca="false">AL42+AM39</f>
        <v>-3946545.95490624</v>
      </c>
      <c r="AN42" s="84" t="n">
        <f aca="false">AM42+AN39</f>
        <v>-4366929.73436176</v>
      </c>
      <c r="AO42" s="84" t="n">
        <f aca="false">AN42+AO39</f>
        <v>-4761380.08619245</v>
      </c>
      <c r="AP42" s="84" t="n">
        <f aca="false">AO42+AP39</f>
        <v>-5145287.49510054</v>
      </c>
      <c r="AQ42" s="84" t="n">
        <f aca="false">AP42+AQ39</f>
        <v>-5544996.39393877</v>
      </c>
      <c r="AR42" s="84" t="n">
        <f aca="false">AQ42+AR39</f>
        <v>-5911529.70315221</v>
      </c>
      <c r="AS42" s="84" t="n">
        <f aca="false">AR42+AS39</f>
        <v>-6248291.09631492</v>
      </c>
      <c r="AT42" s="84" t="n">
        <f aca="false">AS42+AT39</f>
        <v>-6573175.38828359</v>
      </c>
      <c r="AU42" s="84" t="n">
        <f aca="false">AT42+AU39</f>
        <v>-6887181.67597961</v>
      </c>
      <c r="AV42" s="84" t="n">
        <f aca="false">AU42+AV39</f>
        <v>-7191208.95696399</v>
      </c>
      <c r="AW42" s="84" t="n">
        <f aca="false">AV42+AW39</f>
        <v>-7486104.44506379</v>
      </c>
      <c r="AX42" s="84" t="n">
        <f aca="false">AW42+AX39</f>
        <v>-8296307.36145637</v>
      </c>
      <c r="AY42" s="84" t="n">
        <f aca="false">AX42+AY39</f>
        <v>-9006406.15744865</v>
      </c>
      <c r="AZ42" s="84" t="n">
        <f aca="false">AY42+AZ39</f>
        <v>-9688786.20855517</v>
      </c>
      <c r="BA42" s="84" t="n">
        <f aca="false">AZ42+BA39</f>
        <v>-10345702.4547792</v>
      </c>
      <c r="BB42" s="84" t="n">
        <f aca="false">BA42+BB39</f>
        <v>-10979229.4409239</v>
      </c>
      <c r="BC42" s="84" t="n">
        <f aca="false">BB42+BC39</f>
        <v>-11621176.9839628</v>
      </c>
      <c r="BD42" s="84" t="n">
        <f aca="false">BC42+BD39</f>
        <v>-12213295.7133715</v>
      </c>
      <c r="BE42" s="84" t="n">
        <f aca="false">BD42+BE39</f>
        <v>-12787157.0573387</v>
      </c>
      <c r="BF42" s="84" t="n">
        <f aca="false">BE42+BF39</f>
        <v>-13344189.7453268</v>
      </c>
      <c r="BG42" s="84" t="n">
        <f aca="false">BF42+BG39</f>
        <v>-13885815.3428573</v>
      </c>
      <c r="BH42" s="84" t="n">
        <f aca="false">BG42+BH39</f>
        <v>-14413246.0068285</v>
      </c>
      <c r="BI42" s="84" t="n">
        <f aca="false">BH42+BI39</f>
        <v>-14927551.3583555</v>
      </c>
      <c r="BJ42" s="69" t="n">
        <f aca="false">BI42</f>
        <v>-14927551.3583555</v>
      </c>
      <c r="BK42" s="14" t="s">
        <v>344</v>
      </c>
    </row>
    <row r="43" customFormat="false" ht="15" hidden="false" customHeight="false" outlineLevel="0" collapsed="false">
      <c r="A43" s="73" t="s">
        <v>357</v>
      </c>
      <c r="B43" s="110" t="n">
        <f aca="false">IF(B37&gt;0,1,0)</f>
        <v>0</v>
      </c>
      <c r="C43" s="110" t="n">
        <f aca="false">IF(B43=1,1,IF(C37&gt;0,1,0))</f>
        <v>0</v>
      </c>
      <c r="D43" s="110" t="n">
        <f aca="false">IF(C43=1,1,IF(D37&gt;0,1,0))</f>
        <v>0</v>
      </c>
      <c r="E43" s="110" t="n">
        <f aca="false">IF(D43=1,1,IF(E37&gt;0,1,0))</f>
        <v>0</v>
      </c>
      <c r="F43" s="110" t="n">
        <f aca="false">IF(E43=1,1,IF(F37&gt;0,1,0))</f>
        <v>0</v>
      </c>
      <c r="G43" s="110" t="n">
        <f aca="false">IF(F43=1,1,IF(G37&gt;0,1,0))</f>
        <v>0</v>
      </c>
      <c r="H43" s="110" t="n">
        <f aca="false">IF(G43=1,1,IF(H37&gt;0,1,0))</f>
        <v>0</v>
      </c>
      <c r="I43" s="110" t="n">
        <f aca="false">IF(H43=1,1,IF(I37&gt;0,1,0))</f>
        <v>0</v>
      </c>
      <c r="J43" s="110" t="n">
        <f aca="false">IF(I43=1,1,IF(J37&gt;0,1,0))</f>
        <v>0</v>
      </c>
      <c r="K43" s="110" t="n">
        <f aca="false">IF(J43=1,1,IF(K37&gt;0,1,0))</f>
        <v>0</v>
      </c>
      <c r="L43" s="110" t="n">
        <f aca="false">IF(K43=1,1,IF(L37&gt;0,1,0))</f>
        <v>0</v>
      </c>
      <c r="M43" s="110" t="n">
        <f aca="false">IF(L43=1,1,IF(M37&gt;0,1,0))</f>
        <v>0</v>
      </c>
      <c r="N43" s="110" t="n">
        <f aca="false">IF(M43=1,1,IF(N37&gt;0,1,0))</f>
        <v>0</v>
      </c>
      <c r="O43" s="110" t="n">
        <f aca="false">IF(N43=1,1,IF(O37&gt;0,1,0))</f>
        <v>0</v>
      </c>
      <c r="P43" s="110" t="n">
        <f aca="false">IF(O43=1,1,IF(P37&gt;0,1,0))</f>
        <v>0</v>
      </c>
      <c r="Q43" s="110" t="n">
        <f aca="false">IF(P43=1,1,IF(Q37&gt;0,1,0))</f>
        <v>0</v>
      </c>
      <c r="R43" s="110" t="n">
        <f aca="false">IF(Q43=1,1,IF(R37&gt;0,1,0))</f>
        <v>0</v>
      </c>
      <c r="S43" s="110" t="n">
        <f aca="false">IF(R43=1,1,IF(S37&gt;0,1,0))</f>
        <v>0</v>
      </c>
      <c r="T43" s="110" t="n">
        <f aca="false">IF(S43=1,1,IF(T37&gt;0,1,0))</f>
        <v>0</v>
      </c>
      <c r="U43" s="110" t="n">
        <f aca="false">IF(T43=1,1,IF(U37&gt;0,1,0))</f>
        <v>0</v>
      </c>
      <c r="V43" s="110" t="n">
        <f aca="false">IF(U43=1,1,IF(V37&gt;0,1,0))</f>
        <v>0</v>
      </c>
      <c r="W43" s="110" t="n">
        <f aca="false">IF(V43=1,1,IF(W37&gt;0,1,0))</f>
        <v>0</v>
      </c>
      <c r="X43" s="110" t="n">
        <f aca="false">IF(W43=1,1,IF(X37&gt;0,1,0))</f>
        <v>0</v>
      </c>
      <c r="Y43" s="110" t="n">
        <f aca="false">IF(X43=1,1,IF(Y37&gt;0,1,0))</f>
        <v>0</v>
      </c>
      <c r="Z43" s="110" t="n">
        <f aca="false">IF(Y43=1,1,IF(Z37&gt;0,1,0))</f>
        <v>0</v>
      </c>
      <c r="AA43" s="110" t="n">
        <f aca="false">IF(Z43=1,1,IF(AA37&gt;0,1,0))</f>
        <v>0</v>
      </c>
      <c r="AB43" s="110" t="n">
        <f aca="false">IF(AA43=1,1,IF(AB37&gt;0,1,0))</f>
        <v>0</v>
      </c>
      <c r="AC43" s="110" t="n">
        <f aca="false">IF(AB43=1,1,IF(AC37&gt;0,1,0))</f>
        <v>0</v>
      </c>
      <c r="AD43" s="110" t="n">
        <f aca="false">IF(AC43=1,1,IF(AD37&gt;0,1,0))</f>
        <v>0</v>
      </c>
      <c r="AE43" s="110" t="n">
        <f aca="false">IF(AD43=1,1,IF(AE37&gt;0,1,0))</f>
        <v>0</v>
      </c>
      <c r="AF43" s="110" t="n">
        <f aca="false">IF(AE43=1,1,IF(AF37&gt;0,1,0))</f>
        <v>0</v>
      </c>
      <c r="AG43" s="110" t="n">
        <f aca="false">IF(AF43=1,1,IF(AG37&gt;0,1,0))</f>
        <v>0</v>
      </c>
      <c r="AH43" s="110" t="n">
        <f aca="false">IF(AG43=1,1,IF(AH37&gt;0,1,0))</f>
        <v>0</v>
      </c>
      <c r="AI43" s="110" t="n">
        <f aca="false">IF(AH43=1,1,IF(AI37&gt;0,1,0))</f>
        <v>0</v>
      </c>
      <c r="AJ43" s="110" t="n">
        <f aca="false">IF(AI43=1,1,IF(AJ37&gt;0,1,0))</f>
        <v>0</v>
      </c>
      <c r="AK43" s="110" t="n">
        <f aca="false">IF(AJ43=1,1,IF(AK37&gt;0,1,0))</f>
        <v>0</v>
      </c>
      <c r="AL43" s="110" t="n">
        <f aca="false">IF(AK43=1,1,IF(AL37&gt;0,1,0))</f>
        <v>0</v>
      </c>
      <c r="AM43" s="110" t="n">
        <f aca="false">IF(AL43=1,1,IF(AM37&gt;0,1,0))</f>
        <v>0</v>
      </c>
      <c r="AN43" s="110" t="n">
        <f aca="false">IF(AM43=1,1,IF(AN37&gt;0,1,0))</f>
        <v>0</v>
      </c>
      <c r="AO43" s="110" t="n">
        <f aca="false">IF(AN43=1,1,IF(AO37&gt;0,1,0))</f>
        <v>0</v>
      </c>
      <c r="AP43" s="110" t="n">
        <f aca="false">IF(AO43=1,1,IF(AP37&gt;0,1,0))</f>
        <v>0</v>
      </c>
      <c r="AQ43" s="110" t="n">
        <f aca="false">IF(AP43=1,1,IF(AQ37&gt;0,1,0))</f>
        <v>0</v>
      </c>
      <c r="AR43" s="110" t="n">
        <f aca="false">IF(AQ43=1,1,IF(AR37&gt;0,1,0))</f>
        <v>0</v>
      </c>
      <c r="AS43" s="110" t="n">
        <f aca="false">IF(AR43=1,1,IF(AS37&gt;0,1,0))</f>
        <v>0</v>
      </c>
      <c r="AT43" s="110" t="n">
        <f aca="false">IF(AS43=1,1,IF(AT37&gt;0,1,0))</f>
        <v>0</v>
      </c>
      <c r="AU43" s="110" t="n">
        <f aca="false">IF(AT43=1,1,IF(AU37&gt;0,1,0))</f>
        <v>0</v>
      </c>
      <c r="AV43" s="110" t="n">
        <f aca="false">IF(AU43=1,1,IF(AV37&gt;0,1,0))</f>
        <v>0</v>
      </c>
      <c r="AW43" s="110" t="n">
        <f aca="false">IF(AV43=1,1,IF(AW37&gt;0,1,0))</f>
        <v>0</v>
      </c>
      <c r="AX43" s="110" t="n">
        <f aca="false">IF(AW43=1,1,IF(AX37&gt;0,1,0))</f>
        <v>0</v>
      </c>
      <c r="AY43" s="110" t="n">
        <f aca="false">IF(AX43=1,1,IF(AY37&gt;0,1,0))</f>
        <v>0</v>
      </c>
      <c r="AZ43" s="110" t="n">
        <f aca="false">IF(AY43=1,1,IF(AZ37&gt;0,1,0))</f>
        <v>0</v>
      </c>
      <c r="BA43" s="110" t="n">
        <f aca="false">IF(AZ43=1,1,IF(BA37&gt;0,1,0))</f>
        <v>0</v>
      </c>
      <c r="BB43" s="110" t="n">
        <f aca="false">IF(BA43=1,1,IF(BB37&gt;0,1,0))</f>
        <v>0</v>
      </c>
      <c r="BC43" s="110" t="n">
        <f aca="false">IF(BB43=1,1,IF(BC37&gt;0,1,0))</f>
        <v>0</v>
      </c>
      <c r="BD43" s="110" t="n">
        <f aca="false">IF(BC43=1,1,IF(BD37&gt;0,1,0))</f>
        <v>0</v>
      </c>
      <c r="BE43" s="110" t="n">
        <f aca="false">IF(BD43=1,1,IF(BE37&gt;0,1,0))</f>
        <v>0</v>
      </c>
      <c r="BF43" s="110" t="n">
        <f aca="false">IF(BE43=1,1,IF(BF37&gt;0,1,0))</f>
        <v>0</v>
      </c>
      <c r="BG43" s="110" t="n">
        <f aca="false">IF(BF43=1,1,IF(BG37&gt;0,1,0))</f>
        <v>0</v>
      </c>
      <c r="BH43" s="110" t="n">
        <f aca="false">IF(BG43=1,1,IF(BH37&gt;0,1,0))</f>
        <v>0</v>
      </c>
      <c r="BI43" s="110" t="n">
        <f aca="false">IF(BH43=1,1,IF(BI37&gt;0,1,0))</f>
        <v>0</v>
      </c>
      <c r="BJ43" s="95" t="n">
        <f aca="false">BI43</f>
        <v>0</v>
      </c>
    </row>
    <row r="44" customFormat="false" ht="15" hidden="false" customHeight="false" outlineLevel="0" collapsed="false">
      <c r="A44" s="12" t="s">
        <v>271</v>
      </c>
      <c r="B44" s="84" t="n">
        <f aca="false">Aportes!B48</f>
        <v>0</v>
      </c>
      <c r="C44" s="84" t="n">
        <f aca="false">Aportes!C48</f>
        <v>0</v>
      </c>
      <c r="D44" s="84" t="n">
        <f aca="false">Aportes!D48</f>
        <v>0</v>
      </c>
      <c r="E44" s="84" t="n">
        <f aca="false">Aportes!E48</f>
        <v>10000</v>
      </c>
      <c r="F44" s="84" t="n">
        <f aca="false">Aportes!F48</f>
        <v>0</v>
      </c>
      <c r="G44" s="84" t="n">
        <f aca="false">Aportes!G48</f>
        <v>0</v>
      </c>
      <c r="H44" s="84" t="n">
        <f aca="false">Aportes!H48</f>
        <v>5000</v>
      </c>
      <c r="I44" s="84" t="n">
        <f aca="false">Aportes!I48</f>
        <v>18000</v>
      </c>
      <c r="J44" s="84" t="n">
        <f aca="false">Aportes!J48</f>
        <v>0</v>
      </c>
      <c r="K44" s="84" t="n">
        <f aca="false">Aportes!K48</f>
        <v>80000</v>
      </c>
      <c r="L44" s="84" t="n">
        <f aca="false">Aportes!L48</f>
        <v>40000</v>
      </c>
      <c r="M44" s="84" t="n">
        <f aca="false">Aportes!M48</f>
        <v>17000</v>
      </c>
      <c r="N44" s="84" t="n">
        <f aca="false">Aportes!N48</f>
        <v>0</v>
      </c>
      <c r="O44" s="84" t="n">
        <f aca="false">Aportes!O48</f>
        <v>0</v>
      </c>
      <c r="P44" s="84" t="n">
        <f aca="false">Aportes!P48</f>
        <v>0</v>
      </c>
      <c r="Q44" s="84" t="n">
        <f aca="false">Aportes!Q48</f>
        <v>0</v>
      </c>
      <c r="R44" s="84" t="n">
        <f aca="false">Aportes!R48</f>
        <v>0</v>
      </c>
      <c r="S44" s="84" t="n">
        <f aca="false">Aportes!S48</f>
        <v>15000</v>
      </c>
      <c r="T44" s="84" t="n">
        <f aca="false">Aportes!T48</f>
        <v>0</v>
      </c>
      <c r="U44" s="84" t="n">
        <f aca="false">Aportes!U48</f>
        <v>0</v>
      </c>
      <c r="V44" s="84" t="n">
        <f aca="false">Aportes!V48</f>
        <v>0</v>
      </c>
      <c r="W44" s="84" t="n">
        <f aca="false">Aportes!W48</f>
        <v>0</v>
      </c>
      <c r="X44" s="84" t="n">
        <f aca="false">Aportes!X48</f>
        <v>0</v>
      </c>
      <c r="Y44" s="84" t="n">
        <f aca="false">Aportes!Y48</f>
        <v>15000</v>
      </c>
      <c r="Z44" s="84" t="n">
        <f aca="false">Aportes!Z48</f>
        <v>0</v>
      </c>
      <c r="AA44" s="84" t="n">
        <f aca="false">Aportes!AA48</f>
        <v>0</v>
      </c>
      <c r="AB44" s="84" t="n">
        <f aca="false">Aportes!AB48</f>
        <v>0</v>
      </c>
      <c r="AC44" s="84" t="n">
        <f aca="false">Aportes!AC48</f>
        <v>0</v>
      </c>
      <c r="AD44" s="84" t="n">
        <f aca="false">Aportes!AD48</f>
        <v>0</v>
      </c>
      <c r="AE44" s="84" t="n">
        <f aca="false">Aportes!AE48</f>
        <v>0</v>
      </c>
      <c r="AF44" s="84" t="n">
        <f aca="false">Aportes!AF48</f>
        <v>0</v>
      </c>
      <c r="AG44" s="84" t="n">
        <f aca="false">Aportes!AG48</f>
        <v>0</v>
      </c>
      <c r="AH44" s="84" t="n">
        <f aca="false">Aportes!AH48</f>
        <v>0</v>
      </c>
      <c r="AI44" s="84" t="n">
        <f aca="false">Aportes!AI48</f>
        <v>0</v>
      </c>
      <c r="AJ44" s="84" t="n">
        <f aca="false">Aportes!AJ48</f>
        <v>0</v>
      </c>
      <c r="AK44" s="84" t="n">
        <f aca="false">Aportes!AK48</f>
        <v>0</v>
      </c>
      <c r="AL44" s="84" t="n">
        <f aca="false">Aportes!AL48</f>
        <v>0</v>
      </c>
      <c r="AM44" s="84" t="n">
        <f aca="false">Aportes!AM48</f>
        <v>0</v>
      </c>
      <c r="AN44" s="84" t="n">
        <f aca="false">Aportes!AN48</f>
        <v>0</v>
      </c>
      <c r="AO44" s="84" t="n">
        <f aca="false">Aportes!AO48</f>
        <v>0</v>
      </c>
      <c r="AP44" s="84" t="n">
        <f aca="false">Aportes!AP48</f>
        <v>0</v>
      </c>
      <c r="AQ44" s="84" t="n">
        <f aca="false">Aportes!AQ48</f>
        <v>0</v>
      </c>
      <c r="AR44" s="84" t="n">
        <f aca="false">Aportes!AR48</f>
        <v>0</v>
      </c>
      <c r="AS44" s="84" t="n">
        <f aca="false">Aportes!AS48</f>
        <v>0</v>
      </c>
      <c r="AT44" s="84" t="n">
        <f aca="false">Aportes!AT48</f>
        <v>0</v>
      </c>
      <c r="AU44" s="84" t="n">
        <f aca="false">Aportes!AU48</f>
        <v>0</v>
      </c>
      <c r="AV44" s="84" t="n">
        <f aca="false">Aportes!AV48</f>
        <v>0</v>
      </c>
      <c r="AW44" s="84" t="n">
        <f aca="false">Aportes!AW48</f>
        <v>0</v>
      </c>
      <c r="AX44" s="84" t="n">
        <f aca="false">Aportes!AX48</f>
        <v>0</v>
      </c>
      <c r="AY44" s="84" t="n">
        <f aca="false">Aportes!AY48</f>
        <v>0</v>
      </c>
      <c r="AZ44" s="84" t="n">
        <f aca="false">Aportes!AZ48</f>
        <v>0</v>
      </c>
      <c r="BA44" s="84" t="n">
        <f aca="false">Aportes!BA48</f>
        <v>0</v>
      </c>
      <c r="BB44" s="84" t="n">
        <f aca="false">Aportes!BB48</f>
        <v>0</v>
      </c>
      <c r="BC44" s="84" t="n">
        <f aca="false">Aportes!BC48</f>
        <v>0</v>
      </c>
      <c r="BD44" s="84" t="n">
        <f aca="false">Aportes!BD48</f>
        <v>0</v>
      </c>
      <c r="BE44" s="84" t="n">
        <f aca="false">Aportes!BE48</f>
        <v>0</v>
      </c>
      <c r="BF44" s="84" t="n">
        <f aca="false">Aportes!BF48</f>
        <v>0</v>
      </c>
      <c r="BG44" s="84" t="n">
        <f aca="false">Aportes!BG48</f>
        <v>0</v>
      </c>
      <c r="BH44" s="84" t="n">
        <f aca="false">Aportes!BH48</f>
        <v>0</v>
      </c>
      <c r="BI44" s="84" t="n">
        <f aca="false">Aportes!BI48</f>
        <v>0</v>
      </c>
      <c r="BJ44" s="69" t="n">
        <f aca="false">SUM(B44:BI44)</f>
        <v>200000</v>
      </c>
    </row>
    <row r="45" customFormat="false" ht="15" hidden="false" customHeight="false" outlineLevel="0" collapsed="false">
      <c r="A45" s="12" t="s">
        <v>358</v>
      </c>
      <c r="B45" s="84" t="n">
        <f aca="false">B39+B44</f>
        <v>0</v>
      </c>
      <c r="C45" s="84" t="n">
        <f aca="false">C39+C44</f>
        <v>0</v>
      </c>
      <c r="D45" s="84" t="n">
        <f aca="false">D39+D44</f>
        <v>0</v>
      </c>
      <c r="E45" s="84" t="n">
        <f aca="false">E39+E44</f>
        <v>8500</v>
      </c>
      <c r="F45" s="84" t="n">
        <f aca="false">F39+F44</f>
        <v>-8100</v>
      </c>
      <c r="G45" s="84" t="n">
        <f aca="false">G39+G44</f>
        <v>-2100</v>
      </c>
      <c r="H45" s="84" t="n">
        <f aca="false">H39+H44</f>
        <v>2900</v>
      </c>
      <c r="I45" s="84" t="n">
        <f aca="false">I39+I44</f>
        <v>-227.82</v>
      </c>
      <c r="J45" s="84" t="n">
        <f aca="false">J39+J44</f>
        <v>-9100</v>
      </c>
      <c r="K45" s="84" t="n">
        <f aca="false">K39+K44</f>
        <v>18726.43755</v>
      </c>
      <c r="L45" s="84" t="n">
        <f aca="false">L39+L44</f>
        <v>12368.814075</v>
      </c>
      <c r="M45" s="84" t="n">
        <f aca="false">M39+M44</f>
        <v>-5574.569725</v>
      </c>
      <c r="N45" s="84" t="n">
        <f aca="false">N39+N44</f>
        <v>-94712.7170256625</v>
      </c>
      <c r="O45" s="84" t="n">
        <f aca="false">O39+O44</f>
        <v>-72159.2745445096</v>
      </c>
      <c r="P45" s="84" t="n">
        <f aca="false">P39+P44</f>
        <v>-77420.9951793912</v>
      </c>
      <c r="Q45" s="84" t="n">
        <f aca="false">Q39+Q44</f>
        <v>-59720.6003947917</v>
      </c>
      <c r="R45" s="84" t="n">
        <f aca="false">R39+R44</f>
        <v>-55143.1068814457</v>
      </c>
      <c r="S45" s="84" t="n">
        <f aca="false">S39+S44</f>
        <v>-41874.0813134799</v>
      </c>
      <c r="T45" s="84" t="n">
        <f aca="false">T39+T44</f>
        <v>-72319.9291042308</v>
      </c>
      <c r="U45" s="84" t="n">
        <f aca="false">U39+U44</f>
        <v>-44016.8640063897</v>
      </c>
      <c r="V45" s="84" t="n">
        <f aca="false">V39+V44</f>
        <v>-41009.7099721567</v>
      </c>
      <c r="W45" s="84" t="n">
        <f aca="false">W39+W44</f>
        <v>-38319.6656656991</v>
      </c>
      <c r="X45" s="84" t="n">
        <f aca="false">X39+X44</f>
        <v>-36109.8588019468</v>
      </c>
      <c r="Y45" s="84" t="n">
        <f aca="false">Y39+Y44</f>
        <v>-19043.0239948064</v>
      </c>
      <c r="Z45" s="84" t="n">
        <f aca="false">Z39+Z44</f>
        <v>-274762.371919954</v>
      </c>
      <c r="AA45" s="84" t="n">
        <f aca="false">AA39+AA44</f>
        <v>-215831.639625295</v>
      </c>
      <c r="AB45" s="84" t="n">
        <f aca="false">AB39+AB44</f>
        <v>-203240.898841317</v>
      </c>
      <c r="AC45" s="84" t="n">
        <f aca="false">AC39+AC44</f>
        <v>-191872.715934489</v>
      </c>
      <c r="AD45" s="84" t="n">
        <f aca="false">AD39+AD44</f>
        <v>-181557.310088006</v>
      </c>
      <c r="AE45" s="84" t="n">
        <f aca="false">AE39+AE44</f>
        <v>-187230.790495614</v>
      </c>
      <c r="AF45" s="84" t="n">
        <f aca="false">AF39+AF44</f>
        <v>-164249.558049841</v>
      </c>
      <c r="AG45" s="84" t="n">
        <f aca="false">AG39+AG44</f>
        <v>-157683.796736707</v>
      </c>
      <c r="AH45" s="84" t="n">
        <f aca="false">AH39+AH44</f>
        <v>-151802.547665821</v>
      </c>
      <c r="AI45" s="84" t="n">
        <f aca="false">AI39+AI44</f>
        <v>-146470.204587198</v>
      </c>
      <c r="AJ45" s="84" t="n">
        <f aca="false">AJ39+AJ44</f>
        <v>-141654.722596677</v>
      </c>
      <c r="AK45" s="84" t="n">
        <f aca="false">AK39+AK44</f>
        <v>-137310.327461095</v>
      </c>
      <c r="AL45" s="84" t="n">
        <f aca="false">AL39+AL44</f>
        <v>-519453.033977779</v>
      </c>
      <c r="AM45" s="84" t="n">
        <f aca="false">AM39+AM44</f>
        <v>-438969.071941939</v>
      </c>
      <c r="AN45" s="84" t="n">
        <f aca="false">AN39+AN44</f>
        <v>-420383.779455516</v>
      </c>
      <c r="AO45" s="84" t="n">
        <f aca="false">AO39+AO44</f>
        <v>-394450.351830689</v>
      </c>
      <c r="AP45" s="84" t="n">
        <f aca="false">AP39+AP44</f>
        <v>-383907.408908097</v>
      </c>
      <c r="AQ45" s="84" t="n">
        <f aca="false">AQ39+AQ44</f>
        <v>-399708.898838223</v>
      </c>
      <c r="AR45" s="84" t="n">
        <f aca="false">AR39+AR44</f>
        <v>-366533.309213443</v>
      </c>
      <c r="AS45" s="84" t="n">
        <f aca="false">AS39+AS44</f>
        <v>-336761.393162709</v>
      </c>
      <c r="AT45" s="84" t="n">
        <f aca="false">AT39+AT44</f>
        <v>-324884.291968669</v>
      </c>
      <c r="AU45" s="84" t="n">
        <f aca="false">AU39+AU44</f>
        <v>-314006.287696023</v>
      </c>
      <c r="AV45" s="84" t="n">
        <f aca="false">AV39+AV44</f>
        <v>-304027.28098438</v>
      </c>
      <c r="AW45" s="84" t="n">
        <f aca="false">AW39+AW44</f>
        <v>-294895.488099797</v>
      </c>
      <c r="AX45" s="84" t="n">
        <f aca="false">AX39+AX44</f>
        <v>-810202.916392583</v>
      </c>
      <c r="AY45" s="84" t="n">
        <f aca="false">AY39+AY44</f>
        <v>-710098.795992284</v>
      </c>
      <c r="AZ45" s="84" t="n">
        <f aca="false">AZ39+AZ44</f>
        <v>-682380.051106517</v>
      </c>
      <c r="BA45" s="84" t="n">
        <f aca="false">BA39+BA44</f>
        <v>-656916.246224069</v>
      </c>
      <c r="BB45" s="84" t="n">
        <f aca="false">BB39+BB44</f>
        <v>-633526.986144674</v>
      </c>
      <c r="BC45" s="84" t="n">
        <f aca="false">BC39+BC44</f>
        <v>-641947.543038857</v>
      </c>
      <c r="BD45" s="84" t="n">
        <f aca="false">BD39+BD44</f>
        <v>-592118.729408761</v>
      </c>
      <c r="BE45" s="84" t="n">
        <f aca="false">BE39+BE44</f>
        <v>-573861.343967168</v>
      </c>
      <c r="BF45" s="84" t="n">
        <f aca="false">BF39+BF44</f>
        <v>-557032.687988077</v>
      </c>
      <c r="BG45" s="84" t="n">
        <f aca="false">BG39+BG44</f>
        <v>-541625.597530511</v>
      </c>
      <c r="BH45" s="84" t="n">
        <f aca="false">BH39+BH44</f>
        <v>-527430.663971194</v>
      </c>
      <c r="BI45" s="84" t="n">
        <f aca="false">BI39+BI44</f>
        <v>-514305.351527041</v>
      </c>
      <c r="BJ45" s="69" t="n">
        <f aca="false">SUM(B45:BI45)</f>
        <v>-14727551.3583555</v>
      </c>
    </row>
    <row r="46" customFormat="false" ht="15" hidden="false" customHeight="false" outlineLevel="0" collapsed="false">
      <c r="A46" s="34" t="s">
        <v>273</v>
      </c>
      <c r="B46" s="69" t="n">
        <f aca="false">B45</f>
        <v>0</v>
      </c>
      <c r="C46" s="69" t="n">
        <f aca="false">B46+C45</f>
        <v>0</v>
      </c>
      <c r="D46" s="69" t="n">
        <f aca="false">C46+D45</f>
        <v>0</v>
      </c>
      <c r="E46" s="69" t="n">
        <f aca="false">D46+E45</f>
        <v>8500</v>
      </c>
      <c r="F46" s="69" t="n">
        <f aca="false">E46+F45</f>
        <v>400</v>
      </c>
      <c r="G46" s="69" t="n">
        <f aca="false">F46+G45</f>
        <v>-1700</v>
      </c>
      <c r="H46" s="69" t="n">
        <f aca="false">G46+H45</f>
        <v>1200</v>
      </c>
      <c r="I46" s="69" t="n">
        <f aca="false">H46+I45</f>
        <v>972.18</v>
      </c>
      <c r="J46" s="69" t="n">
        <f aca="false">I46+J45</f>
        <v>-8127.82</v>
      </c>
      <c r="K46" s="69" t="n">
        <f aca="false">J46+K45</f>
        <v>10598.61755</v>
      </c>
      <c r="L46" s="69" t="n">
        <f aca="false">K46+L45</f>
        <v>22967.431625</v>
      </c>
      <c r="M46" s="69" t="n">
        <f aca="false">L46+M45</f>
        <v>17392.8619</v>
      </c>
      <c r="N46" s="69" t="n">
        <f aca="false">M46+N45</f>
        <v>-77319.8551256625</v>
      </c>
      <c r="O46" s="69" t="n">
        <f aca="false">N46+O45</f>
        <v>-149479.129670172</v>
      </c>
      <c r="P46" s="69" t="n">
        <f aca="false">O46+P45</f>
        <v>-226900.124849563</v>
      </c>
      <c r="Q46" s="69" t="n">
        <f aca="false">P46+Q45</f>
        <v>-286620.725244355</v>
      </c>
      <c r="R46" s="69" t="n">
        <f aca="false">Q46+R45</f>
        <v>-341763.832125801</v>
      </c>
      <c r="S46" s="69" t="n">
        <f aca="false">R46+S45</f>
        <v>-383637.913439281</v>
      </c>
      <c r="T46" s="69" t="n">
        <f aca="false">S46+T45</f>
        <v>-455957.842543511</v>
      </c>
      <c r="U46" s="69" t="n">
        <f aca="false">T46+U45</f>
        <v>-499974.706549901</v>
      </c>
      <c r="V46" s="69" t="n">
        <f aca="false">U46+V45</f>
        <v>-540984.416522058</v>
      </c>
      <c r="W46" s="69" t="n">
        <f aca="false">V46+W45</f>
        <v>-579304.082187757</v>
      </c>
      <c r="X46" s="69" t="n">
        <f aca="false">W46+X45</f>
        <v>-615413.940989704</v>
      </c>
      <c r="Y46" s="69" t="n">
        <f aca="false">X46+Y45</f>
        <v>-634456.96498451</v>
      </c>
      <c r="Z46" s="69" t="n">
        <f aca="false">Y46+Z45</f>
        <v>-909219.336904464</v>
      </c>
      <c r="AA46" s="69" t="n">
        <f aca="false">Z46+AA45</f>
        <v>-1125050.97652976</v>
      </c>
      <c r="AB46" s="69" t="n">
        <f aca="false">AA46+AB45</f>
        <v>-1328291.87537108</v>
      </c>
      <c r="AC46" s="69" t="n">
        <f aca="false">AB46+AC45</f>
        <v>-1520164.59130557</v>
      </c>
      <c r="AD46" s="69" t="n">
        <f aca="false">AC46+AD45</f>
        <v>-1701721.90139357</v>
      </c>
      <c r="AE46" s="69" t="n">
        <f aca="false">AD46+AE45</f>
        <v>-1888952.69188919</v>
      </c>
      <c r="AF46" s="69" t="n">
        <f aca="false">AE46+AF45</f>
        <v>-2053202.24993903</v>
      </c>
      <c r="AG46" s="69" t="n">
        <f aca="false">AF46+AG45</f>
        <v>-2210886.04667573</v>
      </c>
      <c r="AH46" s="69" t="n">
        <f aca="false">AG46+AH45</f>
        <v>-2362688.59434156</v>
      </c>
      <c r="AI46" s="69" t="n">
        <f aca="false">AH46+AI45</f>
        <v>-2509158.79892875</v>
      </c>
      <c r="AJ46" s="69" t="n">
        <f aca="false">AI46+AJ45</f>
        <v>-2650813.52152543</v>
      </c>
      <c r="AK46" s="69" t="n">
        <f aca="false">AJ46+AK45</f>
        <v>-2788123.84898652</v>
      </c>
      <c r="AL46" s="69" t="n">
        <f aca="false">AK46+AL45</f>
        <v>-3307576.8829643</v>
      </c>
      <c r="AM46" s="69" t="n">
        <f aca="false">AL46+AM45</f>
        <v>-3746545.95490624</v>
      </c>
      <c r="AN46" s="69" t="n">
        <f aca="false">AM46+AN45</f>
        <v>-4166929.73436176</v>
      </c>
      <c r="AO46" s="69" t="n">
        <f aca="false">AN46+AO45</f>
        <v>-4561380.08619245</v>
      </c>
      <c r="AP46" s="69" t="n">
        <f aca="false">AO46+AP45</f>
        <v>-4945287.49510054</v>
      </c>
      <c r="AQ46" s="69" t="n">
        <f aca="false">AP46+AQ45</f>
        <v>-5344996.39393877</v>
      </c>
      <c r="AR46" s="69" t="n">
        <f aca="false">AQ46+AR45</f>
        <v>-5711529.70315221</v>
      </c>
      <c r="AS46" s="69" t="n">
        <f aca="false">AR46+AS45</f>
        <v>-6048291.09631492</v>
      </c>
      <c r="AT46" s="69" t="n">
        <f aca="false">AS46+AT45</f>
        <v>-6373175.38828359</v>
      </c>
      <c r="AU46" s="69" t="n">
        <f aca="false">AT46+AU45</f>
        <v>-6687181.67597961</v>
      </c>
      <c r="AV46" s="69" t="n">
        <f aca="false">AU46+AV45</f>
        <v>-6991208.95696399</v>
      </c>
      <c r="AW46" s="69" t="n">
        <f aca="false">AV46+AW45</f>
        <v>-7286104.44506379</v>
      </c>
      <c r="AX46" s="69" t="n">
        <f aca="false">AW46+AX45</f>
        <v>-8096307.36145637</v>
      </c>
      <c r="AY46" s="69" t="n">
        <f aca="false">AX46+AY45</f>
        <v>-8806406.15744865</v>
      </c>
      <c r="AZ46" s="69" t="n">
        <f aca="false">AY46+AZ45</f>
        <v>-9488786.20855517</v>
      </c>
      <c r="BA46" s="69" t="n">
        <f aca="false">AZ46+BA45</f>
        <v>-10145702.4547792</v>
      </c>
      <c r="BB46" s="69" t="n">
        <f aca="false">BA46+BB45</f>
        <v>-10779229.4409239</v>
      </c>
      <c r="BC46" s="69" t="n">
        <f aca="false">BB46+BC45</f>
        <v>-11421176.9839628</v>
      </c>
      <c r="BD46" s="69" t="n">
        <f aca="false">BC46+BD45</f>
        <v>-12013295.7133715</v>
      </c>
      <c r="BE46" s="69" t="n">
        <f aca="false">BD46+BE45</f>
        <v>-12587157.0573387</v>
      </c>
      <c r="BF46" s="69" t="n">
        <f aca="false">BE46+BF45</f>
        <v>-13144189.7453268</v>
      </c>
      <c r="BG46" s="69" t="n">
        <f aca="false">BF46+BG45</f>
        <v>-13685815.3428573</v>
      </c>
      <c r="BH46" s="69" t="n">
        <f aca="false">BG46+BH45</f>
        <v>-14213246.0068285</v>
      </c>
      <c r="BI46" s="69" t="n">
        <f aca="false">BH46+BI45</f>
        <v>-14727551.3583555</v>
      </c>
      <c r="BJ46" s="69" t="n">
        <f aca="false">BI46</f>
        <v>-14727551.3583555</v>
      </c>
      <c r="BK46" s="14" t="s">
        <v>344</v>
      </c>
    </row>
    <row r="53" customFormat="false" ht="19.5" hidden="false" customHeight="true" outlineLevel="0" collapsed="false">
      <c r="A53" s="111" t="s">
        <v>359</v>
      </c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</row>
    <row r="54" customFormat="false" ht="15" hidden="false" customHeight="false" outlineLevel="0" collapsed="false">
      <c r="A54" s="12" t="s">
        <v>310</v>
      </c>
      <c r="B54" s="98" t="n">
        <f aca="false">IF(B$4&lt;Premissas!$B$10,0,INDEX(Premissas!$C$36:$G$36,B$7))</f>
        <v>0</v>
      </c>
      <c r="C54" s="98" t="n">
        <f aca="false">IF(C$4&lt;Premissas!$B$10,0,INDEX(Premissas!$C$36:$G$36,C$7))</f>
        <v>0</v>
      </c>
      <c r="D54" s="98" t="n">
        <f aca="false">IF(D$4&lt;Premissas!$B$10,0,INDEX(Premissas!$C$36:$G$36,D$7))</f>
        <v>0</v>
      </c>
      <c r="E54" s="98" t="n">
        <f aca="false">IF(E$4&lt;Premissas!$B$10,0,INDEX(Premissas!$C$36:$G$36,E$7))</f>
        <v>0</v>
      </c>
      <c r="F54" s="98" t="n">
        <f aca="false">IF(F$4&lt;Premissas!$B$10,0,INDEX(Premissas!$C$36:$G$36,F$7))</f>
        <v>0</v>
      </c>
      <c r="G54" s="98" t="n">
        <f aca="false">IF(G$4&lt;Premissas!$B$10,0,INDEX(Premissas!$C$36:$G$36,G$7))</f>
        <v>0</v>
      </c>
      <c r="H54" s="98" t="n">
        <f aca="false">IF(H$4&lt;Premissas!$B$10,0,INDEX(Premissas!$C$36:$G$36,H$7))</f>
        <v>0</v>
      </c>
      <c r="I54" s="98" t="n">
        <f aca="false">IF(I$4&lt;Premissas!$B$10,0,INDEX(Premissas!$C$36:$G$36,I$7))</f>
        <v>0</v>
      </c>
      <c r="J54" s="98" t="n">
        <f aca="false">IF(J$4&lt;Premissas!$B$10,0,INDEX(Premissas!$C$36:$G$36,J$7))</f>
        <v>0</v>
      </c>
      <c r="K54" s="98" t="n">
        <f aca="false">IF(K$4&lt;Premissas!$B$10,0,INDEX(Premissas!$C$36:$G$36,K$7))</f>
        <v>18100</v>
      </c>
      <c r="L54" s="98" t="n">
        <f aca="false">IF(L$4&lt;Premissas!$B$10,0,INDEX(Premissas!$C$36:$G$36,L$7))</f>
        <v>18100</v>
      </c>
      <c r="M54" s="98" t="n">
        <f aca="false">IF(M$4&lt;Premissas!$B$10,0,INDEX(Premissas!$C$36:$G$36,M$7))</f>
        <v>18100</v>
      </c>
      <c r="N54" s="98" t="n">
        <f aca="false">IF(N$4&lt;Premissas!$B$10,0,INDEX(Premissas!$C$36:$G$36,N$7))</f>
        <v>22000</v>
      </c>
      <c r="O54" s="98" t="n">
        <f aca="false">IF(O$4&lt;Premissas!$B$10,0,INDEX(Premissas!$C$36:$G$36,O$7))</f>
        <v>22000</v>
      </c>
      <c r="P54" s="98" t="n">
        <f aca="false">IF(P$4&lt;Premissas!$B$10,0,INDEX(Premissas!$C$36:$G$36,P$7))</f>
        <v>22000</v>
      </c>
      <c r="Q54" s="98" t="n">
        <f aca="false">IF(Q$4&lt;Premissas!$B$10,0,INDEX(Premissas!$C$36:$G$36,Q$7))</f>
        <v>22000</v>
      </c>
      <c r="R54" s="98" t="n">
        <f aca="false">IF(R$4&lt;Premissas!$B$10,0,INDEX(Premissas!$C$36:$G$36,R$7))</f>
        <v>22000</v>
      </c>
      <c r="S54" s="98" t="n">
        <f aca="false">IF(S$4&lt;Premissas!$B$10,0,INDEX(Premissas!$C$36:$G$36,S$7))</f>
        <v>22000</v>
      </c>
      <c r="T54" s="98" t="n">
        <f aca="false">IF(T$4&lt;Premissas!$B$10,0,INDEX(Premissas!$C$36:$G$36,T$7))</f>
        <v>22000</v>
      </c>
      <c r="U54" s="98" t="n">
        <f aca="false">IF(U$4&lt;Premissas!$B$10,0,INDEX(Premissas!$C$36:$G$36,U$7))</f>
        <v>22000</v>
      </c>
      <c r="V54" s="98" t="n">
        <f aca="false">IF(V$4&lt;Premissas!$B$10,0,INDEX(Premissas!$C$36:$G$36,V$7))</f>
        <v>22000</v>
      </c>
      <c r="W54" s="98" t="n">
        <f aca="false">IF(W$4&lt;Premissas!$B$10,0,INDEX(Premissas!$C$36:$G$36,W$7))</f>
        <v>22000</v>
      </c>
      <c r="X54" s="98" t="n">
        <f aca="false">IF(X$4&lt;Premissas!$B$10,0,INDEX(Premissas!$C$36:$G$36,X$7))</f>
        <v>22000</v>
      </c>
      <c r="Y54" s="98" t="n">
        <f aca="false">IF(Y$4&lt;Premissas!$B$10,0,INDEX(Premissas!$C$36:$G$36,Y$7))</f>
        <v>22000</v>
      </c>
      <c r="Z54" s="98" t="n">
        <f aca="false">IF(Z$4&lt;Premissas!$B$10,0,INDEX(Premissas!$C$36:$G$36,Z$7))</f>
        <v>45000</v>
      </c>
      <c r="AA54" s="98" t="n">
        <f aca="false">IF(AA$4&lt;Premissas!$B$10,0,INDEX(Premissas!$C$36:$G$36,AA$7))</f>
        <v>45000</v>
      </c>
      <c r="AB54" s="98" t="n">
        <f aca="false">IF(AB$4&lt;Premissas!$B$10,0,INDEX(Premissas!$C$36:$G$36,AB$7))</f>
        <v>45000</v>
      </c>
      <c r="AC54" s="98" t="n">
        <f aca="false">IF(AC$4&lt;Premissas!$B$10,0,INDEX(Premissas!$C$36:$G$36,AC$7))</f>
        <v>45000</v>
      </c>
      <c r="AD54" s="98" t="n">
        <f aca="false">IF(AD$4&lt;Premissas!$B$10,0,INDEX(Premissas!$C$36:$G$36,AD$7))</f>
        <v>45000</v>
      </c>
      <c r="AE54" s="98" t="n">
        <f aca="false">IF(AE$4&lt;Premissas!$B$10,0,INDEX(Premissas!$C$36:$G$36,AE$7))</f>
        <v>45000</v>
      </c>
      <c r="AF54" s="98" t="n">
        <f aca="false">IF(AF$4&lt;Premissas!$B$10,0,INDEX(Premissas!$C$36:$G$36,AF$7))</f>
        <v>45000</v>
      </c>
      <c r="AG54" s="98" t="n">
        <f aca="false">IF(AG$4&lt;Premissas!$B$10,0,INDEX(Premissas!$C$36:$G$36,AG$7))</f>
        <v>45000</v>
      </c>
      <c r="AH54" s="98" t="n">
        <f aca="false">IF(AH$4&lt;Premissas!$B$10,0,INDEX(Premissas!$C$36:$G$36,AH$7))</f>
        <v>45000</v>
      </c>
      <c r="AI54" s="98" t="n">
        <f aca="false">IF(AI$4&lt;Premissas!$B$10,0,INDEX(Premissas!$C$36:$G$36,AI$7))</f>
        <v>45000</v>
      </c>
      <c r="AJ54" s="98" t="n">
        <f aca="false">IF(AJ$4&lt;Premissas!$B$10,0,INDEX(Premissas!$C$36:$G$36,AJ$7))</f>
        <v>45000</v>
      </c>
      <c r="AK54" s="98" t="n">
        <f aca="false">IF(AK$4&lt;Premissas!$B$10,0,INDEX(Premissas!$C$36:$G$36,AK$7))</f>
        <v>45000</v>
      </c>
      <c r="AL54" s="98" t="n">
        <f aca="false">IF(AL$4&lt;Premissas!$B$10,0,INDEX(Premissas!$C$36:$G$36,AL$7))</f>
        <v>70000</v>
      </c>
      <c r="AM54" s="98" t="n">
        <f aca="false">IF(AM$4&lt;Premissas!$B$10,0,INDEX(Premissas!$C$36:$G$36,AM$7))</f>
        <v>70000</v>
      </c>
      <c r="AN54" s="98" t="n">
        <f aca="false">IF(AN$4&lt;Premissas!$B$10,0,INDEX(Premissas!$C$36:$G$36,AN$7))</f>
        <v>70000</v>
      </c>
      <c r="AO54" s="98" t="n">
        <f aca="false">IF(AO$4&lt;Premissas!$B$10,0,INDEX(Premissas!$C$36:$G$36,AO$7))</f>
        <v>70000</v>
      </c>
      <c r="AP54" s="98" t="n">
        <f aca="false">IF(AP$4&lt;Premissas!$B$10,0,INDEX(Premissas!$C$36:$G$36,AP$7))</f>
        <v>70000</v>
      </c>
      <c r="AQ54" s="98" t="n">
        <f aca="false">IF(AQ$4&lt;Premissas!$B$10,0,INDEX(Premissas!$C$36:$G$36,AQ$7))</f>
        <v>70000</v>
      </c>
      <c r="AR54" s="98" t="n">
        <f aca="false">IF(AR$4&lt;Premissas!$B$10,0,INDEX(Premissas!$C$36:$G$36,AR$7))</f>
        <v>70000</v>
      </c>
      <c r="AS54" s="98" t="n">
        <f aca="false">IF(AS$4&lt;Premissas!$B$10,0,INDEX(Premissas!$C$36:$G$36,AS$7))</f>
        <v>70000</v>
      </c>
      <c r="AT54" s="98" t="n">
        <f aca="false">IF(AT$4&lt;Premissas!$B$10,0,INDEX(Premissas!$C$36:$G$36,AT$7))</f>
        <v>70000</v>
      </c>
      <c r="AU54" s="98" t="n">
        <f aca="false">IF(AU$4&lt;Premissas!$B$10,0,INDEX(Premissas!$C$36:$G$36,AU$7))</f>
        <v>70000</v>
      </c>
      <c r="AV54" s="98" t="n">
        <f aca="false">IF(AV$4&lt;Premissas!$B$10,0,INDEX(Premissas!$C$36:$G$36,AV$7))</f>
        <v>70000</v>
      </c>
      <c r="AW54" s="98" t="n">
        <f aca="false">IF(AW$4&lt;Premissas!$B$10,0,INDEX(Premissas!$C$36:$G$36,AW$7))</f>
        <v>70000</v>
      </c>
      <c r="AX54" s="98" t="n">
        <f aca="false">IF(AX$4&lt;Premissas!$B$10,0,INDEX(Premissas!$C$36:$G$36,AX$7))</f>
        <v>95000</v>
      </c>
      <c r="AY54" s="98" t="n">
        <f aca="false">IF(AY$4&lt;Premissas!$B$10,0,INDEX(Premissas!$C$36:$G$36,AY$7))</f>
        <v>95000</v>
      </c>
      <c r="AZ54" s="98" t="n">
        <f aca="false">IF(AZ$4&lt;Premissas!$B$10,0,INDEX(Premissas!$C$36:$G$36,AZ$7))</f>
        <v>95000</v>
      </c>
      <c r="BA54" s="98" t="n">
        <f aca="false">IF(BA$4&lt;Premissas!$B$10,0,INDEX(Premissas!$C$36:$G$36,BA$7))</f>
        <v>95000</v>
      </c>
      <c r="BB54" s="98" t="n">
        <f aca="false">IF(BB$4&lt;Premissas!$B$10,0,INDEX(Premissas!$C$36:$G$36,BB$7))</f>
        <v>95000</v>
      </c>
      <c r="BC54" s="98" t="n">
        <f aca="false">IF(BC$4&lt;Premissas!$B$10,0,INDEX(Premissas!$C$36:$G$36,BC$7))</f>
        <v>95000</v>
      </c>
      <c r="BD54" s="98" t="n">
        <f aca="false">IF(BD$4&lt;Premissas!$B$10,0,INDEX(Premissas!$C$36:$G$36,BD$7))</f>
        <v>95000</v>
      </c>
      <c r="BE54" s="98" t="n">
        <f aca="false">IF(BE$4&lt;Premissas!$B$10,0,INDEX(Premissas!$C$36:$G$36,BE$7))</f>
        <v>95000</v>
      </c>
      <c r="BF54" s="98" t="n">
        <f aca="false">IF(BF$4&lt;Premissas!$B$10,0,INDEX(Premissas!$C$36:$G$36,BF$7))</f>
        <v>95000</v>
      </c>
      <c r="BG54" s="98" t="n">
        <f aca="false">IF(BG$4&lt;Premissas!$B$10,0,INDEX(Premissas!$C$36:$G$36,BG$7))</f>
        <v>95000</v>
      </c>
      <c r="BH54" s="98" t="n">
        <f aca="false">IF(BH$4&lt;Premissas!$B$10,0,INDEX(Premissas!$C$36:$G$36,BH$7))</f>
        <v>95000</v>
      </c>
      <c r="BI54" s="98" t="n">
        <f aca="false">IF(BI$4&lt;Premissas!$B$10,0,INDEX(Premissas!$C$36:$G$36,BI$7))</f>
        <v>95000</v>
      </c>
      <c r="BJ54" s="95" t="n">
        <f aca="false">SUM(B54:BI54)</f>
        <v>2838300</v>
      </c>
    </row>
    <row r="55" customFormat="false" ht="15" hidden="false" customHeight="false" outlineLevel="0" collapsed="false">
      <c r="A55" s="12" t="s">
        <v>311</v>
      </c>
      <c r="B55" s="98" t="n">
        <f aca="false">0</f>
        <v>0</v>
      </c>
      <c r="C55" s="98" t="n">
        <f aca="false">B57</f>
        <v>0</v>
      </c>
      <c r="D55" s="98" t="n">
        <f aca="false">C57</f>
        <v>0</v>
      </c>
      <c r="E55" s="98" t="n">
        <f aca="false">D57</f>
        <v>0</v>
      </c>
      <c r="F55" s="98" t="n">
        <f aca="false">E57</f>
        <v>0</v>
      </c>
      <c r="G55" s="98" t="n">
        <f aca="false">F57</f>
        <v>0</v>
      </c>
      <c r="H55" s="98" t="n">
        <f aca="false">G57</f>
        <v>0</v>
      </c>
      <c r="I55" s="98" t="n">
        <f aca="false">H57</f>
        <v>0</v>
      </c>
      <c r="J55" s="98" t="n">
        <f aca="false">I57</f>
        <v>0</v>
      </c>
      <c r="K55" s="98" t="n">
        <f aca="false">J57</f>
        <v>0</v>
      </c>
      <c r="L55" s="98" t="n">
        <f aca="false">K57</f>
        <v>18100</v>
      </c>
      <c r="M55" s="98" t="n">
        <f aca="false">L57</f>
        <v>34752</v>
      </c>
      <c r="N55" s="98" t="n">
        <f aca="false">M57</f>
        <v>50071.84</v>
      </c>
      <c r="O55" s="98" t="n">
        <f aca="false">N57</f>
        <v>68316.452</v>
      </c>
      <c r="P55" s="98" t="n">
        <f aca="false">O57</f>
        <v>85192.7181</v>
      </c>
      <c r="Q55" s="98" t="n">
        <f aca="false">P57</f>
        <v>100803.2642425</v>
      </c>
      <c r="R55" s="98" t="n">
        <f aca="false">Q57</f>
        <v>115243.019424313</v>
      </c>
      <c r="S55" s="98" t="n">
        <f aca="false">R57</f>
        <v>128599.792967489</v>
      </c>
      <c r="T55" s="98" t="n">
        <f aca="false">S57</f>
        <v>140954.808494927</v>
      </c>
      <c r="U55" s="98" t="n">
        <f aca="false">T57</f>
        <v>152383.197857808</v>
      </c>
      <c r="V55" s="98" t="n">
        <f aca="false">U57</f>
        <v>162954.458018472</v>
      </c>
      <c r="W55" s="98" t="n">
        <f aca="false">V57</f>
        <v>172732.873667087</v>
      </c>
      <c r="X55" s="98" t="n">
        <f aca="false">W57</f>
        <v>181777.908142055</v>
      </c>
      <c r="Y55" s="98" t="n">
        <f aca="false">X57</f>
        <v>190144.565031401</v>
      </c>
      <c r="Z55" s="98" t="n">
        <f aca="false">Y57</f>
        <v>197883.722654046</v>
      </c>
      <c r="AA55" s="98" t="n">
        <f aca="false">Z57</f>
        <v>229031.862068263</v>
      </c>
      <c r="AB55" s="98" t="n">
        <f aca="false">AA57</f>
        <v>257999.631723484</v>
      </c>
      <c r="AC55" s="98" t="n">
        <f aca="false">AB57</f>
        <v>284939.657502841</v>
      </c>
      <c r="AD55" s="98" t="n">
        <f aca="false">AC57</f>
        <v>309993.881477642</v>
      </c>
      <c r="AE55" s="98" t="n">
        <f aca="false">AD57</f>
        <v>333294.309774207</v>
      </c>
      <c r="AF55" s="98" t="n">
        <f aca="false">AE57</f>
        <v>354963.708090012</v>
      </c>
      <c r="AG55" s="98" t="n">
        <f aca="false">AF57</f>
        <v>375116.248523711</v>
      </c>
      <c r="AH55" s="98" t="n">
        <f aca="false">AG57</f>
        <v>393858.111127052</v>
      </c>
      <c r="AI55" s="98" t="n">
        <f aca="false">AH57</f>
        <v>411288.043348158</v>
      </c>
      <c r="AJ55" s="98" t="n">
        <f aca="false">AI57</f>
        <v>427497.880313787</v>
      </c>
      <c r="AK55" s="98" t="n">
        <f aca="false">AJ57</f>
        <v>442573.028691822</v>
      </c>
      <c r="AL55" s="98" t="n">
        <f aca="false">AK57</f>
        <v>456592.916683394</v>
      </c>
      <c r="AM55" s="98" t="n">
        <f aca="false">AL57</f>
        <v>496914.377098974</v>
      </c>
      <c r="AN55" s="98" t="n">
        <f aca="false">AM57</f>
        <v>534614.942587541</v>
      </c>
      <c r="AO55" s="98" t="n">
        <f aca="false">AN57</f>
        <v>569864.97131935</v>
      </c>
      <c r="AP55" s="98" t="n">
        <f aca="false">AO57</f>
        <v>602823.748183593</v>
      </c>
      <c r="AQ55" s="98" t="n">
        <f aca="false">AP57</f>
        <v>633640.204551659</v>
      </c>
      <c r="AR55" s="98" t="n">
        <f aca="false">AQ57</f>
        <v>662453.591255801</v>
      </c>
      <c r="AS55" s="98" t="n">
        <f aca="false">AR57</f>
        <v>689394.107824174</v>
      </c>
      <c r="AT55" s="98" t="n">
        <f aca="false">AS57</f>
        <v>714583.490815603</v>
      </c>
      <c r="AU55" s="98" t="n">
        <f aca="false">AT57</f>
        <v>738135.563912589</v>
      </c>
      <c r="AV55" s="98" t="n">
        <f aca="false">AU57</f>
        <v>760156.752258271</v>
      </c>
      <c r="AW55" s="98" t="n">
        <f aca="false">AV57</f>
        <v>780746.563361483</v>
      </c>
      <c r="AX55" s="98" t="n">
        <f aca="false">AW57</f>
        <v>799998.036742987</v>
      </c>
      <c r="AY55" s="98" t="n">
        <f aca="false">AX57</f>
        <v>846998.154538408</v>
      </c>
      <c r="AZ55" s="98" t="n">
        <f aca="false">AY57</f>
        <v>891178.265266103</v>
      </c>
      <c r="BA55" s="98" t="n">
        <f aca="false">AZ57</f>
        <v>932707.569350137</v>
      </c>
      <c r="BB55" s="98" t="n">
        <f aca="false">BA57</f>
        <v>971745.115189129</v>
      </c>
      <c r="BC55" s="98" t="n">
        <f aca="false">BB57</f>
        <v>1008440.40827778</v>
      </c>
      <c r="BD55" s="98" t="n">
        <f aca="false">BC57</f>
        <v>1042933.98378111</v>
      </c>
      <c r="BE55" s="98" t="n">
        <f aca="false">BD57</f>
        <v>1075357.94475425</v>
      </c>
      <c r="BF55" s="98" t="n">
        <f aca="false">BE57</f>
        <v>1105836.46806899</v>
      </c>
      <c r="BG55" s="98" t="n">
        <f aca="false">BF57</f>
        <v>1134486.27998485</v>
      </c>
      <c r="BH55" s="98" t="n">
        <f aca="false">BG57</f>
        <v>1161417.10318576</v>
      </c>
      <c r="BI55" s="98" t="n">
        <f aca="false">BH57</f>
        <v>1186732.07699462</v>
      </c>
      <c r="BJ55" s="95" t="n">
        <f aca="false">BI55</f>
        <v>1186732.07699462</v>
      </c>
      <c r="BK55" s="14" t="s">
        <v>344</v>
      </c>
    </row>
    <row r="56" customFormat="false" ht="15" hidden="false" customHeight="false" outlineLevel="0" collapsed="false">
      <c r="A56" s="12" t="s">
        <v>313</v>
      </c>
      <c r="B56" s="98" t="n">
        <f aca="false">-B55*INDEX(Premissas!$C$40:$G$40,B$7)</f>
        <v>-0</v>
      </c>
      <c r="C56" s="98" t="n">
        <f aca="false">-C55*INDEX(Premissas!$C$40:$G$40,C$7)</f>
        <v>-0</v>
      </c>
      <c r="D56" s="98" t="n">
        <f aca="false">-D55*INDEX(Premissas!$C$40:$G$40,D$7)</f>
        <v>-0</v>
      </c>
      <c r="E56" s="98" t="n">
        <f aca="false">-E55*INDEX(Premissas!$C$40:$G$40,E$7)</f>
        <v>-0</v>
      </c>
      <c r="F56" s="98" t="n">
        <f aca="false">-F55*INDEX(Premissas!$C$40:$G$40,F$7)</f>
        <v>-0</v>
      </c>
      <c r="G56" s="98" t="n">
        <f aca="false">-G55*INDEX(Premissas!$C$40:$G$40,G$7)</f>
        <v>-0</v>
      </c>
      <c r="H56" s="98" t="n">
        <f aca="false">-H55*INDEX(Premissas!$C$40:$G$40,H$7)</f>
        <v>-0</v>
      </c>
      <c r="I56" s="98" t="n">
        <f aca="false">-I55*INDEX(Premissas!$C$40:$G$40,I$7)</f>
        <v>-0</v>
      </c>
      <c r="J56" s="98" t="n">
        <f aca="false">-J55*INDEX(Premissas!$C$40:$G$40,J$7)</f>
        <v>-0</v>
      </c>
      <c r="K56" s="98" t="n">
        <f aca="false">-K55*INDEX(Premissas!$C$40:$G$40,K$7)</f>
        <v>-0</v>
      </c>
      <c r="L56" s="98" t="n">
        <f aca="false">-L55*INDEX(Premissas!$C$40:$G$40,L$7)</f>
        <v>-1448</v>
      </c>
      <c r="M56" s="98" t="n">
        <f aca="false">-M55*INDEX(Premissas!$C$40:$G$40,M$7)</f>
        <v>-2780.16</v>
      </c>
      <c r="N56" s="98" t="n">
        <f aca="false">-N55*INDEX(Premissas!$C$40:$G$40,N$7)</f>
        <v>-3755.388</v>
      </c>
      <c r="O56" s="98" t="n">
        <f aca="false">-O55*INDEX(Premissas!$C$40:$G$40,O$7)</f>
        <v>-5123.7339</v>
      </c>
      <c r="P56" s="98" t="n">
        <f aca="false">-P55*INDEX(Premissas!$C$40:$G$40,P$7)</f>
        <v>-6389.4538575</v>
      </c>
      <c r="Q56" s="98" t="n">
        <f aca="false">-Q55*INDEX(Premissas!$C$40:$G$40,Q$7)</f>
        <v>-7560.2448181875</v>
      </c>
      <c r="R56" s="98" t="n">
        <f aca="false">-R55*INDEX(Premissas!$C$40:$G$40,R$7)</f>
        <v>-8643.22645682344</v>
      </c>
      <c r="S56" s="98" t="n">
        <f aca="false">-S55*INDEX(Premissas!$C$40:$G$40,S$7)</f>
        <v>-9644.98447256168</v>
      </c>
      <c r="T56" s="98" t="n">
        <f aca="false">-T55*INDEX(Premissas!$C$40:$G$40,T$7)</f>
        <v>-10571.6106371196</v>
      </c>
      <c r="U56" s="98" t="n">
        <f aca="false">-U55*INDEX(Premissas!$C$40:$G$40,U$7)</f>
        <v>-11428.7398393356</v>
      </c>
      <c r="V56" s="98" t="n">
        <f aca="false">-V55*INDEX(Premissas!$C$40:$G$40,V$7)</f>
        <v>-12221.5843513854</v>
      </c>
      <c r="W56" s="98" t="n">
        <f aca="false">-W55*INDEX(Premissas!$C$40:$G$40,W$7)</f>
        <v>-12954.9655250315</v>
      </c>
      <c r="X56" s="98" t="n">
        <f aca="false">-X55*INDEX(Premissas!$C$40:$G$40,X$7)</f>
        <v>-13633.3431106541</v>
      </c>
      <c r="Y56" s="98" t="n">
        <f aca="false">-Y55*INDEX(Premissas!$C$40:$G$40,Y$7)</f>
        <v>-14260.8423773551</v>
      </c>
      <c r="Z56" s="98" t="n">
        <f aca="false">-Z55*INDEX(Premissas!$C$40:$G$40,Z$7)</f>
        <v>-13851.8605857832</v>
      </c>
      <c r="AA56" s="98" t="n">
        <f aca="false">-AA55*INDEX(Premissas!$C$40:$G$40,AA$7)</f>
        <v>-16032.2303447784</v>
      </c>
      <c r="AB56" s="98" t="n">
        <f aca="false">-AB55*INDEX(Premissas!$C$40:$G$40,AB$7)</f>
        <v>-18059.9742206439</v>
      </c>
      <c r="AC56" s="98" t="n">
        <f aca="false">-AC55*INDEX(Premissas!$C$40:$G$40,AC$7)</f>
        <v>-19945.7760251988</v>
      </c>
      <c r="AD56" s="98" t="n">
        <f aca="false">-AD55*INDEX(Premissas!$C$40:$G$40,AD$7)</f>
        <v>-21699.5717034349</v>
      </c>
      <c r="AE56" s="98" t="n">
        <f aca="false">-AE55*INDEX(Premissas!$C$40:$G$40,AE$7)</f>
        <v>-23330.6016841945</v>
      </c>
      <c r="AF56" s="98" t="n">
        <f aca="false">-AF55*INDEX(Premissas!$C$40:$G$40,AF$7)</f>
        <v>-24847.4595663009</v>
      </c>
      <c r="AG56" s="98" t="n">
        <f aca="false">-AG55*INDEX(Premissas!$C$40:$G$40,AG$7)</f>
        <v>-26258.1373966598</v>
      </c>
      <c r="AH56" s="98" t="n">
        <f aca="false">-AH55*INDEX(Premissas!$C$40:$G$40,AH$7)</f>
        <v>-27570.0677788936</v>
      </c>
      <c r="AI56" s="98" t="n">
        <f aca="false">-AI55*INDEX(Premissas!$C$40:$G$40,AI$7)</f>
        <v>-28790.1630343711</v>
      </c>
      <c r="AJ56" s="98" t="n">
        <f aca="false">-AJ55*INDEX(Premissas!$C$40:$G$40,AJ$7)</f>
        <v>-29924.8516219651</v>
      </c>
      <c r="AK56" s="98" t="n">
        <f aca="false">-AK55*INDEX(Premissas!$C$40:$G$40,AK$7)</f>
        <v>-30980.1120084275</v>
      </c>
      <c r="AL56" s="98" t="n">
        <f aca="false">-AL55*INDEX(Premissas!$C$40:$G$40,AL$7)</f>
        <v>-29678.5395844206</v>
      </c>
      <c r="AM56" s="98" t="n">
        <f aca="false">-AM55*INDEX(Premissas!$C$40:$G$40,AM$7)</f>
        <v>-32299.4345114333</v>
      </c>
      <c r="AN56" s="98" t="n">
        <f aca="false">-AN55*INDEX(Premissas!$C$40:$G$40,AN$7)</f>
        <v>-34749.9712681901</v>
      </c>
      <c r="AO56" s="98" t="n">
        <f aca="false">-AO55*INDEX(Premissas!$C$40:$G$40,AO$7)</f>
        <v>-37041.2231357578</v>
      </c>
      <c r="AP56" s="98" t="n">
        <f aca="false">-AP55*INDEX(Premissas!$C$40:$G$40,AP$7)</f>
        <v>-39183.5436319335</v>
      </c>
      <c r="AQ56" s="98" t="n">
        <f aca="false">-AQ55*INDEX(Premissas!$C$40:$G$40,AQ$7)</f>
        <v>-41186.6132958578</v>
      </c>
      <c r="AR56" s="98" t="n">
        <f aca="false">-AR55*INDEX(Premissas!$C$40:$G$40,AR$7)</f>
        <v>-43059.4834316271</v>
      </c>
      <c r="AS56" s="98" t="n">
        <f aca="false">-AS55*INDEX(Premissas!$C$40:$G$40,AS$7)</f>
        <v>-44810.6170085713</v>
      </c>
      <c r="AT56" s="98" t="n">
        <f aca="false">-AT55*INDEX(Premissas!$C$40:$G$40,AT$7)</f>
        <v>-46447.9269030142</v>
      </c>
      <c r="AU56" s="98" t="n">
        <f aca="false">-AU55*INDEX(Premissas!$C$40:$G$40,AU$7)</f>
        <v>-47978.8116543183</v>
      </c>
      <c r="AV56" s="98" t="n">
        <f aca="false">-AV55*INDEX(Premissas!$C$40:$G$40,AV$7)</f>
        <v>-49410.1888967876</v>
      </c>
      <c r="AW56" s="98" t="n">
        <f aca="false">-AW55*INDEX(Premissas!$C$40:$G$40,AW$7)</f>
        <v>-50748.5266184964</v>
      </c>
      <c r="AX56" s="98" t="n">
        <f aca="false">-AX55*INDEX(Premissas!$C$40:$G$40,AX$7)</f>
        <v>-47999.8822045792</v>
      </c>
      <c r="AY56" s="98" t="n">
        <f aca="false">-AY55*INDEX(Premissas!$C$40:$G$40,AY$7)</f>
        <v>-50819.8892723045</v>
      </c>
      <c r="AZ56" s="98" t="n">
        <f aca="false">-AZ55*INDEX(Premissas!$C$40:$G$40,AZ$7)</f>
        <v>-53470.6959159662</v>
      </c>
      <c r="BA56" s="98" t="n">
        <f aca="false">-BA55*INDEX(Premissas!$C$40:$G$40,BA$7)</f>
        <v>-55962.4541610082</v>
      </c>
      <c r="BB56" s="98" t="n">
        <f aca="false">-BB55*INDEX(Premissas!$C$40:$G$40,BB$7)</f>
        <v>-58304.7069113477</v>
      </c>
      <c r="BC56" s="98" t="n">
        <f aca="false">-BC55*INDEX(Premissas!$C$40:$G$40,BC$7)</f>
        <v>-60506.4244966669</v>
      </c>
      <c r="BD56" s="98" t="n">
        <f aca="false">-BD55*INDEX(Premissas!$C$40:$G$40,BD$7)</f>
        <v>-62576.0390268668</v>
      </c>
      <c r="BE56" s="98" t="n">
        <f aca="false">-BE55*INDEX(Premissas!$C$40:$G$40,BE$7)</f>
        <v>-64521.4766852548</v>
      </c>
      <c r="BF56" s="98" t="n">
        <f aca="false">-BF55*INDEX(Premissas!$C$40:$G$40,BF$7)</f>
        <v>-66350.1880841395</v>
      </c>
      <c r="BG56" s="98" t="n">
        <f aca="false">-BG55*INDEX(Premissas!$C$40:$G$40,BG$7)</f>
        <v>-68069.1767990912</v>
      </c>
      <c r="BH56" s="98" t="n">
        <f aca="false">-BH55*INDEX(Premissas!$C$40:$G$40,BH$7)</f>
        <v>-69685.0261911457</v>
      </c>
      <c r="BI56" s="98" t="n">
        <f aca="false">-BI55*INDEX(Premissas!$C$40:$G$40,BI$7)</f>
        <v>-71203.924619677</v>
      </c>
      <c r="BJ56" s="95" t="n">
        <f aca="false">SUM(B56:BI56)</f>
        <v>-1627771.84762506</v>
      </c>
    </row>
    <row r="57" customFormat="false" ht="15" hidden="false" customHeight="false" outlineLevel="0" collapsed="false">
      <c r="A57" s="34" t="s">
        <v>314</v>
      </c>
      <c r="B57" s="96" t="n">
        <f aca="false">B55+B56+B54</f>
        <v>0</v>
      </c>
      <c r="C57" s="96" t="n">
        <f aca="false">C55+C56+C54</f>
        <v>0</v>
      </c>
      <c r="D57" s="96" t="n">
        <f aca="false">D55+D56+D54</f>
        <v>0</v>
      </c>
      <c r="E57" s="96" t="n">
        <f aca="false">E55+E56+E54</f>
        <v>0</v>
      </c>
      <c r="F57" s="96" t="n">
        <f aca="false">F55+F56+F54</f>
        <v>0</v>
      </c>
      <c r="G57" s="96" t="n">
        <f aca="false">G55+G56+G54</f>
        <v>0</v>
      </c>
      <c r="H57" s="96" t="n">
        <f aca="false">H55+H56+H54</f>
        <v>0</v>
      </c>
      <c r="I57" s="96" t="n">
        <f aca="false">I55+I56+I54</f>
        <v>0</v>
      </c>
      <c r="J57" s="96" t="n">
        <f aca="false">J55+J56+J54</f>
        <v>0</v>
      </c>
      <c r="K57" s="96" t="n">
        <f aca="false">K55+K56+K54</f>
        <v>18100</v>
      </c>
      <c r="L57" s="96" t="n">
        <f aca="false">L55+L56+L54</f>
        <v>34752</v>
      </c>
      <c r="M57" s="96" t="n">
        <f aca="false">M55+M56+M54</f>
        <v>50071.84</v>
      </c>
      <c r="N57" s="96" t="n">
        <f aca="false">N55+N56+N54</f>
        <v>68316.452</v>
      </c>
      <c r="O57" s="96" t="n">
        <f aca="false">O55+O56+O54</f>
        <v>85192.7181</v>
      </c>
      <c r="P57" s="96" t="n">
        <f aca="false">P55+P56+P54</f>
        <v>100803.2642425</v>
      </c>
      <c r="Q57" s="96" t="n">
        <f aca="false">Q55+Q56+Q54</f>
        <v>115243.019424313</v>
      </c>
      <c r="R57" s="96" t="n">
        <f aca="false">R55+R56+R54</f>
        <v>128599.792967489</v>
      </c>
      <c r="S57" s="96" t="n">
        <f aca="false">S55+S56+S54</f>
        <v>140954.808494927</v>
      </c>
      <c r="T57" s="96" t="n">
        <f aca="false">T55+T56+T54</f>
        <v>152383.197857808</v>
      </c>
      <c r="U57" s="96" t="n">
        <f aca="false">U55+U56+U54</f>
        <v>162954.458018472</v>
      </c>
      <c r="V57" s="96" t="n">
        <f aca="false">V55+V56+V54</f>
        <v>172732.873667087</v>
      </c>
      <c r="W57" s="96" t="n">
        <f aca="false">W55+W56+W54</f>
        <v>181777.908142055</v>
      </c>
      <c r="X57" s="96" t="n">
        <f aca="false">X55+X56+X54</f>
        <v>190144.565031401</v>
      </c>
      <c r="Y57" s="96" t="n">
        <f aca="false">Y55+Y56+Y54</f>
        <v>197883.722654046</v>
      </c>
      <c r="Z57" s="96" t="n">
        <f aca="false">Z55+Z56+Z54</f>
        <v>229031.862068263</v>
      </c>
      <c r="AA57" s="96" t="n">
        <f aca="false">AA55+AA56+AA54</f>
        <v>257999.631723484</v>
      </c>
      <c r="AB57" s="96" t="n">
        <f aca="false">AB55+AB56+AB54</f>
        <v>284939.657502841</v>
      </c>
      <c r="AC57" s="96" t="n">
        <f aca="false">AC55+AC56+AC54</f>
        <v>309993.881477642</v>
      </c>
      <c r="AD57" s="96" t="n">
        <f aca="false">AD55+AD56+AD54</f>
        <v>333294.309774207</v>
      </c>
      <c r="AE57" s="96" t="n">
        <f aca="false">AE55+AE56+AE54</f>
        <v>354963.708090012</v>
      </c>
      <c r="AF57" s="96" t="n">
        <f aca="false">AF55+AF56+AF54</f>
        <v>375116.248523711</v>
      </c>
      <c r="AG57" s="96" t="n">
        <f aca="false">AG55+AG56+AG54</f>
        <v>393858.111127052</v>
      </c>
      <c r="AH57" s="96" t="n">
        <f aca="false">AH55+AH56+AH54</f>
        <v>411288.043348158</v>
      </c>
      <c r="AI57" s="96" t="n">
        <f aca="false">AI55+AI56+AI54</f>
        <v>427497.880313787</v>
      </c>
      <c r="AJ57" s="96" t="n">
        <f aca="false">AJ55+AJ56+AJ54</f>
        <v>442573.028691822</v>
      </c>
      <c r="AK57" s="96" t="n">
        <f aca="false">AK55+AK56+AK54</f>
        <v>456592.916683394</v>
      </c>
      <c r="AL57" s="96" t="n">
        <f aca="false">AL55+AL56+AL54</f>
        <v>496914.377098974</v>
      </c>
      <c r="AM57" s="96" t="n">
        <f aca="false">AM55+AM56+AM54</f>
        <v>534614.942587541</v>
      </c>
      <c r="AN57" s="96" t="n">
        <f aca="false">AN55+AN56+AN54</f>
        <v>569864.97131935</v>
      </c>
      <c r="AO57" s="96" t="n">
        <f aca="false">AO55+AO56+AO54</f>
        <v>602823.748183593</v>
      </c>
      <c r="AP57" s="96" t="n">
        <f aca="false">AP55+AP56+AP54</f>
        <v>633640.204551659</v>
      </c>
      <c r="AQ57" s="96" t="n">
        <f aca="false">AQ55+AQ56+AQ54</f>
        <v>662453.591255801</v>
      </c>
      <c r="AR57" s="96" t="n">
        <f aca="false">AR55+AR56+AR54</f>
        <v>689394.107824174</v>
      </c>
      <c r="AS57" s="96" t="n">
        <f aca="false">AS55+AS56+AS54</f>
        <v>714583.490815603</v>
      </c>
      <c r="AT57" s="96" t="n">
        <f aca="false">AT55+AT56+AT54</f>
        <v>738135.563912589</v>
      </c>
      <c r="AU57" s="96" t="n">
        <f aca="false">AU55+AU56+AU54</f>
        <v>760156.752258271</v>
      </c>
      <c r="AV57" s="96" t="n">
        <f aca="false">AV55+AV56+AV54</f>
        <v>780746.563361483</v>
      </c>
      <c r="AW57" s="96" t="n">
        <f aca="false">AW55+AW56+AW54</f>
        <v>799998.036742987</v>
      </c>
      <c r="AX57" s="96" t="n">
        <f aca="false">AX55+AX56+AX54</f>
        <v>846998.154538408</v>
      </c>
      <c r="AY57" s="96" t="n">
        <f aca="false">AY55+AY56+AY54</f>
        <v>891178.265266103</v>
      </c>
      <c r="AZ57" s="96" t="n">
        <f aca="false">AZ55+AZ56+AZ54</f>
        <v>932707.569350137</v>
      </c>
      <c r="BA57" s="96" t="n">
        <f aca="false">BA55+BA56+BA54</f>
        <v>971745.115189129</v>
      </c>
      <c r="BB57" s="96" t="n">
        <f aca="false">BB55+BB56+BB54</f>
        <v>1008440.40827778</v>
      </c>
      <c r="BC57" s="96" t="n">
        <f aca="false">BC55+BC56+BC54</f>
        <v>1042933.98378111</v>
      </c>
      <c r="BD57" s="96" t="n">
        <f aca="false">BD55+BD56+BD54</f>
        <v>1075357.94475425</v>
      </c>
      <c r="BE57" s="96" t="n">
        <f aca="false">BE55+BE56+BE54</f>
        <v>1105836.46806899</v>
      </c>
      <c r="BF57" s="96" t="n">
        <f aca="false">BF55+BF56+BF54</f>
        <v>1134486.27998485</v>
      </c>
      <c r="BG57" s="96" t="n">
        <f aca="false">BG55+BG56+BG54</f>
        <v>1161417.10318576</v>
      </c>
      <c r="BH57" s="96" t="n">
        <f aca="false">BH55+BH56+BH54</f>
        <v>1186732.07699462</v>
      </c>
      <c r="BI57" s="96" t="n">
        <f aca="false">BI55+BI56+BI54</f>
        <v>1210528.15237494</v>
      </c>
      <c r="BJ57" s="95" t="n">
        <f aca="false">BI57</f>
        <v>1210528.15237494</v>
      </c>
      <c r="BK57" s="14" t="s">
        <v>344</v>
      </c>
    </row>
    <row r="58" customFormat="false" ht="15" hidden="false" customHeight="false" outlineLevel="0" collapsed="false">
      <c r="A58" s="12" t="s">
        <v>345</v>
      </c>
      <c r="B58" s="107" t="n">
        <f aca="false">IF(B$4&lt;Premissas!$B$10,0,INDEX(Premissas!$C$44:$G$44,B$7))</f>
        <v>0</v>
      </c>
      <c r="C58" s="107" t="n">
        <f aca="false">IF(C$4&lt;Premissas!$B$10,0,INDEX(Premissas!$C$44:$G$44,C$7))</f>
        <v>0</v>
      </c>
      <c r="D58" s="107" t="n">
        <f aca="false">IF(D$4&lt;Premissas!$B$10,0,INDEX(Premissas!$C$44:$G$44,D$7))</f>
        <v>0</v>
      </c>
      <c r="E58" s="107" t="n">
        <f aca="false">IF(E$4&lt;Premissas!$B$10,0,INDEX(Premissas!$C$44:$G$44,E$7))</f>
        <v>0</v>
      </c>
      <c r="F58" s="107" t="n">
        <f aca="false">IF(F$4&lt;Premissas!$B$10,0,INDEX(Premissas!$C$44:$G$44,F$7))</f>
        <v>0</v>
      </c>
      <c r="G58" s="107" t="n">
        <f aca="false">IF(G$4&lt;Premissas!$B$10,0,INDEX(Premissas!$C$44:$G$44,G$7))</f>
        <v>0</v>
      </c>
      <c r="H58" s="107" t="n">
        <f aca="false">IF(H$4&lt;Premissas!$B$10,0,INDEX(Premissas!$C$44:$G$44,H$7))</f>
        <v>0</v>
      </c>
      <c r="I58" s="107" t="n">
        <f aca="false">IF(I$4&lt;Premissas!$B$10,0,INDEX(Premissas!$C$44:$G$44,I$7))</f>
        <v>0</v>
      </c>
      <c r="J58" s="107" t="n">
        <f aca="false">IF(J$4&lt;Premissas!$B$10,0,INDEX(Premissas!$C$44:$G$44,J$7))</f>
        <v>0</v>
      </c>
      <c r="K58" s="107" t="n">
        <f aca="false">IF(K$4&lt;Premissas!$B$10,0,INDEX(Premissas!$C$44:$G$44,K$7))</f>
        <v>0.05</v>
      </c>
      <c r="L58" s="107" t="n">
        <f aca="false">IF(L$4&lt;Premissas!$B$10,0,INDEX(Premissas!$C$44:$G$44,L$7))</f>
        <v>0.05</v>
      </c>
      <c r="M58" s="107" t="n">
        <f aca="false">IF(M$4&lt;Premissas!$B$10,0,INDEX(Premissas!$C$44:$G$44,M$7))</f>
        <v>0.05</v>
      </c>
      <c r="N58" s="107" t="n">
        <f aca="false">IF(N$4&lt;Premissas!$B$10,0,INDEX(Premissas!$C$44:$G$44,N$7))</f>
        <v>0.055</v>
      </c>
      <c r="O58" s="107" t="n">
        <f aca="false">IF(O$4&lt;Premissas!$B$10,0,INDEX(Premissas!$C$44:$G$44,O$7))</f>
        <v>0.055</v>
      </c>
      <c r="P58" s="107" t="n">
        <f aca="false">IF(P$4&lt;Premissas!$B$10,0,INDEX(Premissas!$C$44:$G$44,P$7))</f>
        <v>0.055</v>
      </c>
      <c r="Q58" s="107" t="n">
        <f aca="false">IF(Q$4&lt;Premissas!$B$10,0,INDEX(Premissas!$C$44:$G$44,Q$7))</f>
        <v>0.055</v>
      </c>
      <c r="R58" s="107" t="n">
        <f aca="false">IF(R$4&lt;Premissas!$B$10,0,INDEX(Premissas!$C$44:$G$44,R$7))</f>
        <v>0.055</v>
      </c>
      <c r="S58" s="107" t="n">
        <f aca="false">IF(S$4&lt;Premissas!$B$10,0,INDEX(Premissas!$C$44:$G$44,S$7))</f>
        <v>0.055</v>
      </c>
      <c r="T58" s="107" t="n">
        <f aca="false">IF(T$4&lt;Premissas!$B$10,0,INDEX(Premissas!$C$44:$G$44,T$7))</f>
        <v>0.055</v>
      </c>
      <c r="U58" s="107" t="n">
        <f aca="false">IF(U$4&lt;Premissas!$B$10,0,INDEX(Premissas!$C$44:$G$44,U$7))</f>
        <v>0.055</v>
      </c>
      <c r="V58" s="107" t="n">
        <f aca="false">IF(V$4&lt;Premissas!$B$10,0,INDEX(Premissas!$C$44:$G$44,V$7))</f>
        <v>0.055</v>
      </c>
      <c r="W58" s="107" t="n">
        <f aca="false">IF(W$4&lt;Premissas!$B$10,0,INDEX(Premissas!$C$44:$G$44,W$7))</f>
        <v>0.055</v>
      </c>
      <c r="X58" s="107" t="n">
        <f aca="false">IF(X$4&lt;Premissas!$B$10,0,INDEX(Premissas!$C$44:$G$44,X$7))</f>
        <v>0.055</v>
      </c>
      <c r="Y58" s="107" t="n">
        <f aca="false">IF(Y$4&lt;Premissas!$B$10,0,INDEX(Premissas!$C$44:$G$44,Y$7))</f>
        <v>0.055</v>
      </c>
      <c r="Z58" s="107" t="n">
        <f aca="false">IF(Z$4&lt;Premissas!$B$10,0,INDEX(Premissas!$C$44:$G$44,Z$7))</f>
        <v>0.06</v>
      </c>
      <c r="AA58" s="107" t="n">
        <f aca="false">IF(AA$4&lt;Premissas!$B$10,0,INDEX(Premissas!$C$44:$G$44,AA$7))</f>
        <v>0.06</v>
      </c>
      <c r="AB58" s="107" t="n">
        <f aca="false">IF(AB$4&lt;Premissas!$B$10,0,INDEX(Premissas!$C$44:$G$44,AB$7))</f>
        <v>0.06</v>
      </c>
      <c r="AC58" s="107" t="n">
        <f aca="false">IF(AC$4&lt;Premissas!$B$10,0,INDEX(Premissas!$C$44:$G$44,AC$7))</f>
        <v>0.06</v>
      </c>
      <c r="AD58" s="107" t="n">
        <f aca="false">IF(AD$4&lt;Premissas!$B$10,0,INDEX(Premissas!$C$44:$G$44,AD$7))</f>
        <v>0.06</v>
      </c>
      <c r="AE58" s="107" t="n">
        <f aca="false">IF(AE$4&lt;Premissas!$B$10,0,INDEX(Premissas!$C$44:$G$44,AE$7))</f>
        <v>0.06</v>
      </c>
      <c r="AF58" s="107" t="n">
        <f aca="false">IF(AF$4&lt;Premissas!$B$10,0,INDEX(Premissas!$C$44:$G$44,AF$7))</f>
        <v>0.06</v>
      </c>
      <c r="AG58" s="107" t="n">
        <f aca="false">IF(AG$4&lt;Premissas!$B$10,0,INDEX(Premissas!$C$44:$G$44,AG$7))</f>
        <v>0.06</v>
      </c>
      <c r="AH58" s="107" t="n">
        <f aca="false">IF(AH$4&lt;Premissas!$B$10,0,INDEX(Premissas!$C$44:$G$44,AH$7))</f>
        <v>0.06</v>
      </c>
      <c r="AI58" s="107" t="n">
        <f aca="false">IF(AI$4&lt;Premissas!$B$10,0,INDEX(Premissas!$C$44:$G$44,AI$7))</f>
        <v>0.06</v>
      </c>
      <c r="AJ58" s="107" t="n">
        <f aca="false">IF(AJ$4&lt;Premissas!$B$10,0,INDEX(Premissas!$C$44:$G$44,AJ$7))</f>
        <v>0.06</v>
      </c>
      <c r="AK58" s="107" t="n">
        <f aca="false">IF(AK$4&lt;Premissas!$B$10,0,INDEX(Premissas!$C$44:$G$44,AK$7))</f>
        <v>0.06</v>
      </c>
      <c r="AL58" s="107" t="n">
        <f aca="false">IF(AL$4&lt;Premissas!$B$10,0,INDEX(Premissas!$C$44:$G$44,AL$7))</f>
        <v>0.065</v>
      </c>
      <c r="AM58" s="107" t="n">
        <f aca="false">IF(AM$4&lt;Premissas!$B$10,0,INDEX(Premissas!$C$44:$G$44,AM$7))</f>
        <v>0.065</v>
      </c>
      <c r="AN58" s="107" t="n">
        <f aca="false">IF(AN$4&lt;Premissas!$B$10,0,INDEX(Premissas!$C$44:$G$44,AN$7))</f>
        <v>0.065</v>
      </c>
      <c r="AO58" s="107" t="n">
        <f aca="false">IF(AO$4&lt;Premissas!$B$10,0,INDEX(Premissas!$C$44:$G$44,AO$7))</f>
        <v>0.065</v>
      </c>
      <c r="AP58" s="107" t="n">
        <f aca="false">IF(AP$4&lt;Premissas!$B$10,0,INDEX(Premissas!$C$44:$G$44,AP$7))</f>
        <v>0.065</v>
      </c>
      <c r="AQ58" s="107" t="n">
        <f aca="false">IF(AQ$4&lt;Premissas!$B$10,0,INDEX(Premissas!$C$44:$G$44,AQ$7))</f>
        <v>0.065</v>
      </c>
      <c r="AR58" s="107" t="n">
        <f aca="false">IF(AR$4&lt;Premissas!$B$10,0,INDEX(Premissas!$C$44:$G$44,AR$7))</f>
        <v>0.065</v>
      </c>
      <c r="AS58" s="107" t="n">
        <f aca="false">IF(AS$4&lt;Premissas!$B$10,0,INDEX(Premissas!$C$44:$G$44,AS$7))</f>
        <v>0.065</v>
      </c>
      <c r="AT58" s="107" t="n">
        <f aca="false">IF(AT$4&lt;Premissas!$B$10,0,INDEX(Premissas!$C$44:$G$44,AT$7))</f>
        <v>0.065</v>
      </c>
      <c r="AU58" s="107" t="n">
        <f aca="false">IF(AU$4&lt;Premissas!$B$10,0,INDEX(Premissas!$C$44:$G$44,AU$7))</f>
        <v>0.065</v>
      </c>
      <c r="AV58" s="107" t="n">
        <f aca="false">IF(AV$4&lt;Premissas!$B$10,0,INDEX(Premissas!$C$44:$G$44,AV$7))</f>
        <v>0.065</v>
      </c>
      <c r="AW58" s="107" t="n">
        <f aca="false">IF(AW$4&lt;Premissas!$B$10,0,INDEX(Premissas!$C$44:$G$44,AW$7))</f>
        <v>0.065</v>
      </c>
      <c r="AX58" s="107" t="n">
        <f aca="false">IF(AX$4&lt;Premissas!$B$10,0,INDEX(Premissas!$C$44:$G$44,AX$7))</f>
        <v>0.07</v>
      </c>
      <c r="AY58" s="107" t="n">
        <f aca="false">IF(AY$4&lt;Premissas!$B$10,0,INDEX(Premissas!$C$44:$G$44,AY$7))</f>
        <v>0.07</v>
      </c>
      <c r="AZ58" s="107" t="n">
        <f aca="false">IF(AZ$4&lt;Premissas!$B$10,0,INDEX(Premissas!$C$44:$G$44,AZ$7))</f>
        <v>0.07</v>
      </c>
      <c r="BA58" s="107" t="n">
        <f aca="false">IF(BA$4&lt;Premissas!$B$10,0,INDEX(Premissas!$C$44:$G$44,BA$7))</f>
        <v>0.07</v>
      </c>
      <c r="BB58" s="107" t="n">
        <f aca="false">IF(BB$4&lt;Premissas!$B$10,0,INDEX(Premissas!$C$44:$G$44,BB$7))</f>
        <v>0.07</v>
      </c>
      <c r="BC58" s="107" t="n">
        <f aca="false">IF(BC$4&lt;Premissas!$B$10,0,INDEX(Premissas!$C$44:$G$44,BC$7))</f>
        <v>0.07</v>
      </c>
      <c r="BD58" s="107" t="n">
        <f aca="false">IF(BD$4&lt;Premissas!$B$10,0,INDEX(Premissas!$C$44:$G$44,BD$7))</f>
        <v>0.07</v>
      </c>
      <c r="BE58" s="107" t="n">
        <f aca="false">IF(BE$4&lt;Premissas!$B$10,0,INDEX(Premissas!$C$44:$G$44,BE$7))</f>
        <v>0.07</v>
      </c>
      <c r="BF58" s="107" t="n">
        <f aca="false">IF(BF$4&lt;Premissas!$B$10,0,INDEX(Premissas!$C$44:$G$44,BF$7))</f>
        <v>0.07</v>
      </c>
      <c r="BG58" s="107" t="n">
        <f aca="false">IF(BG$4&lt;Premissas!$B$10,0,INDEX(Premissas!$C$44:$G$44,BG$7))</f>
        <v>0.07</v>
      </c>
      <c r="BH58" s="107" t="n">
        <f aca="false">IF(BH$4&lt;Premissas!$B$10,0,INDEX(Premissas!$C$44:$G$44,BH$7))</f>
        <v>0.07</v>
      </c>
      <c r="BI58" s="107" t="n">
        <f aca="false">IF(BI$4&lt;Premissas!$B$10,0,INDEX(Premissas!$C$44:$G$44,BI$7))</f>
        <v>0.07</v>
      </c>
      <c r="BJ58" s="72" t="n">
        <f aca="false">BI58</f>
        <v>0.07</v>
      </c>
    </row>
    <row r="59" customFormat="false" ht="15" hidden="false" customHeight="false" outlineLevel="0" collapsed="false">
      <c r="A59" s="34" t="s">
        <v>316</v>
      </c>
      <c r="B59" s="96" t="n">
        <f aca="false">ROUND(B57*B58,0)</f>
        <v>0</v>
      </c>
      <c r="C59" s="96" t="n">
        <f aca="false">ROUND(C57*C58,0)</f>
        <v>0</v>
      </c>
      <c r="D59" s="96" t="n">
        <f aca="false">ROUND(D57*D58,0)</f>
        <v>0</v>
      </c>
      <c r="E59" s="96" t="n">
        <f aca="false">ROUND(E57*E58,0)</f>
        <v>0</v>
      </c>
      <c r="F59" s="96" t="n">
        <f aca="false">ROUND(F57*F58,0)</f>
        <v>0</v>
      </c>
      <c r="G59" s="96" t="n">
        <f aca="false">ROUND(G57*G58,0)</f>
        <v>0</v>
      </c>
      <c r="H59" s="96" t="n">
        <f aca="false">ROUND(H57*H58,0)</f>
        <v>0</v>
      </c>
      <c r="I59" s="96" t="n">
        <f aca="false">ROUND(I57*I58,0)</f>
        <v>0</v>
      </c>
      <c r="J59" s="96" t="n">
        <f aca="false">ROUND(J57*J58,0)</f>
        <v>0</v>
      </c>
      <c r="K59" s="96" t="n">
        <f aca="false">ROUND(K57*K58,0)</f>
        <v>905</v>
      </c>
      <c r="L59" s="96" t="n">
        <f aca="false">ROUND(L57*L58,0)</f>
        <v>1738</v>
      </c>
      <c r="M59" s="96" t="n">
        <f aca="false">ROUND(M57*M58,0)</f>
        <v>2504</v>
      </c>
      <c r="N59" s="96" t="n">
        <f aca="false">ROUND(N57*N58,0)</f>
        <v>3757</v>
      </c>
      <c r="O59" s="96" t="n">
        <f aca="false">ROUND(O57*O58,0)</f>
        <v>4686</v>
      </c>
      <c r="P59" s="96" t="n">
        <f aca="false">ROUND(P57*P58,0)</f>
        <v>5544</v>
      </c>
      <c r="Q59" s="96" t="n">
        <f aca="false">ROUND(Q57*Q58,0)</f>
        <v>6338</v>
      </c>
      <c r="R59" s="96" t="n">
        <f aca="false">ROUND(R57*R58,0)</f>
        <v>7073</v>
      </c>
      <c r="S59" s="96" t="n">
        <f aca="false">ROUND(S57*S58,0)</f>
        <v>7753</v>
      </c>
      <c r="T59" s="96" t="n">
        <f aca="false">ROUND(T57*T58,0)</f>
        <v>8381</v>
      </c>
      <c r="U59" s="96" t="n">
        <f aca="false">ROUND(U57*U58,0)</f>
        <v>8962</v>
      </c>
      <c r="V59" s="96" t="n">
        <f aca="false">ROUND(V57*V58,0)</f>
        <v>9500</v>
      </c>
      <c r="W59" s="96" t="n">
        <f aca="false">ROUND(W57*W58,0)</f>
        <v>9998</v>
      </c>
      <c r="X59" s="96" t="n">
        <f aca="false">ROUND(X57*X58,0)</f>
        <v>10458</v>
      </c>
      <c r="Y59" s="96" t="n">
        <f aca="false">ROUND(Y57*Y58,0)</f>
        <v>10884</v>
      </c>
      <c r="Z59" s="96" t="n">
        <f aca="false">ROUND(Z57*Z58,0)</f>
        <v>13742</v>
      </c>
      <c r="AA59" s="96" t="n">
        <f aca="false">ROUND(AA57*AA58,0)</f>
        <v>15480</v>
      </c>
      <c r="AB59" s="96" t="n">
        <f aca="false">ROUND(AB57*AB58,0)</f>
        <v>17096</v>
      </c>
      <c r="AC59" s="96" t="n">
        <f aca="false">ROUND(AC57*AC58,0)</f>
        <v>18600</v>
      </c>
      <c r="AD59" s="96" t="n">
        <f aca="false">ROUND(AD57*AD58,0)</f>
        <v>19998</v>
      </c>
      <c r="AE59" s="96" t="n">
        <f aca="false">ROUND(AE57*AE58,0)</f>
        <v>21298</v>
      </c>
      <c r="AF59" s="96" t="n">
        <f aca="false">ROUND(AF57*AF58,0)</f>
        <v>22507</v>
      </c>
      <c r="AG59" s="96" t="n">
        <f aca="false">ROUND(AG57*AG58,0)</f>
        <v>23631</v>
      </c>
      <c r="AH59" s="96" t="n">
        <f aca="false">ROUND(AH57*AH58,0)</f>
        <v>24677</v>
      </c>
      <c r="AI59" s="96" t="n">
        <f aca="false">ROUND(AI57*AI58,0)</f>
        <v>25650</v>
      </c>
      <c r="AJ59" s="96" t="n">
        <f aca="false">ROUND(AJ57*AJ58,0)</f>
        <v>26554</v>
      </c>
      <c r="AK59" s="96" t="n">
        <f aca="false">ROUND(AK57*AK58,0)</f>
        <v>27396</v>
      </c>
      <c r="AL59" s="96" t="n">
        <f aca="false">ROUND(AL57*AL58,0)</f>
        <v>32299</v>
      </c>
      <c r="AM59" s="96" t="n">
        <f aca="false">ROUND(AM57*AM58,0)</f>
        <v>34750</v>
      </c>
      <c r="AN59" s="96" t="n">
        <f aca="false">ROUND(AN57*AN58,0)</f>
        <v>37041</v>
      </c>
      <c r="AO59" s="96" t="n">
        <f aca="false">ROUND(AO57*AO58,0)</f>
        <v>39184</v>
      </c>
      <c r="AP59" s="96" t="n">
        <f aca="false">ROUND(AP57*AP58,0)</f>
        <v>41187</v>
      </c>
      <c r="AQ59" s="96" t="n">
        <f aca="false">ROUND(AQ57*AQ58,0)</f>
        <v>43059</v>
      </c>
      <c r="AR59" s="96" t="n">
        <f aca="false">ROUND(AR57*AR58,0)</f>
        <v>44811</v>
      </c>
      <c r="AS59" s="96" t="n">
        <f aca="false">ROUND(AS57*AS58,0)</f>
        <v>46448</v>
      </c>
      <c r="AT59" s="96" t="n">
        <f aca="false">ROUND(AT57*AT58,0)</f>
        <v>47979</v>
      </c>
      <c r="AU59" s="96" t="n">
        <f aca="false">ROUND(AU57*AU58,0)</f>
        <v>49410</v>
      </c>
      <c r="AV59" s="96" t="n">
        <f aca="false">ROUND(AV57*AV58,0)</f>
        <v>50749</v>
      </c>
      <c r="AW59" s="96" t="n">
        <f aca="false">ROUND(AW57*AW58,0)</f>
        <v>52000</v>
      </c>
      <c r="AX59" s="96" t="n">
        <f aca="false">ROUND(AX57*AX58,0)</f>
        <v>59290</v>
      </c>
      <c r="AY59" s="96" t="n">
        <f aca="false">ROUND(AY57*AY58,0)</f>
        <v>62382</v>
      </c>
      <c r="AZ59" s="96" t="n">
        <f aca="false">ROUND(AZ57*AZ58,0)</f>
        <v>65290</v>
      </c>
      <c r="BA59" s="96" t="n">
        <f aca="false">ROUND(BA57*BA58,0)</f>
        <v>68022</v>
      </c>
      <c r="BB59" s="96" t="n">
        <f aca="false">ROUND(BB57*BB58,0)</f>
        <v>70591</v>
      </c>
      <c r="BC59" s="96" t="n">
        <f aca="false">ROUND(BC57*BC58,0)</f>
        <v>73005</v>
      </c>
      <c r="BD59" s="96" t="n">
        <f aca="false">ROUND(BD57*BD58,0)</f>
        <v>75275</v>
      </c>
      <c r="BE59" s="96" t="n">
        <f aca="false">ROUND(BE57*BE58,0)</f>
        <v>77409</v>
      </c>
      <c r="BF59" s="96" t="n">
        <f aca="false">ROUND(BF57*BF58,0)</f>
        <v>79414</v>
      </c>
      <c r="BG59" s="96" t="n">
        <f aca="false">ROUND(BG57*BG58,0)</f>
        <v>81299</v>
      </c>
      <c r="BH59" s="96" t="n">
        <f aca="false">ROUND(BH57*BH58,0)</f>
        <v>83071</v>
      </c>
      <c r="BI59" s="96" t="n">
        <f aca="false">ROUND(BI57*BI58,0)</f>
        <v>84737</v>
      </c>
      <c r="BJ59" s="95" t="n">
        <f aca="false">BI59</f>
        <v>84737</v>
      </c>
      <c r="BK59" s="14" t="s">
        <v>344</v>
      </c>
    </row>
    <row r="60" customFormat="false" ht="15" hidden="false" customHeight="false" outlineLevel="0" collapsed="false">
      <c r="A60" s="12" t="s">
        <v>317</v>
      </c>
      <c r="B60" s="98" t="n">
        <f aca="false">ROUND(B59*INDEX(Premissas!$C$26:$G$26,B$7),0)</f>
        <v>0</v>
      </c>
      <c r="C60" s="98" t="n">
        <f aca="false">ROUND(C59*INDEX(Premissas!$C$26:$G$26,C$7),0)</f>
        <v>0</v>
      </c>
      <c r="D60" s="98" t="n">
        <f aca="false">ROUND(D59*INDEX(Premissas!$C$26:$G$26,D$7),0)</f>
        <v>0</v>
      </c>
      <c r="E60" s="98" t="n">
        <f aca="false">ROUND(E59*INDEX(Premissas!$C$26:$G$26,E$7),0)</f>
        <v>0</v>
      </c>
      <c r="F60" s="98" t="n">
        <f aca="false">ROUND(F59*INDEX(Premissas!$C$26:$G$26,F$7),0)</f>
        <v>0</v>
      </c>
      <c r="G60" s="98" t="n">
        <f aca="false">ROUND(G59*INDEX(Premissas!$C$26:$G$26,G$7),0)</f>
        <v>0</v>
      </c>
      <c r="H60" s="98" t="n">
        <f aca="false">ROUND(H59*INDEX(Premissas!$C$26:$G$26,H$7),0)</f>
        <v>0</v>
      </c>
      <c r="I60" s="98" t="n">
        <f aca="false">ROUND(I59*INDEX(Premissas!$C$26:$G$26,I$7),0)</f>
        <v>0</v>
      </c>
      <c r="J60" s="98" t="n">
        <f aca="false">ROUND(J59*INDEX(Premissas!$C$26:$G$26,J$7),0)</f>
        <v>0</v>
      </c>
      <c r="K60" s="98" t="n">
        <f aca="false">ROUND(K59*INDEX(Premissas!$C$26:$G$26,K$7),0)</f>
        <v>679</v>
      </c>
      <c r="L60" s="98" t="n">
        <f aca="false">ROUND(L59*INDEX(Premissas!$C$26:$G$26,L$7),0)</f>
        <v>1304</v>
      </c>
      <c r="M60" s="98" t="n">
        <f aca="false">ROUND(M59*INDEX(Premissas!$C$26:$G$26,M$7),0)</f>
        <v>1878</v>
      </c>
      <c r="N60" s="98" t="n">
        <f aca="false">ROUND(N59*INDEX(Premissas!$C$26:$G$26,N$7),0)</f>
        <v>2705</v>
      </c>
      <c r="O60" s="98" t="n">
        <f aca="false">ROUND(O59*INDEX(Premissas!$C$26:$G$26,O$7),0)</f>
        <v>3374</v>
      </c>
      <c r="P60" s="98" t="n">
        <f aca="false">ROUND(P59*INDEX(Premissas!$C$26:$G$26,P$7),0)</f>
        <v>3992</v>
      </c>
      <c r="Q60" s="98" t="n">
        <f aca="false">ROUND(Q59*INDEX(Premissas!$C$26:$G$26,Q$7),0)</f>
        <v>4563</v>
      </c>
      <c r="R60" s="98" t="n">
        <f aca="false">ROUND(R59*INDEX(Premissas!$C$26:$G$26,R$7),0)</f>
        <v>5093</v>
      </c>
      <c r="S60" s="98" t="n">
        <f aca="false">ROUND(S59*INDEX(Premissas!$C$26:$G$26,S$7),0)</f>
        <v>5582</v>
      </c>
      <c r="T60" s="98" t="n">
        <f aca="false">ROUND(T59*INDEX(Premissas!$C$26:$G$26,T$7),0)</f>
        <v>6034</v>
      </c>
      <c r="U60" s="98" t="n">
        <f aca="false">ROUND(U59*INDEX(Premissas!$C$26:$G$26,U$7),0)</f>
        <v>6453</v>
      </c>
      <c r="V60" s="98" t="n">
        <f aca="false">ROUND(V59*INDEX(Premissas!$C$26:$G$26,V$7),0)</f>
        <v>6840</v>
      </c>
      <c r="W60" s="98" t="n">
        <f aca="false">ROUND(W59*INDEX(Premissas!$C$26:$G$26,W$7),0)</f>
        <v>7199</v>
      </c>
      <c r="X60" s="98" t="n">
        <f aca="false">ROUND(X59*INDEX(Premissas!$C$26:$G$26,X$7),0)</f>
        <v>7530</v>
      </c>
      <c r="Y60" s="98" t="n">
        <f aca="false">ROUND(Y59*INDEX(Premissas!$C$26:$G$26,Y$7),0)</f>
        <v>7836</v>
      </c>
      <c r="Z60" s="98" t="n">
        <f aca="false">ROUND(Z59*INDEX(Premissas!$C$26:$G$26,Z$7),0)</f>
        <v>9345</v>
      </c>
      <c r="AA60" s="98" t="n">
        <f aca="false">ROUND(AA59*INDEX(Premissas!$C$26:$G$26,AA$7),0)</f>
        <v>10526</v>
      </c>
      <c r="AB60" s="98" t="n">
        <f aca="false">ROUND(AB59*INDEX(Premissas!$C$26:$G$26,AB$7),0)</f>
        <v>11625</v>
      </c>
      <c r="AC60" s="98" t="n">
        <f aca="false">ROUND(AC59*INDEX(Premissas!$C$26:$G$26,AC$7),0)</f>
        <v>12648</v>
      </c>
      <c r="AD60" s="98" t="n">
        <f aca="false">ROUND(AD59*INDEX(Premissas!$C$26:$G$26,AD$7),0)</f>
        <v>13599</v>
      </c>
      <c r="AE60" s="98" t="n">
        <f aca="false">ROUND(AE59*INDEX(Premissas!$C$26:$G$26,AE$7),0)</f>
        <v>14483</v>
      </c>
      <c r="AF60" s="98" t="n">
        <f aca="false">ROUND(AF59*INDEX(Premissas!$C$26:$G$26,AF$7),0)</f>
        <v>15305</v>
      </c>
      <c r="AG60" s="98" t="n">
        <f aca="false">ROUND(AG59*INDEX(Premissas!$C$26:$G$26,AG$7),0)</f>
        <v>16069</v>
      </c>
      <c r="AH60" s="98" t="n">
        <f aca="false">ROUND(AH59*INDEX(Premissas!$C$26:$G$26,AH$7),0)</f>
        <v>16780</v>
      </c>
      <c r="AI60" s="98" t="n">
        <f aca="false">ROUND(AI59*INDEX(Premissas!$C$26:$G$26,AI$7),0)</f>
        <v>17442</v>
      </c>
      <c r="AJ60" s="98" t="n">
        <f aca="false">ROUND(AJ59*INDEX(Premissas!$C$26:$G$26,AJ$7),0)</f>
        <v>18057</v>
      </c>
      <c r="AK60" s="98" t="n">
        <f aca="false">ROUND(AK59*INDEX(Premissas!$C$26:$G$26,AK$7),0)</f>
        <v>18629</v>
      </c>
      <c r="AL60" s="98" t="n">
        <f aca="false">ROUND(AL59*INDEX(Premissas!$C$26:$G$26,AL$7),0)</f>
        <v>20671</v>
      </c>
      <c r="AM60" s="98" t="n">
        <f aca="false">ROUND(AM59*INDEX(Premissas!$C$26:$G$26,AM$7),0)</f>
        <v>22240</v>
      </c>
      <c r="AN60" s="98" t="n">
        <f aca="false">ROUND(AN59*INDEX(Premissas!$C$26:$G$26,AN$7),0)</f>
        <v>23706</v>
      </c>
      <c r="AO60" s="98" t="n">
        <f aca="false">ROUND(AO59*INDEX(Premissas!$C$26:$G$26,AO$7),0)</f>
        <v>25078</v>
      </c>
      <c r="AP60" s="98" t="n">
        <f aca="false">ROUND(AP59*INDEX(Premissas!$C$26:$G$26,AP$7),0)</f>
        <v>26360</v>
      </c>
      <c r="AQ60" s="98" t="n">
        <f aca="false">ROUND(AQ59*INDEX(Premissas!$C$26:$G$26,AQ$7),0)</f>
        <v>27558</v>
      </c>
      <c r="AR60" s="98" t="n">
        <f aca="false">ROUND(AR59*INDEX(Premissas!$C$26:$G$26,AR$7),0)</f>
        <v>28679</v>
      </c>
      <c r="AS60" s="98" t="n">
        <f aca="false">ROUND(AS59*INDEX(Premissas!$C$26:$G$26,AS$7),0)</f>
        <v>29727</v>
      </c>
      <c r="AT60" s="98" t="n">
        <f aca="false">ROUND(AT59*INDEX(Premissas!$C$26:$G$26,AT$7),0)</f>
        <v>30707</v>
      </c>
      <c r="AU60" s="98" t="n">
        <f aca="false">ROUND(AU59*INDEX(Premissas!$C$26:$G$26,AU$7),0)</f>
        <v>31622</v>
      </c>
      <c r="AV60" s="98" t="n">
        <f aca="false">ROUND(AV59*INDEX(Premissas!$C$26:$G$26,AV$7),0)</f>
        <v>32479</v>
      </c>
      <c r="AW60" s="98" t="n">
        <f aca="false">ROUND(AW59*INDEX(Premissas!$C$26:$G$26,AW$7),0)</f>
        <v>33280</v>
      </c>
      <c r="AX60" s="98" t="n">
        <f aca="false">ROUND(AX59*INDEX(Premissas!$C$26:$G$26,AX$7),0)</f>
        <v>35574</v>
      </c>
      <c r="AY60" s="98" t="n">
        <f aca="false">ROUND(AY59*INDEX(Premissas!$C$26:$G$26,AY$7),0)</f>
        <v>37429</v>
      </c>
      <c r="AZ60" s="98" t="n">
        <f aca="false">ROUND(AZ59*INDEX(Premissas!$C$26:$G$26,AZ$7),0)</f>
        <v>39174</v>
      </c>
      <c r="BA60" s="98" t="n">
        <f aca="false">ROUND(BA59*INDEX(Premissas!$C$26:$G$26,BA$7),0)</f>
        <v>40813</v>
      </c>
      <c r="BB60" s="98" t="n">
        <f aca="false">ROUND(BB59*INDEX(Premissas!$C$26:$G$26,BB$7),0)</f>
        <v>42355</v>
      </c>
      <c r="BC60" s="98" t="n">
        <f aca="false">ROUND(BC59*INDEX(Premissas!$C$26:$G$26,BC$7),0)</f>
        <v>43803</v>
      </c>
      <c r="BD60" s="98" t="n">
        <f aca="false">ROUND(BD59*INDEX(Premissas!$C$26:$G$26,BD$7),0)</f>
        <v>45165</v>
      </c>
      <c r="BE60" s="98" t="n">
        <f aca="false">ROUND(BE59*INDEX(Premissas!$C$26:$G$26,BE$7),0)</f>
        <v>46445</v>
      </c>
      <c r="BF60" s="98" t="n">
        <f aca="false">ROUND(BF59*INDEX(Premissas!$C$26:$G$26,BF$7),0)</f>
        <v>47648</v>
      </c>
      <c r="BG60" s="98" t="n">
        <f aca="false">ROUND(BG59*INDEX(Premissas!$C$26:$G$26,BG$7),0)</f>
        <v>48779</v>
      </c>
      <c r="BH60" s="98" t="n">
        <f aca="false">ROUND(BH59*INDEX(Premissas!$C$26:$G$26,BH$7),0)</f>
        <v>49843</v>
      </c>
      <c r="BI60" s="98" t="n">
        <f aca="false">ROUND(BI59*INDEX(Premissas!$C$26:$G$26,BI$7),0)</f>
        <v>50842</v>
      </c>
      <c r="BJ60" s="95" t="n">
        <f aca="false">BI60</f>
        <v>50842</v>
      </c>
      <c r="BK60" s="14" t="s">
        <v>344</v>
      </c>
    </row>
    <row r="61" customFormat="false" ht="15" hidden="false" customHeight="false" outlineLevel="0" collapsed="false">
      <c r="A61" s="12" t="s">
        <v>318</v>
      </c>
      <c r="B61" s="98" t="n">
        <f aca="false">ROUND(B59*INDEX(Premissas!$C$27:$G$27,B$7),0)</f>
        <v>0</v>
      </c>
      <c r="C61" s="98" t="n">
        <f aca="false">ROUND(C59*INDEX(Premissas!$C$27:$G$27,C$7),0)</f>
        <v>0</v>
      </c>
      <c r="D61" s="98" t="n">
        <f aca="false">ROUND(D59*INDEX(Premissas!$C$27:$G$27,D$7),0)</f>
        <v>0</v>
      </c>
      <c r="E61" s="98" t="n">
        <f aca="false">ROUND(E59*INDEX(Premissas!$C$27:$G$27,E$7),0)</f>
        <v>0</v>
      </c>
      <c r="F61" s="98" t="n">
        <f aca="false">ROUND(F59*INDEX(Premissas!$C$27:$G$27,F$7),0)</f>
        <v>0</v>
      </c>
      <c r="G61" s="98" t="n">
        <f aca="false">ROUND(G59*INDEX(Premissas!$C$27:$G$27,G$7),0)</f>
        <v>0</v>
      </c>
      <c r="H61" s="98" t="n">
        <f aca="false">ROUND(H59*INDEX(Premissas!$C$27:$G$27,H$7),0)</f>
        <v>0</v>
      </c>
      <c r="I61" s="98" t="n">
        <f aca="false">ROUND(I59*INDEX(Premissas!$C$27:$G$27,I$7),0)</f>
        <v>0</v>
      </c>
      <c r="J61" s="98" t="n">
        <f aca="false">ROUND(J59*INDEX(Premissas!$C$27:$G$27,J$7),0)</f>
        <v>0</v>
      </c>
      <c r="K61" s="98" t="n">
        <f aca="false">ROUND(K59*INDEX(Premissas!$C$27:$G$27,K$7),0)</f>
        <v>181</v>
      </c>
      <c r="L61" s="98" t="n">
        <f aca="false">ROUND(L59*INDEX(Premissas!$C$27:$G$27,L$7),0)</f>
        <v>348</v>
      </c>
      <c r="M61" s="98" t="n">
        <f aca="false">ROUND(M59*INDEX(Premissas!$C$27:$G$27,M$7),0)</f>
        <v>501</v>
      </c>
      <c r="N61" s="98" t="n">
        <f aca="false">ROUND(N59*INDEX(Premissas!$C$27:$G$27,N$7),0)</f>
        <v>827</v>
      </c>
      <c r="O61" s="98" t="n">
        <f aca="false">ROUND(O59*INDEX(Premissas!$C$27:$G$27,O$7),0)</f>
        <v>1031</v>
      </c>
      <c r="P61" s="98" t="n">
        <f aca="false">ROUND(P59*INDEX(Premissas!$C$27:$G$27,P$7),0)</f>
        <v>1220</v>
      </c>
      <c r="Q61" s="98" t="n">
        <f aca="false">ROUND(Q59*INDEX(Premissas!$C$27:$G$27,Q$7),0)</f>
        <v>1394</v>
      </c>
      <c r="R61" s="98" t="n">
        <f aca="false">ROUND(R59*INDEX(Premissas!$C$27:$G$27,R$7),0)</f>
        <v>1556</v>
      </c>
      <c r="S61" s="98" t="n">
        <f aca="false">ROUND(S59*INDEX(Premissas!$C$27:$G$27,S$7),0)</f>
        <v>1706</v>
      </c>
      <c r="T61" s="98" t="n">
        <f aca="false">ROUND(T59*INDEX(Premissas!$C$27:$G$27,T$7),0)</f>
        <v>1844</v>
      </c>
      <c r="U61" s="98" t="n">
        <f aca="false">ROUND(U59*INDEX(Premissas!$C$27:$G$27,U$7),0)</f>
        <v>1972</v>
      </c>
      <c r="V61" s="98" t="n">
        <f aca="false">ROUND(V59*INDEX(Premissas!$C$27:$G$27,V$7),0)</f>
        <v>2090</v>
      </c>
      <c r="W61" s="98" t="n">
        <f aca="false">ROUND(W59*INDEX(Premissas!$C$27:$G$27,W$7),0)</f>
        <v>2200</v>
      </c>
      <c r="X61" s="98" t="n">
        <f aca="false">ROUND(X59*INDEX(Premissas!$C$27:$G$27,X$7),0)</f>
        <v>2301</v>
      </c>
      <c r="Y61" s="98" t="n">
        <f aca="false">ROUND(Y59*INDEX(Premissas!$C$27:$G$27,Y$7),0)</f>
        <v>2394</v>
      </c>
      <c r="Z61" s="98" t="n">
        <f aca="false">ROUND(Z59*INDEX(Premissas!$C$27:$G$27,Z$7),0)</f>
        <v>3298</v>
      </c>
      <c r="AA61" s="98" t="n">
        <f aca="false">ROUND(AA59*INDEX(Premissas!$C$27:$G$27,AA$7),0)</f>
        <v>3715</v>
      </c>
      <c r="AB61" s="98" t="n">
        <f aca="false">ROUND(AB59*INDEX(Premissas!$C$27:$G$27,AB$7),0)</f>
        <v>4103</v>
      </c>
      <c r="AC61" s="98" t="n">
        <f aca="false">ROUND(AC59*INDEX(Premissas!$C$27:$G$27,AC$7),0)</f>
        <v>4464</v>
      </c>
      <c r="AD61" s="98" t="n">
        <f aca="false">ROUND(AD59*INDEX(Premissas!$C$27:$G$27,AD$7),0)</f>
        <v>4800</v>
      </c>
      <c r="AE61" s="98" t="n">
        <f aca="false">ROUND(AE59*INDEX(Premissas!$C$27:$G$27,AE$7),0)</f>
        <v>5112</v>
      </c>
      <c r="AF61" s="98" t="n">
        <f aca="false">ROUND(AF59*INDEX(Premissas!$C$27:$G$27,AF$7),0)</f>
        <v>5402</v>
      </c>
      <c r="AG61" s="98" t="n">
        <f aca="false">ROUND(AG59*INDEX(Premissas!$C$27:$G$27,AG$7),0)</f>
        <v>5671</v>
      </c>
      <c r="AH61" s="98" t="n">
        <f aca="false">ROUND(AH59*INDEX(Premissas!$C$27:$G$27,AH$7),0)</f>
        <v>5922</v>
      </c>
      <c r="AI61" s="98" t="n">
        <f aca="false">ROUND(AI59*INDEX(Premissas!$C$27:$G$27,AI$7),0)</f>
        <v>6156</v>
      </c>
      <c r="AJ61" s="98" t="n">
        <f aca="false">ROUND(AJ59*INDEX(Premissas!$C$27:$G$27,AJ$7),0)</f>
        <v>6373</v>
      </c>
      <c r="AK61" s="98" t="n">
        <f aca="false">ROUND(AK59*INDEX(Premissas!$C$27:$G$27,AK$7),0)</f>
        <v>6575</v>
      </c>
      <c r="AL61" s="98" t="n">
        <f aca="false">ROUND(AL59*INDEX(Premissas!$C$27:$G$27,AL$7),0)</f>
        <v>8398</v>
      </c>
      <c r="AM61" s="98" t="n">
        <f aca="false">ROUND(AM59*INDEX(Premissas!$C$27:$G$27,AM$7),0)</f>
        <v>9035</v>
      </c>
      <c r="AN61" s="98" t="n">
        <f aca="false">ROUND(AN59*INDEX(Premissas!$C$27:$G$27,AN$7),0)</f>
        <v>9631</v>
      </c>
      <c r="AO61" s="98" t="n">
        <f aca="false">ROUND(AO59*INDEX(Premissas!$C$27:$G$27,AO$7),0)</f>
        <v>10188</v>
      </c>
      <c r="AP61" s="98" t="n">
        <f aca="false">ROUND(AP59*INDEX(Premissas!$C$27:$G$27,AP$7),0)</f>
        <v>10709</v>
      </c>
      <c r="AQ61" s="98" t="n">
        <f aca="false">ROUND(AQ59*INDEX(Premissas!$C$27:$G$27,AQ$7),0)</f>
        <v>11195</v>
      </c>
      <c r="AR61" s="98" t="n">
        <f aca="false">ROUND(AR59*INDEX(Premissas!$C$27:$G$27,AR$7),0)</f>
        <v>11651</v>
      </c>
      <c r="AS61" s="98" t="n">
        <f aca="false">ROUND(AS59*INDEX(Premissas!$C$27:$G$27,AS$7),0)</f>
        <v>12076</v>
      </c>
      <c r="AT61" s="98" t="n">
        <f aca="false">ROUND(AT59*INDEX(Premissas!$C$27:$G$27,AT$7),0)</f>
        <v>12475</v>
      </c>
      <c r="AU61" s="98" t="n">
        <f aca="false">ROUND(AU59*INDEX(Premissas!$C$27:$G$27,AU$7),0)</f>
        <v>12847</v>
      </c>
      <c r="AV61" s="98" t="n">
        <f aca="false">ROUND(AV59*INDEX(Premissas!$C$27:$G$27,AV$7),0)</f>
        <v>13195</v>
      </c>
      <c r="AW61" s="98" t="n">
        <f aca="false">ROUND(AW59*INDEX(Premissas!$C$27:$G$27,AW$7),0)</f>
        <v>13520</v>
      </c>
      <c r="AX61" s="98" t="n">
        <f aca="false">ROUND(AX59*INDEX(Premissas!$C$27:$G$27,AX$7),0)</f>
        <v>16601</v>
      </c>
      <c r="AY61" s="98" t="n">
        <f aca="false">ROUND(AY59*INDEX(Premissas!$C$27:$G$27,AY$7),0)</f>
        <v>17467</v>
      </c>
      <c r="AZ61" s="98" t="n">
        <f aca="false">ROUND(AZ59*INDEX(Premissas!$C$27:$G$27,AZ$7),0)</f>
        <v>18281</v>
      </c>
      <c r="BA61" s="98" t="n">
        <f aca="false">ROUND(BA59*INDEX(Premissas!$C$27:$G$27,BA$7),0)</f>
        <v>19046</v>
      </c>
      <c r="BB61" s="98" t="n">
        <f aca="false">ROUND(BB59*INDEX(Premissas!$C$27:$G$27,BB$7),0)</f>
        <v>19765</v>
      </c>
      <c r="BC61" s="98" t="n">
        <f aca="false">ROUND(BC59*INDEX(Premissas!$C$27:$G$27,BC$7),0)</f>
        <v>20441</v>
      </c>
      <c r="BD61" s="98" t="n">
        <f aca="false">ROUND(BD59*INDEX(Premissas!$C$27:$G$27,BD$7),0)</f>
        <v>21077</v>
      </c>
      <c r="BE61" s="98" t="n">
        <f aca="false">ROUND(BE59*INDEX(Premissas!$C$27:$G$27,BE$7),0)</f>
        <v>21675</v>
      </c>
      <c r="BF61" s="98" t="n">
        <f aca="false">ROUND(BF59*INDEX(Premissas!$C$27:$G$27,BF$7),0)</f>
        <v>22236</v>
      </c>
      <c r="BG61" s="98" t="n">
        <f aca="false">ROUND(BG59*INDEX(Premissas!$C$27:$G$27,BG$7),0)</f>
        <v>22764</v>
      </c>
      <c r="BH61" s="98" t="n">
        <f aca="false">ROUND(BH59*INDEX(Premissas!$C$27:$G$27,BH$7),0)</f>
        <v>23260</v>
      </c>
      <c r="BI61" s="98" t="n">
        <f aca="false">ROUND(BI59*INDEX(Premissas!$C$27:$G$27,BI$7),0)</f>
        <v>23726</v>
      </c>
      <c r="BJ61" s="95" t="n">
        <f aca="false">BI61</f>
        <v>23726</v>
      </c>
      <c r="BK61" s="14" t="s">
        <v>344</v>
      </c>
    </row>
    <row r="62" customFormat="false" ht="15" hidden="false" customHeight="false" outlineLevel="0" collapsed="false">
      <c r="A62" s="12" t="s">
        <v>319</v>
      </c>
      <c r="B62" s="98" t="n">
        <f aca="false">B59-B60-B61</f>
        <v>0</v>
      </c>
      <c r="C62" s="98" t="n">
        <f aca="false">C59-C60-C61</f>
        <v>0</v>
      </c>
      <c r="D62" s="98" t="n">
        <f aca="false">D59-D60-D61</f>
        <v>0</v>
      </c>
      <c r="E62" s="98" t="n">
        <f aca="false">E59-E60-E61</f>
        <v>0</v>
      </c>
      <c r="F62" s="98" t="n">
        <f aca="false">F59-F60-F61</f>
        <v>0</v>
      </c>
      <c r="G62" s="98" t="n">
        <f aca="false">G59-G60-G61</f>
        <v>0</v>
      </c>
      <c r="H62" s="98" t="n">
        <f aca="false">H59-H60-H61</f>
        <v>0</v>
      </c>
      <c r="I62" s="98" t="n">
        <f aca="false">I59-I60-I61</f>
        <v>0</v>
      </c>
      <c r="J62" s="98" t="n">
        <f aca="false">J59-J60-J61</f>
        <v>0</v>
      </c>
      <c r="K62" s="98" t="n">
        <f aca="false">K59-K60-K61</f>
        <v>45</v>
      </c>
      <c r="L62" s="98" t="n">
        <f aca="false">L59-L60-L61</f>
        <v>86</v>
      </c>
      <c r="M62" s="98" t="n">
        <f aca="false">M59-M60-M61</f>
        <v>125</v>
      </c>
      <c r="N62" s="98" t="n">
        <f aca="false">N59-N60-N61</f>
        <v>225</v>
      </c>
      <c r="O62" s="98" t="n">
        <f aca="false">O59-O60-O61</f>
        <v>281</v>
      </c>
      <c r="P62" s="98" t="n">
        <f aca="false">P59-P60-P61</f>
        <v>332</v>
      </c>
      <c r="Q62" s="98" t="n">
        <f aca="false">Q59-Q60-Q61</f>
        <v>381</v>
      </c>
      <c r="R62" s="98" t="n">
        <f aca="false">R59-R60-R61</f>
        <v>424</v>
      </c>
      <c r="S62" s="98" t="n">
        <f aca="false">S59-S60-S61</f>
        <v>465</v>
      </c>
      <c r="T62" s="98" t="n">
        <f aca="false">T59-T60-T61</f>
        <v>503</v>
      </c>
      <c r="U62" s="98" t="n">
        <f aca="false">U59-U60-U61</f>
        <v>537</v>
      </c>
      <c r="V62" s="98" t="n">
        <f aca="false">V59-V60-V61</f>
        <v>570</v>
      </c>
      <c r="W62" s="98" t="n">
        <f aca="false">W59-W60-W61</f>
        <v>599</v>
      </c>
      <c r="X62" s="98" t="n">
        <f aca="false">X59-X60-X61</f>
        <v>627</v>
      </c>
      <c r="Y62" s="98" t="n">
        <f aca="false">Y59-Y60-Y61</f>
        <v>654</v>
      </c>
      <c r="Z62" s="98" t="n">
        <f aca="false">Z59-Z60-Z61</f>
        <v>1099</v>
      </c>
      <c r="AA62" s="98" t="n">
        <f aca="false">AA59-AA60-AA61</f>
        <v>1239</v>
      </c>
      <c r="AB62" s="98" t="n">
        <f aca="false">AB59-AB60-AB61</f>
        <v>1368</v>
      </c>
      <c r="AC62" s="98" t="n">
        <f aca="false">AC59-AC60-AC61</f>
        <v>1488</v>
      </c>
      <c r="AD62" s="98" t="n">
        <f aca="false">AD59-AD60-AD61</f>
        <v>1599</v>
      </c>
      <c r="AE62" s="98" t="n">
        <f aca="false">AE59-AE60-AE61</f>
        <v>1703</v>
      </c>
      <c r="AF62" s="98" t="n">
        <f aca="false">AF59-AF60-AF61</f>
        <v>1800</v>
      </c>
      <c r="AG62" s="98" t="n">
        <f aca="false">AG59-AG60-AG61</f>
        <v>1891</v>
      </c>
      <c r="AH62" s="98" t="n">
        <f aca="false">AH59-AH60-AH61</f>
        <v>1975</v>
      </c>
      <c r="AI62" s="98" t="n">
        <f aca="false">AI59-AI60-AI61</f>
        <v>2052</v>
      </c>
      <c r="AJ62" s="98" t="n">
        <f aca="false">AJ59-AJ60-AJ61</f>
        <v>2124</v>
      </c>
      <c r="AK62" s="98" t="n">
        <f aca="false">AK59-AK60-AK61</f>
        <v>2192</v>
      </c>
      <c r="AL62" s="98" t="n">
        <f aca="false">AL59-AL60-AL61</f>
        <v>3230</v>
      </c>
      <c r="AM62" s="98" t="n">
        <f aca="false">AM59-AM60-AM61</f>
        <v>3475</v>
      </c>
      <c r="AN62" s="98" t="n">
        <f aca="false">AN59-AN60-AN61</f>
        <v>3704</v>
      </c>
      <c r="AO62" s="98" t="n">
        <f aca="false">AO59-AO60-AO61</f>
        <v>3918</v>
      </c>
      <c r="AP62" s="98" t="n">
        <f aca="false">AP59-AP60-AP61</f>
        <v>4118</v>
      </c>
      <c r="AQ62" s="98" t="n">
        <f aca="false">AQ59-AQ60-AQ61</f>
        <v>4306</v>
      </c>
      <c r="AR62" s="98" t="n">
        <f aca="false">AR59-AR60-AR61</f>
        <v>4481</v>
      </c>
      <c r="AS62" s="98" t="n">
        <f aca="false">AS59-AS60-AS61</f>
        <v>4645</v>
      </c>
      <c r="AT62" s="98" t="n">
        <f aca="false">AT59-AT60-AT61</f>
        <v>4797</v>
      </c>
      <c r="AU62" s="98" t="n">
        <f aca="false">AU59-AU60-AU61</f>
        <v>4941</v>
      </c>
      <c r="AV62" s="98" t="n">
        <f aca="false">AV59-AV60-AV61</f>
        <v>5075</v>
      </c>
      <c r="AW62" s="98" t="n">
        <f aca="false">AW59-AW60-AW61</f>
        <v>5200</v>
      </c>
      <c r="AX62" s="98" t="n">
        <f aca="false">AX59-AX60-AX61</f>
        <v>7115</v>
      </c>
      <c r="AY62" s="98" t="n">
        <f aca="false">AY59-AY60-AY61</f>
        <v>7486</v>
      </c>
      <c r="AZ62" s="98" t="n">
        <f aca="false">AZ59-AZ60-AZ61</f>
        <v>7835</v>
      </c>
      <c r="BA62" s="98" t="n">
        <f aca="false">BA59-BA60-BA61</f>
        <v>8163</v>
      </c>
      <c r="BB62" s="98" t="n">
        <f aca="false">BB59-BB60-BB61</f>
        <v>8471</v>
      </c>
      <c r="BC62" s="98" t="n">
        <f aca="false">BC59-BC60-BC61</f>
        <v>8761</v>
      </c>
      <c r="BD62" s="98" t="n">
        <f aca="false">BD59-BD60-BD61</f>
        <v>9033</v>
      </c>
      <c r="BE62" s="98" t="n">
        <f aca="false">BE59-BE60-BE61</f>
        <v>9289</v>
      </c>
      <c r="BF62" s="98" t="n">
        <f aca="false">BF59-BF60-BF61</f>
        <v>9530</v>
      </c>
      <c r="BG62" s="98" t="n">
        <f aca="false">BG59-BG60-BG61</f>
        <v>9756</v>
      </c>
      <c r="BH62" s="98" t="n">
        <f aca="false">BH59-BH60-BH61</f>
        <v>9968</v>
      </c>
      <c r="BI62" s="98" t="n">
        <f aca="false">BI59-BI60-BI61</f>
        <v>10169</v>
      </c>
      <c r="BJ62" s="95" t="n">
        <f aca="false">BI62</f>
        <v>10169</v>
      </c>
      <c r="BK62" s="14" t="s">
        <v>344</v>
      </c>
    </row>
    <row r="63" customFormat="false" ht="15" hidden="false" customHeight="false" outlineLevel="0" collapsed="false">
      <c r="A63" s="12" t="s">
        <v>346</v>
      </c>
      <c r="B63" s="84" t="n">
        <f aca="false">B60*Premissas!$B$21*(1+Premissas!$B$24)^(B$6-2026)</f>
        <v>0</v>
      </c>
      <c r="C63" s="84" t="n">
        <f aca="false">C60*Premissas!$B$21*(1+Premissas!$B$24)^(C$6-2026)</f>
        <v>0</v>
      </c>
      <c r="D63" s="84" t="n">
        <f aca="false">D60*Premissas!$B$21*(1+Premissas!$B$24)^(D$6-2026)</f>
        <v>0</v>
      </c>
      <c r="E63" s="84" t="n">
        <f aca="false">E60*Premissas!$B$21*(1+Premissas!$B$24)^(E$6-2026)</f>
        <v>0</v>
      </c>
      <c r="F63" s="84" t="n">
        <f aca="false">F60*Premissas!$B$21*(1+Premissas!$B$24)^(F$6-2026)</f>
        <v>0</v>
      </c>
      <c r="G63" s="84" t="n">
        <f aca="false">G60*Premissas!$B$21*(1+Premissas!$B$24)^(G$6-2026)</f>
        <v>0</v>
      </c>
      <c r="H63" s="84" t="n">
        <f aca="false">H60*Premissas!$B$21*(1+Premissas!$B$24)^(H$6-2026)</f>
        <v>0</v>
      </c>
      <c r="I63" s="84" t="n">
        <f aca="false">I60*Premissas!$B$21*(1+Premissas!$B$24)^(I$6-2026)</f>
        <v>0</v>
      </c>
      <c r="J63" s="84" t="n">
        <f aca="false">J60*Premissas!$B$21*(1+Premissas!$B$24)^(J$6-2026)</f>
        <v>0</v>
      </c>
      <c r="K63" s="84" t="n">
        <f aca="false">K60*Premissas!$B$21*(1+Premissas!$B$24)^(K$6-2026)</f>
        <v>13512.1</v>
      </c>
      <c r="L63" s="84" t="n">
        <f aca="false">L60*Premissas!$B$21*(1+Premissas!$B$24)^(L$6-2026)</f>
        <v>25949.6</v>
      </c>
      <c r="M63" s="84" t="n">
        <f aca="false">M60*Premissas!$B$21*(1+Premissas!$B$24)^(M$6-2026)</f>
        <v>37372.2</v>
      </c>
      <c r="N63" s="84" t="n">
        <f aca="false">N60*Premissas!$B$21*(1+Premissas!$B$24)^(N$6-2026)</f>
        <v>56251.8275</v>
      </c>
      <c r="O63" s="84" t="n">
        <f aca="false">O60*Premissas!$B$21*(1+Premissas!$B$24)^(O$6-2026)</f>
        <v>70164.017</v>
      </c>
      <c r="P63" s="84" t="n">
        <f aca="false">P60*Premissas!$B$21*(1+Premissas!$B$24)^(P$6-2026)</f>
        <v>83015.636</v>
      </c>
      <c r="Q63" s="84" t="n">
        <f aca="false">Q60*Premissas!$B$21*(1+Premissas!$B$24)^(Q$6-2026)</f>
        <v>94889.8665</v>
      </c>
      <c r="R63" s="84" t="n">
        <f aca="false">R60*Premissas!$B$21*(1+Premissas!$B$24)^(R$6-2026)</f>
        <v>105911.4815</v>
      </c>
      <c r="S63" s="84" t="n">
        <f aca="false">S60*Premissas!$B$21*(1+Premissas!$B$24)^(S$6-2026)</f>
        <v>116080.481</v>
      </c>
      <c r="T63" s="84" t="n">
        <f aca="false">T60*Premissas!$B$21*(1+Premissas!$B$24)^(T$6-2026)</f>
        <v>125480.047</v>
      </c>
      <c r="U63" s="84" t="n">
        <f aca="false">U60*Premissas!$B$21*(1+Premissas!$B$24)^(U$6-2026)</f>
        <v>134193.3615</v>
      </c>
      <c r="V63" s="84" t="n">
        <f aca="false">V60*Premissas!$B$21*(1+Premissas!$B$24)^(V$6-2026)</f>
        <v>142241.22</v>
      </c>
      <c r="W63" s="84" t="n">
        <f aca="false">W60*Premissas!$B$21*(1+Premissas!$B$24)^(W$6-2026)</f>
        <v>149706.8045</v>
      </c>
      <c r="X63" s="84" t="n">
        <f aca="false">X60*Premissas!$B$21*(1+Premissas!$B$24)^(X$6-2026)</f>
        <v>156590.115</v>
      </c>
      <c r="Y63" s="84" t="n">
        <f aca="false">Y60*Premissas!$B$21*(1+Premissas!$B$24)^(Y$6-2026)</f>
        <v>162953.538</v>
      </c>
      <c r="Z63" s="84" t="n">
        <f aca="false">Z60*Premissas!$B$21*(1+Premissas!$B$24)^(Z$6-2026)</f>
        <v>203078.9751375</v>
      </c>
      <c r="AA63" s="84" t="n">
        <f aca="false">AA60*Premissas!$B$21*(1+Premissas!$B$24)^(AA$6-2026)</f>
        <v>228743.637485</v>
      </c>
      <c r="AB63" s="84" t="n">
        <f aca="false">AB60*Premissas!$B$21*(1+Premissas!$B$24)^(AB$6-2026)</f>
        <v>252626.3334375</v>
      </c>
      <c r="AC63" s="84" t="n">
        <f aca="false">AC60*Premissas!$B$21*(1+Premissas!$B$24)^(AC$6-2026)</f>
        <v>274857.45078</v>
      </c>
      <c r="AD63" s="84" t="n">
        <f aca="false">AD60*Premissas!$B$21*(1+Premissas!$B$24)^(AD$6-2026)</f>
        <v>295523.9147025</v>
      </c>
      <c r="AE63" s="84" t="n">
        <f aca="false">AE60*Premissas!$B$21*(1+Premissas!$B$24)^(AE$6-2026)</f>
        <v>314734.3816925</v>
      </c>
      <c r="AF63" s="84" t="n">
        <f aca="false">AF60*Premissas!$B$21*(1+Premissas!$B$24)^(AF$6-2026)</f>
        <v>332597.5082375</v>
      </c>
      <c r="AG63" s="84" t="n">
        <f aca="false">AG60*Premissas!$B$21*(1+Premissas!$B$24)^(AG$6-2026)</f>
        <v>349200.2195275</v>
      </c>
      <c r="AH63" s="84" t="n">
        <f aca="false">AH60*Premissas!$B$21*(1+Premissas!$B$24)^(AH$6-2026)</f>
        <v>364651.17205</v>
      </c>
      <c r="AI63" s="84" t="n">
        <f aca="false">AI60*Premissas!$B$21*(1+Premissas!$B$24)^(AI$6-2026)</f>
        <v>379037.290995</v>
      </c>
      <c r="AJ63" s="84" t="n">
        <f aca="false">AJ60*Premissas!$B$21*(1+Premissas!$B$24)^(AJ$6-2026)</f>
        <v>392402.0389575</v>
      </c>
      <c r="AK63" s="84" t="n">
        <f aca="false">AK60*Premissas!$B$21*(1+Premissas!$B$24)^(AK$6-2026)</f>
        <v>404832.3411275</v>
      </c>
      <c r="AL63" s="84" t="n">
        <f aca="false">AL60*Premissas!$B$21*(1+Premissas!$B$24)^(AL$6-2026)</f>
        <v>469421.994900512</v>
      </c>
      <c r="AM63" s="84" t="n">
        <f aca="false">AM60*Premissas!$B$21*(1+Premissas!$B$24)^(AM$6-2026)</f>
        <v>505052.738938</v>
      </c>
      <c r="AN63" s="84" t="n">
        <f aca="false">AN60*Premissas!$B$21*(1+Premissas!$B$24)^(AN$6-2026)</f>
        <v>538344.434769075</v>
      </c>
      <c r="AO63" s="84" t="n">
        <f aca="false">AO60*Premissas!$B$21*(1+Premissas!$B$24)^(AO$6-2026)</f>
        <v>569501.465246725</v>
      </c>
      <c r="AP63" s="84" t="n">
        <f aca="false">AP60*Premissas!$B$21*(1+Premissas!$B$24)^(AP$6-2026)</f>
        <v>598614.6671945</v>
      </c>
      <c r="AQ63" s="84" t="n">
        <f aca="false">AQ60*Premissas!$B$21*(1+Premissas!$B$24)^(AQ$6-2026)</f>
        <v>625820.295847725</v>
      </c>
      <c r="AR63" s="84" t="n">
        <f aca="false">AR60*Premissas!$B$21*(1+Premissas!$B$24)^(AR$6-2026)</f>
        <v>651277.315647612</v>
      </c>
      <c r="AS63" s="84" t="n">
        <f aca="false">AS60*Premissas!$B$21*(1+Premissas!$B$24)^(AS$6-2026)</f>
        <v>675076.563417712</v>
      </c>
      <c r="AT63" s="84" t="n">
        <f aca="false">AT60*Premissas!$B$21*(1+Premissas!$B$24)^(AT$6-2026)</f>
        <v>697331.585187462</v>
      </c>
      <c r="AU63" s="84" t="n">
        <f aca="false">AU60*Premissas!$B$21*(1+Premissas!$B$24)^(AU$6-2026)</f>
        <v>718110.508574525</v>
      </c>
      <c r="AV63" s="84" t="n">
        <f aca="false">AV60*Premissas!$B$21*(1+Premissas!$B$24)^(AV$6-2026)</f>
        <v>737572.298020112</v>
      </c>
      <c r="AW63" s="84" t="n">
        <f aca="false">AW60*Premissas!$B$21*(1+Premissas!$B$24)^(AW$6-2026)</f>
        <v>755762.371936</v>
      </c>
      <c r="AX63" s="84" t="n">
        <f aca="false">AX60*Premissas!$B$21*(1+Premissas!$B$24)^(AX$6-2026)</f>
        <v>844210.868302811</v>
      </c>
      <c r="AY63" s="84" t="n">
        <f aca="false">AY60*Premissas!$B$21*(1+Premissas!$B$24)^(AY$6-2026)</f>
        <v>888232.096185583</v>
      </c>
      <c r="AZ63" s="84" t="n">
        <f aca="false">AZ60*Premissas!$B$21*(1+Premissas!$B$24)^(AZ$6-2026)</f>
        <v>929642.900851586</v>
      </c>
      <c r="BA63" s="84" t="n">
        <f aca="false">BA60*Premissas!$B$21*(1+Premissas!$B$24)^(BA$6-2026)</f>
        <v>968538.206781431</v>
      </c>
      <c r="BB63" s="84" t="n">
        <f aca="false">BB60*Premissas!$B$21*(1+Premissas!$B$24)^(BB$6-2026)</f>
        <v>1005131.59405649</v>
      </c>
      <c r="BC63" s="84" t="n">
        <f aca="false">BC60*Premissas!$B$21*(1+Premissas!$B$24)^(BC$6-2026)</f>
        <v>1039494.25603722</v>
      </c>
      <c r="BD63" s="84" t="n">
        <f aca="false">BD60*Premissas!$B$21*(1+Premissas!$B$24)^(BD$6-2026)</f>
        <v>1071816.04168484</v>
      </c>
      <c r="BE63" s="84" t="n">
        <f aca="false">BE60*Premissas!$B$21*(1+Premissas!$B$24)^(BE$6-2026)</f>
        <v>1102191.87547996</v>
      </c>
      <c r="BF63" s="84" t="n">
        <f aca="false">BF60*Premissas!$B$21*(1+Premissas!$B$24)^(BF$6-2026)</f>
        <v>1130740.41302334</v>
      </c>
      <c r="BG63" s="84" t="n">
        <f aca="false">BG60*Premissas!$B$21*(1+Premissas!$B$24)^(BG$6-2026)</f>
        <v>1157580.30991575</v>
      </c>
      <c r="BH63" s="84" t="n">
        <f aca="false">BH60*Premissas!$B$21*(1+Premissas!$B$24)^(BH$6-2026)</f>
        <v>1182830.22175794</v>
      </c>
      <c r="BI63" s="84" t="n">
        <f aca="false">BI60*Premissas!$B$21*(1+Premissas!$B$24)^(BI$6-2026)</f>
        <v>1206537.61079023</v>
      </c>
      <c r="BJ63" s="69" t="n">
        <f aca="false">SUM(B63:BI63)</f>
        <v>25335430.1941771</v>
      </c>
    </row>
    <row r="64" customFormat="false" ht="15" hidden="false" customHeight="false" outlineLevel="0" collapsed="false">
      <c r="A64" s="12" t="s">
        <v>347</v>
      </c>
      <c r="B64" s="84" t="n">
        <f aca="false">B61*Premissas!$B$22*(1+Premissas!$B$24)^(B$6-2026)</f>
        <v>0</v>
      </c>
      <c r="C64" s="84" t="n">
        <f aca="false">C61*Premissas!$B$22*(1+Premissas!$B$24)^(C$6-2026)</f>
        <v>0</v>
      </c>
      <c r="D64" s="84" t="n">
        <f aca="false">D61*Premissas!$B$22*(1+Premissas!$B$24)^(D$6-2026)</f>
        <v>0</v>
      </c>
      <c r="E64" s="84" t="n">
        <f aca="false">E61*Premissas!$B$22*(1+Premissas!$B$24)^(E$6-2026)</f>
        <v>0</v>
      </c>
      <c r="F64" s="84" t="n">
        <f aca="false">F61*Premissas!$B$22*(1+Premissas!$B$24)^(F$6-2026)</f>
        <v>0</v>
      </c>
      <c r="G64" s="84" t="n">
        <f aca="false">G61*Premissas!$B$22*(1+Premissas!$B$24)^(G$6-2026)</f>
        <v>0</v>
      </c>
      <c r="H64" s="84" t="n">
        <f aca="false">H61*Premissas!$B$22*(1+Premissas!$B$24)^(H$6-2026)</f>
        <v>0</v>
      </c>
      <c r="I64" s="84" t="n">
        <f aca="false">I61*Premissas!$B$22*(1+Premissas!$B$24)^(I$6-2026)</f>
        <v>0</v>
      </c>
      <c r="J64" s="84" t="n">
        <f aca="false">J61*Premissas!$B$22*(1+Premissas!$B$24)^(J$6-2026)</f>
        <v>0</v>
      </c>
      <c r="K64" s="84" t="n">
        <f aca="false">K61*Premissas!$B$22*(1+Premissas!$B$24)^(K$6-2026)</f>
        <v>7221.9</v>
      </c>
      <c r="L64" s="84" t="n">
        <f aca="false">L61*Premissas!$B$22*(1+Premissas!$B$24)^(L$6-2026)</f>
        <v>13885.2</v>
      </c>
      <c r="M64" s="84" t="n">
        <f aca="false">M61*Premissas!$B$22*(1+Premissas!$B$24)^(M$6-2026)</f>
        <v>19989.9</v>
      </c>
      <c r="N64" s="84" t="n">
        <f aca="false">N61*Premissas!$B$22*(1+Premissas!$B$24)^(N$6-2026)</f>
        <v>34482.1785</v>
      </c>
      <c r="O64" s="84" t="n">
        <f aca="false">O61*Premissas!$B$22*(1+Premissas!$B$24)^(O$6-2026)</f>
        <v>42988.0605</v>
      </c>
      <c r="P64" s="84" t="n">
        <f aca="false">P61*Premissas!$B$22*(1+Premissas!$B$24)^(P$6-2026)</f>
        <v>50868.51</v>
      </c>
      <c r="Q64" s="84" t="n">
        <f aca="false">Q61*Premissas!$B$22*(1+Premissas!$B$24)^(Q$6-2026)</f>
        <v>58123.527</v>
      </c>
      <c r="R64" s="84" t="n">
        <f aca="false">R61*Premissas!$B$22*(1+Premissas!$B$24)^(R$6-2026)</f>
        <v>64878.198</v>
      </c>
      <c r="S64" s="84" t="n">
        <f aca="false">S61*Premissas!$B$22*(1+Premissas!$B$24)^(S$6-2026)</f>
        <v>71132.523</v>
      </c>
      <c r="T64" s="84" t="n">
        <f aca="false">T61*Premissas!$B$22*(1+Premissas!$B$24)^(T$6-2026)</f>
        <v>76886.502</v>
      </c>
      <c r="U64" s="84" t="n">
        <f aca="false">U61*Premissas!$B$22*(1+Premissas!$B$24)^(U$6-2026)</f>
        <v>82223.526</v>
      </c>
      <c r="V64" s="84" t="n">
        <f aca="false">V61*Premissas!$B$22*(1+Premissas!$B$24)^(V$6-2026)</f>
        <v>87143.595</v>
      </c>
      <c r="W64" s="84" t="n">
        <f aca="false">W61*Premissas!$B$22*(1+Premissas!$B$24)^(W$6-2026)</f>
        <v>91730.1</v>
      </c>
      <c r="X64" s="84" t="n">
        <f aca="false">X61*Premissas!$B$22*(1+Premissas!$B$24)^(X$6-2026)</f>
        <v>95941.3455</v>
      </c>
      <c r="Y64" s="84" t="n">
        <f aca="false">Y61*Premissas!$B$22*(1+Premissas!$B$24)^(Y$6-2026)</f>
        <v>99819.027</v>
      </c>
      <c r="Z64" s="84" t="n">
        <f aca="false">Z61*Premissas!$B$22*(1+Premissas!$B$24)^(Z$6-2026)</f>
        <v>143699.788155</v>
      </c>
      <c r="AA64" s="84" t="n">
        <f aca="false">AA61*Premissas!$B$22*(1+Premissas!$B$24)^(AA$6-2026)</f>
        <v>161869.2277125</v>
      </c>
      <c r="AB64" s="84" t="n">
        <f aca="false">AB61*Premissas!$B$22*(1+Premissas!$B$24)^(AB$6-2026)</f>
        <v>178775.0851425</v>
      </c>
      <c r="AC64" s="84" t="n">
        <f aca="false">AC61*Premissas!$B$22*(1+Premissas!$B$24)^(AC$6-2026)</f>
        <v>194504.50404</v>
      </c>
      <c r="AD64" s="84" t="n">
        <f aca="false">AD61*Premissas!$B$22*(1+Premissas!$B$24)^(AD$6-2026)</f>
        <v>209144.628</v>
      </c>
      <c r="AE64" s="84" t="n">
        <f aca="false">AE61*Premissas!$B$22*(1+Premissas!$B$24)^(AE$6-2026)</f>
        <v>222739.02882</v>
      </c>
      <c r="AF64" s="84" t="n">
        <f aca="false">AF61*Premissas!$B$22*(1+Premissas!$B$24)^(AF$6-2026)</f>
        <v>235374.850095</v>
      </c>
      <c r="AG64" s="84" t="n">
        <f aca="false">AG61*Premissas!$B$22*(1+Premissas!$B$24)^(AG$6-2026)</f>
        <v>247095.6636225</v>
      </c>
      <c r="AH64" s="84" t="n">
        <f aca="false">AH61*Premissas!$B$22*(1+Premissas!$B$24)^(AH$6-2026)</f>
        <v>258032.184795</v>
      </c>
      <c r="AI64" s="84" t="n">
        <f aca="false">AI61*Premissas!$B$22*(1+Premissas!$B$24)^(AI$6-2026)</f>
        <v>268227.98541</v>
      </c>
      <c r="AJ64" s="84" t="n">
        <f aca="false">AJ61*Premissas!$B$22*(1+Premissas!$B$24)^(AJ$6-2026)</f>
        <v>277683.0654675</v>
      </c>
      <c r="AK64" s="84" t="n">
        <f aca="false">AK61*Premissas!$B$22*(1+Premissas!$B$24)^(AK$6-2026)</f>
        <v>286484.5685625</v>
      </c>
      <c r="AL64" s="84" t="n">
        <f aca="false">AL61*Premissas!$B$22*(1+Premissas!$B$24)^(AL$6-2026)</f>
        <v>382382.173398225</v>
      </c>
      <c r="AM64" s="84" t="n">
        <f aca="false">AM61*Premissas!$B$22*(1+Premissas!$B$24)^(AM$6-2026)</f>
        <v>411386.393981062</v>
      </c>
      <c r="AN64" s="84" t="n">
        <f aca="false">AN61*Premissas!$B$22*(1+Premissas!$B$24)^(AN$6-2026)</f>
        <v>438523.780900012</v>
      </c>
      <c r="AO64" s="84" t="n">
        <f aca="false">AO61*Premissas!$B$22*(1+Premissas!$B$24)^(AO$6-2026)</f>
        <v>463885.39921185</v>
      </c>
      <c r="AP64" s="84" t="n">
        <f aca="false">AP61*Premissas!$B$22*(1+Premissas!$B$24)^(AP$6-2026)</f>
        <v>487607.846501737</v>
      </c>
      <c r="AQ64" s="84" t="n">
        <f aca="false">AQ61*Premissas!$B$22*(1+Premissas!$B$24)^(AQ$6-2026)</f>
        <v>509736.655298062</v>
      </c>
      <c r="AR64" s="84" t="n">
        <f aca="false">AR61*Premissas!$B$22*(1+Premissas!$B$24)^(AR$6-2026)</f>
        <v>530499.488242762</v>
      </c>
      <c r="AS64" s="84" t="n">
        <f aca="false">AS61*Premissas!$B$22*(1+Premissas!$B$24)^(AS$6-2026)</f>
        <v>549850.81280745</v>
      </c>
      <c r="AT64" s="84" t="n">
        <f aca="false">AT61*Premissas!$B$22*(1+Premissas!$B$24)^(AT$6-2026)</f>
        <v>568018.291634062</v>
      </c>
      <c r="AU64" s="84" t="n">
        <f aca="false">AU61*Premissas!$B$22*(1+Premissas!$B$24)^(AU$6-2026)</f>
        <v>584956.392194212</v>
      </c>
      <c r="AV64" s="84" t="n">
        <f aca="false">AV61*Premissas!$B$22*(1+Premissas!$B$24)^(AV$6-2026)</f>
        <v>600801.712073062</v>
      </c>
      <c r="AW64" s="84" t="n">
        <f aca="false">AW61*Premissas!$B$22*(1+Premissas!$B$24)^(AW$6-2026)</f>
        <v>615599.783799</v>
      </c>
      <c r="AX64" s="84" t="n">
        <f aca="false">AX61*Premissas!$B$22*(1+Premissas!$B$24)^(AX$6-2026)</f>
        <v>789900.351430127</v>
      </c>
      <c r="AY64" s="84" t="n">
        <f aca="false">AY61*Premissas!$B$22*(1+Premissas!$B$24)^(AY$6-2026)</f>
        <v>831105.923644963</v>
      </c>
      <c r="AZ64" s="84" t="n">
        <f aca="false">AZ61*Premissas!$B$22*(1+Premissas!$B$24)^(AZ$6-2026)</f>
        <v>869837.258267222</v>
      </c>
      <c r="BA64" s="84" t="n">
        <f aca="false">BA61*Premissas!$B$22*(1+Premissas!$B$24)^(BA$6-2026)</f>
        <v>906237.099773399</v>
      </c>
      <c r="BB64" s="84" t="n">
        <f aca="false">BB61*Premissas!$B$22*(1+Premissas!$B$24)^(BB$6-2026)</f>
        <v>940448.192639989</v>
      </c>
      <c r="BC64" s="84" t="n">
        <f aca="false">BC61*Premissas!$B$22*(1+Premissas!$B$24)^(BC$6-2026)</f>
        <v>972613.281343487</v>
      </c>
      <c r="BD64" s="84" t="n">
        <f aca="false">BD61*Premissas!$B$22*(1+Premissas!$B$24)^(BD$6-2026)</f>
        <v>1002875.11036039</v>
      </c>
      <c r="BE64" s="84" t="n">
        <f aca="false">BE61*Premissas!$B$22*(1+Premissas!$B$24)^(BE$6-2026)</f>
        <v>1031328.84267502</v>
      </c>
      <c r="BF64" s="84" t="n">
        <f aca="false">BF61*Premissas!$B$22*(1+Premissas!$B$24)^(BF$6-2026)</f>
        <v>1058022.05977955</v>
      </c>
      <c r="BG64" s="84" t="n">
        <f aca="false">BG61*Premissas!$B$22*(1+Premissas!$B$24)^(BG$6-2026)</f>
        <v>1083145.08764264</v>
      </c>
      <c r="BH64" s="84" t="n">
        <f aca="false">BH61*Premissas!$B$22*(1+Premissas!$B$24)^(BH$6-2026)</f>
        <v>1106745.50775645</v>
      </c>
      <c r="BI64" s="84" t="n">
        <f aca="false">BI61*Premissas!$B$22*(1+Premissas!$B$24)^(BI$6-2026)</f>
        <v>1128918.48310531</v>
      </c>
      <c r="BJ64" s="69" t="n">
        <f aca="false">SUM(B64:BI64)</f>
        <v>21445370.6007825</v>
      </c>
    </row>
    <row r="65" customFormat="false" ht="15" hidden="false" customHeight="false" outlineLevel="0" collapsed="false">
      <c r="A65" s="12" t="s">
        <v>348</v>
      </c>
      <c r="B65" s="84" t="n">
        <f aca="false">B62*Premissas!$B$23*(1+Premissas!$B$24)^(B$6-2026)</f>
        <v>0</v>
      </c>
      <c r="C65" s="84" t="n">
        <f aca="false">C62*Premissas!$B$23*(1+Premissas!$B$24)^(C$6-2026)</f>
        <v>0</v>
      </c>
      <c r="D65" s="84" t="n">
        <f aca="false">D62*Premissas!$B$23*(1+Premissas!$B$24)^(D$6-2026)</f>
        <v>0</v>
      </c>
      <c r="E65" s="84" t="n">
        <f aca="false">E62*Premissas!$B$23*(1+Premissas!$B$24)^(E$6-2026)</f>
        <v>0</v>
      </c>
      <c r="F65" s="84" t="n">
        <f aca="false">F62*Premissas!$B$23*(1+Premissas!$B$24)^(F$6-2026)</f>
        <v>0</v>
      </c>
      <c r="G65" s="84" t="n">
        <f aca="false">G62*Premissas!$B$23*(1+Premissas!$B$24)^(G$6-2026)</f>
        <v>0</v>
      </c>
      <c r="H65" s="84" t="n">
        <f aca="false">H62*Premissas!$B$23*(1+Premissas!$B$24)^(H$6-2026)</f>
        <v>0</v>
      </c>
      <c r="I65" s="84" t="n">
        <f aca="false">I62*Premissas!$B$23*(1+Premissas!$B$24)^(I$6-2026)</f>
        <v>0</v>
      </c>
      <c r="J65" s="84" t="n">
        <f aca="false">J62*Premissas!$B$23*(1+Premissas!$B$24)^(J$6-2026)</f>
        <v>0</v>
      </c>
      <c r="K65" s="84" t="n">
        <f aca="false">K62*Premissas!$B$23*(1+Premissas!$B$24)^(K$6-2026)</f>
        <v>3595.5</v>
      </c>
      <c r="L65" s="84" t="n">
        <f aca="false">L62*Premissas!$B$23*(1+Premissas!$B$24)^(L$6-2026)</f>
        <v>6871.4</v>
      </c>
      <c r="M65" s="84" t="n">
        <f aca="false">M62*Premissas!$B$23*(1+Premissas!$B$24)^(M$6-2026)</f>
        <v>9987.5</v>
      </c>
      <c r="N65" s="84" t="n">
        <f aca="false">N62*Premissas!$B$23*(1+Premissas!$B$24)^(N$6-2026)</f>
        <v>18786.4875</v>
      </c>
      <c r="O65" s="84" t="n">
        <f aca="false">O62*Premissas!$B$23*(1+Premissas!$B$24)^(O$6-2026)</f>
        <v>23462.2355</v>
      </c>
      <c r="P65" s="84" t="n">
        <f aca="false">P62*Premissas!$B$23*(1+Premissas!$B$24)^(P$6-2026)</f>
        <v>27720.506</v>
      </c>
      <c r="Q65" s="84" t="n">
        <f aca="false">Q62*Premissas!$B$23*(1+Premissas!$B$24)^(Q$6-2026)</f>
        <v>31811.7855</v>
      </c>
      <c r="R65" s="84" t="n">
        <f aca="false">R62*Premissas!$B$23*(1+Premissas!$B$24)^(R$6-2026)</f>
        <v>35402.092</v>
      </c>
      <c r="S65" s="84" t="n">
        <f aca="false">S62*Premissas!$B$23*(1+Premissas!$B$24)^(S$6-2026)</f>
        <v>38825.4075</v>
      </c>
      <c r="T65" s="84" t="n">
        <f aca="false">T62*Premissas!$B$23*(1+Premissas!$B$24)^(T$6-2026)</f>
        <v>41998.2365</v>
      </c>
      <c r="U65" s="84" t="n">
        <f aca="false">U62*Premissas!$B$23*(1+Premissas!$B$24)^(U$6-2026)</f>
        <v>44837.0835</v>
      </c>
      <c r="V65" s="84" t="n">
        <f aca="false">V62*Premissas!$B$23*(1+Premissas!$B$24)^(V$6-2026)</f>
        <v>47592.435</v>
      </c>
      <c r="W65" s="84" t="n">
        <f aca="false">W62*Premissas!$B$23*(1+Premissas!$B$24)^(W$6-2026)</f>
        <v>50013.8045</v>
      </c>
      <c r="X65" s="84" t="n">
        <f aca="false">X62*Premissas!$B$23*(1+Premissas!$B$24)^(X$6-2026)</f>
        <v>52351.6785</v>
      </c>
      <c r="Y65" s="84" t="n">
        <f aca="false">Y62*Premissas!$B$23*(1+Premissas!$B$24)^(Y$6-2026)</f>
        <v>54606.057</v>
      </c>
      <c r="Z65" s="84" t="n">
        <f aca="false">Z62*Premissas!$B$23*(1+Premissas!$B$24)^(Z$6-2026)</f>
        <v>95890.8244525</v>
      </c>
      <c r="AA65" s="84" t="n">
        <f aca="false">AA62*Premissas!$B$23*(1+Premissas!$B$24)^(AA$6-2026)</f>
        <v>108106.2161025</v>
      </c>
      <c r="AB65" s="84" t="n">
        <f aca="false">AB62*Premissas!$B$23*(1+Premissas!$B$24)^(AB$6-2026)</f>
        <v>119361.82698</v>
      </c>
      <c r="AC65" s="84" t="n">
        <f aca="false">AC62*Premissas!$B$23*(1+Premissas!$B$24)^(AC$6-2026)</f>
        <v>129832.16268</v>
      </c>
      <c r="AD65" s="84" t="n">
        <f aca="false">AD62*Premissas!$B$23*(1+Premissas!$B$24)^(AD$6-2026)</f>
        <v>139517.2232025</v>
      </c>
      <c r="AE65" s="84" t="n">
        <f aca="false">AE62*Premissas!$B$23*(1+Premissas!$B$24)^(AE$6-2026)</f>
        <v>148591.5141425</v>
      </c>
      <c r="AF65" s="84" t="n">
        <f aca="false">AF62*Premissas!$B$23*(1+Premissas!$B$24)^(AF$6-2026)</f>
        <v>157055.0355</v>
      </c>
      <c r="AG65" s="84" t="n">
        <f aca="false">AG62*Premissas!$B$23*(1+Premissas!$B$24)^(AG$6-2026)</f>
        <v>164995.0400725</v>
      </c>
      <c r="AH65" s="84" t="n">
        <f aca="false">AH62*Premissas!$B$23*(1+Premissas!$B$24)^(AH$6-2026)</f>
        <v>172324.2750625</v>
      </c>
      <c r="AI65" s="84" t="n">
        <f aca="false">AI62*Premissas!$B$23*(1+Premissas!$B$24)^(AI$6-2026)</f>
        <v>179042.74047</v>
      </c>
      <c r="AJ65" s="84" t="n">
        <f aca="false">AJ62*Premissas!$B$23*(1+Premissas!$B$24)^(AJ$6-2026)</f>
        <v>185324.94189</v>
      </c>
      <c r="AK65" s="84" t="n">
        <f aca="false">AK62*Premissas!$B$23*(1+Premissas!$B$24)^(AK$6-2026)</f>
        <v>191258.13212</v>
      </c>
      <c r="AL65" s="84" t="n">
        <f aca="false">AL62*Premissas!$B$23*(1+Premissas!$B$24)^(AL$6-2026)</f>
        <v>294508.730041625</v>
      </c>
      <c r="AM65" s="84" t="n">
        <f aca="false">AM62*Premissas!$B$23*(1+Premissas!$B$24)^(AM$6-2026)</f>
        <v>316847.627521562</v>
      </c>
      <c r="AN65" s="84" t="n">
        <f aca="false">AN62*Premissas!$B$23*(1+Premissas!$B$24)^(AN$6-2026)</f>
        <v>337727.6582273</v>
      </c>
      <c r="AO65" s="84" t="n">
        <f aca="false">AO62*Premissas!$B$23*(1+Premissas!$B$24)^(AO$6-2026)</f>
        <v>357240.001332225</v>
      </c>
      <c r="AP65" s="84" t="n">
        <f aca="false">AP62*Premissas!$B$23*(1+Premissas!$B$24)^(AP$6-2026)</f>
        <v>375475.836009725</v>
      </c>
      <c r="AQ65" s="84" t="n">
        <f aca="false">AQ62*Premissas!$B$23*(1+Premissas!$B$24)^(AQ$6-2026)</f>
        <v>392617.520606575</v>
      </c>
      <c r="AR65" s="84" t="n">
        <f aca="false">AR62*Premissas!$B$23*(1+Premissas!$B$24)^(AR$6-2026)</f>
        <v>408573.875949387</v>
      </c>
      <c r="AS65" s="84" t="n">
        <f aca="false">AS62*Premissas!$B$23*(1+Premissas!$B$24)^(AS$6-2026)</f>
        <v>423527.260384937</v>
      </c>
      <c r="AT65" s="84" t="n">
        <f aca="false">AT62*Premissas!$B$23*(1+Premissas!$B$24)^(AT$6-2026)</f>
        <v>437386.494739838</v>
      </c>
      <c r="AU65" s="84" t="n">
        <f aca="false">AU62*Premissas!$B$23*(1+Premissas!$B$24)^(AU$6-2026)</f>
        <v>450516.295707637</v>
      </c>
      <c r="AV65" s="84" t="n">
        <f aca="false">AV62*Premissas!$B$23*(1+Premissas!$B$24)^(AV$6-2026)</f>
        <v>462734.304941562</v>
      </c>
      <c r="AW65" s="84" t="n">
        <f aca="false">AW62*Premissas!$B$23*(1+Premissas!$B$24)^(AW$6-2026)</f>
        <v>474131.701615</v>
      </c>
      <c r="AX65" s="84" t="n">
        <f aca="false">AX62*Premissas!$B$23*(1+Premissas!$B$24)^(AX$6-2026)</f>
        <v>677933.110491405</v>
      </c>
      <c r="AY65" s="84" t="n">
        <f aca="false">AY62*Premissas!$B$23*(1+Premissas!$B$24)^(AY$6-2026)</f>
        <v>713282.820117872</v>
      </c>
      <c r="AZ65" s="84" t="n">
        <f aca="false">AZ62*Premissas!$B$23*(1+Premissas!$B$24)^(AZ$6-2026)</f>
        <v>746536.32054816</v>
      </c>
      <c r="BA65" s="84" t="n">
        <f aca="false">BA62*Premissas!$B$23*(1+Premissas!$B$24)^(BA$6-2026)</f>
        <v>777788.89401846</v>
      </c>
      <c r="BB65" s="84" t="n">
        <f aca="false">BB62*Premissas!$B$23*(1+Premissas!$B$24)^(BB$6-2026)</f>
        <v>807135.82276496</v>
      </c>
      <c r="BC65" s="84" t="n">
        <f aca="false">BC62*Premissas!$B$23*(1+Premissas!$B$24)^(BC$6-2026)</f>
        <v>834767.671260042</v>
      </c>
      <c r="BD65" s="84" t="n">
        <f aca="false">BD62*Premissas!$B$23*(1+Premissas!$B$24)^(BD$6-2026)</f>
        <v>860684.439503705</v>
      </c>
      <c r="BE65" s="84" t="n">
        <f aca="false">BE62*Premissas!$B$23*(1+Premissas!$B$24)^(BE$6-2026)</f>
        <v>885076.691968329</v>
      </c>
      <c r="BF65" s="84" t="n">
        <f aca="false">BF62*Premissas!$B$23*(1+Premissas!$B$24)^(BF$6-2026)</f>
        <v>908039.710890104</v>
      </c>
      <c r="BG65" s="84" t="n">
        <f aca="false">BG62*Premissas!$B$23*(1+Premissas!$B$24)^(BG$6-2026)</f>
        <v>929573.49626903</v>
      </c>
      <c r="BH65" s="84" t="n">
        <f aca="false">BH62*Premissas!$B$23*(1+Premissas!$B$24)^(BH$6-2026)</f>
        <v>949773.330341297</v>
      </c>
      <c r="BI65" s="84" t="n">
        <f aca="false">BI62*Premissas!$B$23*(1+Premissas!$B$24)^(BI$6-2026)</f>
        <v>968925.059815474</v>
      </c>
      <c r="BJ65" s="69" t="n">
        <f aca="false">SUM(B65:BI65)</f>
        <v>17069966.8167412</v>
      </c>
    </row>
    <row r="66" customFormat="false" ht="15" hidden="false" customHeight="false" outlineLevel="0" collapsed="false">
      <c r="A66" s="34" t="s">
        <v>349</v>
      </c>
      <c r="B66" s="75" t="n">
        <f aca="false">SUM(B63:B65)</f>
        <v>0</v>
      </c>
      <c r="C66" s="75" t="n">
        <f aca="false">SUM(C63:C65)</f>
        <v>0</v>
      </c>
      <c r="D66" s="75" t="n">
        <f aca="false">SUM(D63:D65)</f>
        <v>0</v>
      </c>
      <c r="E66" s="75" t="n">
        <f aca="false">SUM(E63:E65)</f>
        <v>0</v>
      </c>
      <c r="F66" s="75" t="n">
        <f aca="false">SUM(F63:F65)</f>
        <v>0</v>
      </c>
      <c r="G66" s="75" t="n">
        <f aca="false">SUM(G63:G65)</f>
        <v>0</v>
      </c>
      <c r="H66" s="75" t="n">
        <f aca="false">SUM(H63:H65)</f>
        <v>0</v>
      </c>
      <c r="I66" s="75" t="n">
        <f aca="false">SUM(I63:I65)</f>
        <v>0</v>
      </c>
      <c r="J66" s="75" t="n">
        <f aca="false">SUM(J63:J65)</f>
        <v>0</v>
      </c>
      <c r="K66" s="75" t="n">
        <f aca="false">SUM(K63:K65)</f>
        <v>24329.5</v>
      </c>
      <c r="L66" s="75" t="n">
        <f aca="false">SUM(L63:L65)</f>
        <v>46706.2</v>
      </c>
      <c r="M66" s="75" t="n">
        <f aca="false">SUM(M63:M65)</f>
        <v>67349.6</v>
      </c>
      <c r="N66" s="75" t="n">
        <f aca="false">SUM(N63:N65)</f>
        <v>109520.4935</v>
      </c>
      <c r="O66" s="75" t="n">
        <f aca="false">SUM(O63:O65)</f>
        <v>136614.313</v>
      </c>
      <c r="P66" s="75" t="n">
        <f aca="false">SUM(P63:P65)</f>
        <v>161604.652</v>
      </c>
      <c r="Q66" s="75" t="n">
        <f aca="false">SUM(Q63:Q65)</f>
        <v>184825.179</v>
      </c>
      <c r="R66" s="75" t="n">
        <f aca="false">SUM(R63:R65)</f>
        <v>206191.7715</v>
      </c>
      <c r="S66" s="75" t="n">
        <f aca="false">SUM(S63:S65)</f>
        <v>226038.4115</v>
      </c>
      <c r="T66" s="75" t="n">
        <f aca="false">SUM(T63:T65)</f>
        <v>244364.7855</v>
      </c>
      <c r="U66" s="75" t="n">
        <f aca="false">SUM(U63:U65)</f>
        <v>261253.971</v>
      </c>
      <c r="V66" s="75" t="n">
        <f aca="false">SUM(V63:V65)</f>
        <v>276977.25</v>
      </c>
      <c r="W66" s="75" t="n">
        <f aca="false">SUM(W63:W65)</f>
        <v>291450.709</v>
      </c>
      <c r="X66" s="75" t="n">
        <f aca="false">SUM(X63:X65)</f>
        <v>304883.139</v>
      </c>
      <c r="Y66" s="75" t="n">
        <f aca="false">SUM(Y63:Y65)</f>
        <v>317378.622</v>
      </c>
      <c r="Z66" s="75" t="n">
        <f aca="false">SUM(Z63:Z65)</f>
        <v>442669.587745</v>
      </c>
      <c r="AA66" s="75" t="n">
        <f aca="false">SUM(AA63:AA65)</f>
        <v>498719.0813</v>
      </c>
      <c r="AB66" s="75" t="n">
        <f aca="false">SUM(AB63:AB65)</f>
        <v>550763.24556</v>
      </c>
      <c r="AC66" s="75" t="n">
        <f aca="false">SUM(AC63:AC65)</f>
        <v>599194.1175</v>
      </c>
      <c r="AD66" s="75" t="n">
        <f aca="false">SUM(AD63:AD65)</f>
        <v>644185.765905</v>
      </c>
      <c r="AE66" s="75" t="n">
        <f aca="false">SUM(AE63:AE65)</f>
        <v>686064.924655</v>
      </c>
      <c r="AF66" s="75" t="n">
        <f aca="false">SUM(AF63:AF65)</f>
        <v>725027.3938325</v>
      </c>
      <c r="AG66" s="75" t="n">
        <f aca="false">SUM(AG63:AG65)</f>
        <v>761290.9232225</v>
      </c>
      <c r="AH66" s="75" t="n">
        <f aca="false">SUM(AH63:AH65)</f>
        <v>795007.6319075</v>
      </c>
      <c r="AI66" s="75" t="n">
        <f aca="false">SUM(AI63:AI65)</f>
        <v>826308.016875</v>
      </c>
      <c r="AJ66" s="75" t="n">
        <f aca="false">SUM(AJ63:AJ65)</f>
        <v>855410.046315</v>
      </c>
      <c r="AK66" s="75" t="n">
        <f aca="false">SUM(AK63:AK65)</f>
        <v>882575.04181</v>
      </c>
      <c r="AL66" s="75" t="n">
        <f aca="false">SUM(AL63:AL65)</f>
        <v>1146312.89834036</v>
      </c>
      <c r="AM66" s="75" t="n">
        <f aca="false">SUM(AM63:AM65)</f>
        <v>1233286.76044062</v>
      </c>
      <c r="AN66" s="75" t="n">
        <f aca="false">SUM(AN63:AN65)</f>
        <v>1314595.87389639</v>
      </c>
      <c r="AO66" s="75" t="n">
        <f aca="false">SUM(AO63:AO65)</f>
        <v>1390626.8657908</v>
      </c>
      <c r="AP66" s="75" t="n">
        <f aca="false">SUM(AP63:AP65)</f>
        <v>1461698.34970596</v>
      </c>
      <c r="AQ66" s="75" t="n">
        <f aca="false">SUM(AQ63:AQ65)</f>
        <v>1528174.47175236</v>
      </c>
      <c r="AR66" s="75" t="n">
        <f aca="false">SUM(AR63:AR65)</f>
        <v>1590350.67983976</v>
      </c>
      <c r="AS66" s="75" t="n">
        <f aca="false">SUM(AS63:AS65)</f>
        <v>1648454.6366101</v>
      </c>
      <c r="AT66" s="75" t="n">
        <f aca="false">SUM(AT63:AT65)</f>
        <v>1702736.37156136</v>
      </c>
      <c r="AU66" s="75" t="n">
        <f aca="false">SUM(AU63:AU65)</f>
        <v>1753583.19647637</v>
      </c>
      <c r="AV66" s="75" t="n">
        <f aca="false">SUM(AV63:AV65)</f>
        <v>1801108.31503474</v>
      </c>
      <c r="AW66" s="75" t="n">
        <f aca="false">SUM(AW63:AW65)</f>
        <v>1845493.85735</v>
      </c>
      <c r="AX66" s="75" t="n">
        <f aca="false">SUM(AX63:AX65)</f>
        <v>2312044.33022434</v>
      </c>
      <c r="AY66" s="75" t="n">
        <f aca="false">SUM(AY63:AY65)</f>
        <v>2432620.83994842</v>
      </c>
      <c r="AZ66" s="75" t="n">
        <f aca="false">SUM(AZ63:AZ65)</f>
        <v>2546016.47966697</v>
      </c>
      <c r="BA66" s="75" t="n">
        <f aca="false">SUM(BA63:BA65)</f>
        <v>2652564.20057329</v>
      </c>
      <c r="BB66" s="75" t="n">
        <f aca="false">SUM(BB63:BB65)</f>
        <v>2752715.60946144</v>
      </c>
      <c r="BC66" s="75" t="n">
        <f aca="false">SUM(BC63:BC65)</f>
        <v>2846875.20864075</v>
      </c>
      <c r="BD66" s="75" t="n">
        <f aca="false">SUM(BD63:BD65)</f>
        <v>2935375.59154893</v>
      </c>
      <c r="BE66" s="75" t="n">
        <f aca="false">SUM(BE63:BE65)</f>
        <v>3018597.41012331</v>
      </c>
      <c r="BF66" s="75" t="n">
        <f aca="false">SUM(BF63:BF65)</f>
        <v>3096802.183693</v>
      </c>
      <c r="BG66" s="75" t="n">
        <f aca="false">SUM(BG63:BG65)</f>
        <v>3170298.89382742</v>
      </c>
      <c r="BH66" s="75" t="n">
        <f aca="false">SUM(BH63:BH65)</f>
        <v>3239349.05985568</v>
      </c>
      <c r="BI66" s="75" t="n">
        <f aca="false">SUM(BI63:BI65)</f>
        <v>3304381.15371101</v>
      </c>
      <c r="BJ66" s="69" t="n">
        <f aca="false">SUM(B66:BI66)</f>
        <v>63850767.6117009</v>
      </c>
    </row>
    <row r="67" customFormat="false" ht="15" hidden="false" customHeight="false" outlineLevel="0" collapsed="false">
      <c r="A67" s="12" t="s">
        <v>350</v>
      </c>
      <c r="B67" s="84" t="n">
        <f aca="false">B57*INDEX(Premissas!$C$59:$G$59,B$7)*Premissas!$B$58*Premissas!$B$57</f>
        <v>0</v>
      </c>
      <c r="C67" s="84" t="n">
        <f aca="false">C57*INDEX(Premissas!$C$59:$G$59,C$7)*Premissas!$B$58*Premissas!$B$57</f>
        <v>0</v>
      </c>
      <c r="D67" s="84" t="n">
        <f aca="false">D57*INDEX(Premissas!$C$59:$G$59,D$7)*Premissas!$B$58*Premissas!$B$57</f>
        <v>0</v>
      </c>
      <c r="E67" s="84" t="n">
        <f aca="false">E57*INDEX(Premissas!$C$59:$G$59,E$7)*Premissas!$B$58*Premissas!$B$57</f>
        <v>0</v>
      </c>
      <c r="F67" s="84" t="n">
        <f aca="false">F57*INDEX(Premissas!$C$59:$G$59,F$7)*Premissas!$B$58*Premissas!$B$57</f>
        <v>0</v>
      </c>
      <c r="G67" s="84" t="n">
        <f aca="false">G57*INDEX(Premissas!$C$59:$G$59,G$7)*Premissas!$B$58*Premissas!$B$57</f>
        <v>0</v>
      </c>
      <c r="H67" s="84" t="n">
        <f aca="false">H57*INDEX(Premissas!$C$59:$G$59,H$7)*Premissas!$B$58*Premissas!$B$57</f>
        <v>0</v>
      </c>
      <c r="I67" s="84" t="n">
        <f aca="false">I57*INDEX(Premissas!$C$59:$G$59,I$7)*Premissas!$B$58*Premissas!$B$57</f>
        <v>0</v>
      </c>
      <c r="J67" s="84" t="n">
        <f aca="false">J57*INDEX(Premissas!$C$59:$G$59,J$7)*Premissas!$B$58*Premissas!$B$57</f>
        <v>0</v>
      </c>
      <c r="K67" s="84" t="n">
        <f aca="false">K57*INDEX(Premissas!$C$59:$G$59,K$7)*Premissas!$B$58*Premissas!$B$57</f>
        <v>0</v>
      </c>
      <c r="L67" s="84" t="n">
        <f aca="false">L57*INDEX(Premissas!$C$59:$G$59,L$7)*Premissas!$B$58*Premissas!$B$57</f>
        <v>0</v>
      </c>
      <c r="M67" s="84" t="n">
        <f aca="false">M57*INDEX(Premissas!$C$59:$G$59,M$7)*Premissas!$B$58*Premissas!$B$57</f>
        <v>0</v>
      </c>
      <c r="N67" s="84" t="n">
        <f aca="false">N57*INDEX(Premissas!$C$59:$G$59,N$7)*Premissas!$B$58*Premissas!$B$57</f>
        <v>3586.61373</v>
      </c>
      <c r="O67" s="84" t="n">
        <f aca="false">O57*INDEX(Premissas!$C$59:$G$59,O$7)*Premissas!$B$58*Premissas!$B$57</f>
        <v>4472.61770025</v>
      </c>
      <c r="P67" s="84" t="n">
        <f aca="false">P57*INDEX(Premissas!$C$59:$G$59,P$7)*Premissas!$B$58*Premissas!$B$57</f>
        <v>5292.17137273125</v>
      </c>
      <c r="Q67" s="84" t="n">
        <f aca="false">Q57*INDEX(Premissas!$C$59:$G$59,Q$7)*Premissas!$B$58*Premissas!$B$57</f>
        <v>6050.25851977641</v>
      </c>
      <c r="R67" s="84" t="n">
        <f aca="false">R57*INDEX(Premissas!$C$59:$G$59,R$7)*Premissas!$B$58*Premissas!$B$57</f>
        <v>6751.48913079318</v>
      </c>
      <c r="S67" s="84" t="n">
        <f aca="false">S57*INDEX(Premissas!$C$59:$G$59,S$7)*Premissas!$B$58*Premissas!$B$57</f>
        <v>7400.12744598369</v>
      </c>
      <c r="T67" s="84" t="n">
        <f aca="false">T57*INDEX(Premissas!$C$59:$G$59,T$7)*Premissas!$B$58*Premissas!$B$57</f>
        <v>8000.11788753491</v>
      </c>
      <c r="U67" s="84" t="n">
        <f aca="false">U57*INDEX(Premissas!$C$59:$G$59,U$7)*Premissas!$B$58*Premissas!$B$57</f>
        <v>8555.1090459698</v>
      </c>
      <c r="V67" s="84" t="n">
        <f aca="false">V57*INDEX(Premissas!$C$59:$G$59,V$7)*Premissas!$B$58*Premissas!$B$57</f>
        <v>9068.47586752206</v>
      </c>
      <c r="W67" s="84" t="n">
        <f aca="false">W57*INDEX(Premissas!$C$59:$G$59,W$7)*Premissas!$B$58*Premissas!$B$57</f>
        <v>9543.34017745791</v>
      </c>
      <c r="X67" s="84" t="n">
        <f aca="false">X57*INDEX(Premissas!$C$59:$G$59,X$7)*Premissas!$B$58*Premissas!$B$57</f>
        <v>9982.58966414856</v>
      </c>
      <c r="Y67" s="84" t="n">
        <f aca="false">Y57*INDEX(Premissas!$C$59:$G$59,Y$7)*Premissas!$B$58*Premissas!$B$57</f>
        <v>10388.8954393374</v>
      </c>
      <c r="Z67" s="84" t="n">
        <f aca="false">Z57*INDEX(Premissas!$C$59:$G$59,Z$7)*Premissas!$B$58*Premissas!$B$57</f>
        <v>20040.287930973</v>
      </c>
      <c r="AA67" s="84" t="n">
        <f aca="false">AA57*INDEX(Premissas!$C$59:$G$59,AA$7)*Premissas!$B$58*Premissas!$B$57</f>
        <v>22574.9677758049</v>
      </c>
      <c r="AB67" s="84" t="n">
        <f aca="false">AB57*INDEX(Premissas!$C$59:$G$59,AB$7)*Premissas!$B$58*Premissas!$B$57</f>
        <v>24932.2200314985</v>
      </c>
      <c r="AC67" s="84" t="n">
        <f aca="false">AC57*INDEX(Premissas!$C$59:$G$59,AC$7)*Premissas!$B$58*Premissas!$B$57</f>
        <v>27124.4646292937</v>
      </c>
      <c r="AD67" s="84" t="n">
        <f aca="false">AD57*INDEX(Premissas!$C$59:$G$59,AD$7)*Premissas!$B$58*Premissas!$B$57</f>
        <v>29163.2521052431</v>
      </c>
      <c r="AE67" s="84" t="n">
        <f aca="false">AE57*INDEX(Premissas!$C$59:$G$59,AE$7)*Premissas!$B$58*Premissas!$B$57</f>
        <v>31059.3244578761</v>
      </c>
      <c r="AF67" s="84" t="n">
        <f aca="false">AF57*INDEX(Premissas!$C$59:$G$59,AF$7)*Premissas!$B$58*Premissas!$B$57</f>
        <v>32822.6717458248</v>
      </c>
      <c r="AG67" s="84" t="n">
        <f aca="false">AG57*INDEX(Premissas!$C$59:$G$59,AG$7)*Premissas!$B$58*Premissas!$B$57</f>
        <v>34462.584723617</v>
      </c>
      <c r="AH67" s="84" t="n">
        <f aca="false">AH57*INDEX(Premissas!$C$59:$G$59,AH$7)*Premissas!$B$58*Premissas!$B$57</f>
        <v>35987.7037929638</v>
      </c>
      <c r="AI67" s="84" t="n">
        <f aca="false">AI57*INDEX(Premissas!$C$59:$G$59,AI$7)*Premissas!$B$58*Premissas!$B$57</f>
        <v>37406.0645274564</v>
      </c>
      <c r="AJ67" s="84" t="n">
        <f aca="false">AJ57*INDEX(Premissas!$C$59:$G$59,AJ$7)*Premissas!$B$58*Premissas!$B$57</f>
        <v>38725.1400105344</v>
      </c>
      <c r="AK67" s="84" t="n">
        <f aca="false">AK57*INDEX(Premissas!$C$59:$G$59,AK$7)*Premissas!$B$58*Premissas!$B$57</f>
        <v>39951.880209797</v>
      </c>
      <c r="AL67" s="84" t="n">
        <f aca="false">AL57*INDEX(Premissas!$C$59:$G$59,AL$7)*Premissas!$B$58*Premissas!$B$57</f>
        <v>69568.0127938563</v>
      </c>
      <c r="AM67" s="84" t="n">
        <f aca="false">AM57*INDEX(Premissas!$C$59:$G$59,AM$7)*Premissas!$B$58*Premissas!$B$57</f>
        <v>74846.0919622557</v>
      </c>
      <c r="AN67" s="84" t="n">
        <f aca="false">AN57*INDEX(Premissas!$C$59:$G$59,AN$7)*Premissas!$B$58*Premissas!$B$57</f>
        <v>79781.0959847091</v>
      </c>
      <c r="AO67" s="84" t="n">
        <f aca="false">AO57*INDEX(Premissas!$C$59:$G$59,AO$7)*Premissas!$B$58*Premissas!$B$57</f>
        <v>84395.324745703</v>
      </c>
      <c r="AP67" s="84" t="n">
        <f aca="false">AP57*INDEX(Premissas!$C$59:$G$59,AP$7)*Premissas!$B$58*Premissas!$B$57</f>
        <v>88709.6286372323</v>
      </c>
      <c r="AQ67" s="84" t="n">
        <f aca="false">AQ57*INDEX(Premissas!$C$59:$G$59,AQ$7)*Premissas!$B$58*Premissas!$B$57</f>
        <v>92743.5027758122</v>
      </c>
      <c r="AR67" s="84" t="n">
        <f aca="false">AR57*INDEX(Premissas!$C$59:$G$59,AR$7)*Premissas!$B$58*Premissas!$B$57</f>
        <v>96515.1750953844</v>
      </c>
      <c r="AS67" s="84" t="n">
        <f aca="false">AS57*INDEX(Premissas!$C$59:$G$59,AS$7)*Premissas!$B$58*Premissas!$B$57</f>
        <v>100041.688714184</v>
      </c>
      <c r="AT67" s="84" t="n">
        <f aca="false">AT57*INDEX(Premissas!$C$59:$G$59,AT$7)*Premissas!$B$58*Premissas!$B$57</f>
        <v>103338.978947762</v>
      </c>
      <c r="AU67" s="84" t="n">
        <f aca="false">AU57*INDEX(Premissas!$C$59:$G$59,AU$7)*Premissas!$B$58*Premissas!$B$57</f>
        <v>106421.945316158</v>
      </c>
      <c r="AV67" s="84" t="n">
        <f aca="false">AV57*INDEX(Premissas!$C$59:$G$59,AV$7)*Premissas!$B$58*Premissas!$B$57</f>
        <v>109304.518870608</v>
      </c>
      <c r="AW67" s="84" t="n">
        <f aca="false">AW57*INDEX(Premissas!$C$59:$G$59,AW$7)*Premissas!$B$58*Premissas!$B$57</f>
        <v>111999.725144018</v>
      </c>
      <c r="AX67" s="84" t="n">
        <f aca="false">AX57*INDEX(Premissas!$C$59:$G$59,AX$7)*Premissas!$B$58*Premissas!$B$57</f>
        <v>148224.677044221</v>
      </c>
      <c r="AY67" s="84" t="n">
        <f aca="false">AY57*INDEX(Premissas!$C$59:$G$59,AY$7)*Premissas!$B$58*Premissas!$B$57</f>
        <v>155956.196421568</v>
      </c>
      <c r="AZ67" s="84" t="n">
        <f aca="false">AZ57*INDEX(Premissas!$C$59:$G$59,AZ$7)*Premissas!$B$58*Premissas!$B$57</f>
        <v>163223.824636274</v>
      </c>
      <c r="BA67" s="84" t="n">
        <f aca="false">BA57*INDEX(Premissas!$C$59:$G$59,BA$7)*Premissas!$B$58*Premissas!$B$57</f>
        <v>170055.395158098</v>
      </c>
      <c r="BB67" s="84" t="n">
        <f aca="false">BB57*INDEX(Premissas!$C$59:$G$59,BB$7)*Premissas!$B$58*Premissas!$B$57</f>
        <v>176477.071448612</v>
      </c>
      <c r="BC67" s="84" t="n">
        <f aca="false">BC57*INDEX(Premissas!$C$59:$G$59,BC$7)*Premissas!$B$58*Premissas!$B$57</f>
        <v>182513.447161695</v>
      </c>
      <c r="BD67" s="84" t="n">
        <f aca="false">BD57*INDEX(Premissas!$C$59:$G$59,BD$7)*Premissas!$B$58*Premissas!$B$57</f>
        <v>188187.640331993</v>
      </c>
      <c r="BE67" s="84" t="n">
        <f aca="false">BE57*INDEX(Premissas!$C$59:$G$59,BE$7)*Premissas!$B$58*Premissas!$B$57</f>
        <v>193521.381912074</v>
      </c>
      <c r="BF67" s="84" t="n">
        <f aca="false">BF57*INDEX(Premissas!$C$59:$G$59,BF$7)*Premissas!$B$58*Premissas!$B$57</f>
        <v>198535.098997349</v>
      </c>
      <c r="BG67" s="84" t="n">
        <f aca="false">BG57*INDEX(Premissas!$C$59:$G$59,BG$7)*Premissas!$B$58*Premissas!$B$57</f>
        <v>203247.993057508</v>
      </c>
      <c r="BH67" s="84" t="n">
        <f aca="false">BH57*INDEX(Premissas!$C$59:$G$59,BH$7)*Premissas!$B$58*Premissas!$B$57</f>
        <v>207678.113474058</v>
      </c>
      <c r="BI67" s="84" t="n">
        <f aca="false">BI57*INDEX(Premissas!$C$59:$G$59,BI$7)*Premissas!$B$58*Premissas!$B$57</f>
        <v>211842.426665614</v>
      </c>
      <c r="BJ67" s="69" t="n">
        <f aca="false">SUM(B67:BI67)</f>
        <v>3780471.32321914</v>
      </c>
    </row>
    <row r="68" customFormat="false" ht="15" hidden="false" customHeight="false" outlineLevel="0" collapsed="false">
      <c r="A68" s="12" t="s">
        <v>351</v>
      </c>
      <c r="B68" s="84" t="n">
        <f aca="false">IF(AND(Premissas!$B$80=1,B$4&gt;=Premissas!$B$82),Premissas!$B$83,0)</f>
        <v>0</v>
      </c>
      <c r="C68" s="84" t="n">
        <f aca="false">IF(AND(Premissas!$B$80=1,C$4&gt;=Premissas!$B$82),Premissas!$B$83,0)</f>
        <v>0</v>
      </c>
      <c r="D68" s="84" t="n">
        <f aca="false">IF(AND(Premissas!$B$80=1,D$4&gt;=Premissas!$B$82),Premissas!$B$83,0)</f>
        <v>0</v>
      </c>
      <c r="E68" s="84" t="n">
        <f aca="false">IF(AND(Premissas!$B$80=1,E$4&gt;=Premissas!$B$82),Premissas!$B$83,0)</f>
        <v>0</v>
      </c>
      <c r="F68" s="84" t="n">
        <f aca="false">IF(AND(Premissas!$B$80=1,F$4&gt;=Premissas!$B$82),Premissas!$B$83,0)</f>
        <v>0</v>
      </c>
      <c r="G68" s="84" t="n">
        <f aca="false">IF(AND(Premissas!$B$80=1,G$4&gt;=Premissas!$B$82),Premissas!$B$83,0)</f>
        <v>0</v>
      </c>
      <c r="H68" s="84" t="n">
        <f aca="false">IF(AND(Premissas!$B$80=1,H$4&gt;=Premissas!$B$82),Premissas!$B$83,0)</f>
        <v>0</v>
      </c>
      <c r="I68" s="84" t="n">
        <f aca="false">IF(AND(Premissas!$B$80=1,I$4&gt;=Premissas!$B$82),Premissas!$B$83,0)</f>
        <v>0</v>
      </c>
      <c r="J68" s="84" t="n">
        <f aca="false">IF(AND(Premissas!$B$80=1,J$4&gt;=Premissas!$B$82),Premissas!$B$83,0)</f>
        <v>0</v>
      </c>
      <c r="K68" s="84" t="n">
        <f aca="false">IF(AND(Premissas!$B$80=1,K$4&gt;=Premissas!$B$82),Premissas!$B$83,0)</f>
        <v>0</v>
      </c>
      <c r="L68" s="84" t="n">
        <f aca="false">IF(AND(Premissas!$B$80=1,L$4&gt;=Premissas!$B$82),Premissas!$B$83,0)</f>
        <v>0</v>
      </c>
      <c r="M68" s="84" t="n">
        <f aca="false">IF(AND(Premissas!$B$80=1,M$4&gt;=Premissas!$B$82),Premissas!$B$83,0)</f>
        <v>0</v>
      </c>
      <c r="N68" s="84" t="n">
        <f aca="false">IF(AND(Premissas!$B$80=1,N$4&gt;=Premissas!$B$82),Premissas!$B$83,0)</f>
        <v>0</v>
      </c>
      <c r="O68" s="84" t="n">
        <f aca="false">IF(AND(Premissas!$B$80=1,O$4&gt;=Premissas!$B$82),Premissas!$B$83,0)</f>
        <v>0</v>
      </c>
      <c r="P68" s="84" t="n">
        <f aca="false">IF(AND(Premissas!$B$80=1,P$4&gt;=Premissas!$B$82),Premissas!$B$83,0)</f>
        <v>0</v>
      </c>
      <c r="Q68" s="84" t="n">
        <f aca="false">IF(AND(Premissas!$B$80=1,Q$4&gt;=Premissas!$B$82),Premissas!$B$83,0)</f>
        <v>0</v>
      </c>
      <c r="R68" s="84" t="n">
        <f aca="false">IF(AND(Premissas!$B$80=1,R$4&gt;=Premissas!$B$82),Premissas!$B$83,0)</f>
        <v>0</v>
      </c>
      <c r="S68" s="84" t="n">
        <f aca="false">IF(AND(Premissas!$B$80=1,S$4&gt;=Premissas!$B$82),Premissas!$B$83,0)</f>
        <v>0</v>
      </c>
      <c r="T68" s="84" t="n">
        <f aca="false">IF(AND(Premissas!$B$80=1,T$4&gt;=Premissas!$B$82),Premissas!$B$83,0)</f>
        <v>0</v>
      </c>
      <c r="U68" s="84" t="n">
        <f aca="false">IF(AND(Premissas!$B$80=1,U$4&gt;=Premissas!$B$82),Premissas!$B$83,0)</f>
        <v>0</v>
      </c>
      <c r="V68" s="84" t="n">
        <f aca="false">IF(AND(Premissas!$B$80=1,V$4&gt;=Premissas!$B$82),Premissas!$B$83,0)</f>
        <v>0</v>
      </c>
      <c r="W68" s="84" t="n">
        <f aca="false">IF(AND(Premissas!$B$80=1,W$4&gt;=Premissas!$B$82),Premissas!$B$83,0)</f>
        <v>0</v>
      </c>
      <c r="X68" s="84" t="n">
        <f aca="false">IF(AND(Premissas!$B$80=1,X$4&gt;=Premissas!$B$82),Premissas!$B$83,0)</f>
        <v>0</v>
      </c>
      <c r="Y68" s="84" t="n">
        <f aca="false">IF(AND(Premissas!$B$80=1,Y$4&gt;=Premissas!$B$82),Premissas!$B$83,0)</f>
        <v>0</v>
      </c>
      <c r="Z68" s="84" t="n">
        <f aca="false">IF(AND(Premissas!$B$80=1,Z$4&gt;=Premissas!$B$82),Premissas!$B$83,0)</f>
        <v>0</v>
      </c>
      <c r="AA68" s="84" t="n">
        <f aca="false">IF(AND(Premissas!$B$80=1,AA$4&gt;=Premissas!$B$82),Premissas!$B$83,0)</f>
        <v>0</v>
      </c>
      <c r="AB68" s="84" t="n">
        <f aca="false">IF(AND(Premissas!$B$80=1,AB$4&gt;=Premissas!$B$82),Premissas!$B$83,0)</f>
        <v>0</v>
      </c>
      <c r="AC68" s="84" t="n">
        <f aca="false">IF(AND(Premissas!$B$80=1,AC$4&gt;=Premissas!$B$82),Premissas!$B$83,0)</f>
        <v>0</v>
      </c>
      <c r="AD68" s="84" t="n">
        <f aca="false">IF(AND(Premissas!$B$80=1,AD$4&gt;=Premissas!$B$82),Premissas!$B$83,0)</f>
        <v>0</v>
      </c>
      <c r="AE68" s="84" t="n">
        <f aca="false">IF(AND(Premissas!$B$80=1,AE$4&gt;=Premissas!$B$82),Premissas!$B$83,0)</f>
        <v>0</v>
      </c>
      <c r="AF68" s="84" t="n">
        <f aca="false">IF(AND(Premissas!$B$80=1,AF$4&gt;=Premissas!$B$82),Premissas!$B$83,0)</f>
        <v>0</v>
      </c>
      <c r="AG68" s="84" t="n">
        <f aca="false">IF(AND(Premissas!$B$80=1,AG$4&gt;=Premissas!$B$82),Premissas!$B$83,0)</f>
        <v>0</v>
      </c>
      <c r="AH68" s="84" t="n">
        <f aca="false">IF(AND(Premissas!$B$80=1,AH$4&gt;=Premissas!$B$82),Premissas!$B$83,0)</f>
        <v>0</v>
      </c>
      <c r="AI68" s="84" t="n">
        <f aca="false">IF(AND(Premissas!$B$80=1,AI$4&gt;=Premissas!$B$82),Premissas!$B$83,0)</f>
        <v>0</v>
      </c>
      <c r="AJ68" s="84" t="n">
        <f aca="false">IF(AND(Premissas!$B$80=1,AJ$4&gt;=Premissas!$B$82),Premissas!$B$83,0)</f>
        <v>0</v>
      </c>
      <c r="AK68" s="84" t="n">
        <f aca="false">IF(AND(Premissas!$B$80=1,AK$4&gt;=Premissas!$B$82),Premissas!$B$83,0)</f>
        <v>0</v>
      </c>
      <c r="AL68" s="84" t="n">
        <f aca="false">IF(AND(Premissas!$B$80=1,AL$4&gt;=Premissas!$B$82),Premissas!$B$83,0)</f>
        <v>0</v>
      </c>
      <c r="AM68" s="84" t="n">
        <f aca="false">IF(AND(Premissas!$B$80=1,AM$4&gt;=Premissas!$B$82),Premissas!$B$83,0)</f>
        <v>0</v>
      </c>
      <c r="AN68" s="84" t="n">
        <f aca="false">IF(AND(Premissas!$B$80=1,AN$4&gt;=Premissas!$B$82),Premissas!$B$83,0)</f>
        <v>0</v>
      </c>
      <c r="AO68" s="84" t="n">
        <f aca="false">IF(AND(Premissas!$B$80=1,AO$4&gt;=Premissas!$B$82),Premissas!$B$83,0)</f>
        <v>0</v>
      </c>
      <c r="AP68" s="84" t="n">
        <f aca="false">IF(AND(Premissas!$B$80=1,AP$4&gt;=Premissas!$B$82),Premissas!$B$83,0)</f>
        <v>0</v>
      </c>
      <c r="AQ68" s="84" t="n">
        <f aca="false">IF(AND(Premissas!$B$80=1,AQ$4&gt;=Premissas!$B$82),Premissas!$B$83,0)</f>
        <v>0</v>
      </c>
      <c r="AR68" s="84" t="n">
        <f aca="false">IF(AND(Premissas!$B$80=1,AR$4&gt;=Premissas!$B$82),Premissas!$B$83,0)</f>
        <v>0</v>
      </c>
      <c r="AS68" s="84" t="n">
        <f aca="false">IF(AND(Premissas!$B$80=1,AS$4&gt;=Premissas!$B$82),Premissas!$B$83,0)</f>
        <v>0</v>
      </c>
      <c r="AT68" s="84" t="n">
        <f aca="false">IF(AND(Premissas!$B$80=1,AT$4&gt;=Premissas!$B$82),Premissas!$B$83,0)</f>
        <v>0</v>
      </c>
      <c r="AU68" s="84" t="n">
        <f aca="false">IF(AND(Premissas!$B$80=1,AU$4&gt;=Premissas!$B$82),Premissas!$B$83,0)</f>
        <v>0</v>
      </c>
      <c r="AV68" s="84" t="n">
        <f aca="false">IF(AND(Premissas!$B$80=1,AV$4&gt;=Premissas!$B$82),Premissas!$B$83,0)</f>
        <v>0</v>
      </c>
      <c r="AW68" s="84" t="n">
        <f aca="false">IF(AND(Premissas!$B$80=1,AW$4&gt;=Premissas!$B$82),Premissas!$B$83,0)</f>
        <v>0</v>
      </c>
      <c r="AX68" s="84" t="n">
        <f aca="false">IF(AND(Premissas!$B$80=1,AX$4&gt;=Premissas!$B$82),Premissas!$B$83,0)</f>
        <v>0</v>
      </c>
      <c r="AY68" s="84" t="n">
        <f aca="false">IF(AND(Premissas!$B$80=1,AY$4&gt;=Premissas!$B$82),Premissas!$B$83,0)</f>
        <v>0</v>
      </c>
      <c r="AZ68" s="84" t="n">
        <f aca="false">IF(AND(Premissas!$B$80=1,AZ$4&gt;=Premissas!$B$82),Premissas!$B$83,0)</f>
        <v>0</v>
      </c>
      <c r="BA68" s="84" t="n">
        <f aca="false">IF(AND(Premissas!$B$80=1,BA$4&gt;=Premissas!$B$82),Premissas!$B$83,0)</f>
        <v>0</v>
      </c>
      <c r="BB68" s="84" t="n">
        <f aca="false">IF(AND(Premissas!$B$80=1,BB$4&gt;=Premissas!$B$82),Premissas!$B$83,0)</f>
        <v>0</v>
      </c>
      <c r="BC68" s="84" t="n">
        <f aca="false">IF(AND(Premissas!$B$80=1,BC$4&gt;=Premissas!$B$82),Premissas!$B$83,0)</f>
        <v>0</v>
      </c>
      <c r="BD68" s="84" t="n">
        <f aca="false">IF(AND(Premissas!$B$80=1,BD$4&gt;=Premissas!$B$82),Premissas!$B$83,0)</f>
        <v>0</v>
      </c>
      <c r="BE68" s="84" t="n">
        <f aca="false">IF(AND(Premissas!$B$80=1,BE$4&gt;=Premissas!$B$82),Premissas!$B$83,0)</f>
        <v>0</v>
      </c>
      <c r="BF68" s="84" t="n">
        <f aca="false">IF(AND(Premissas!$B$80=1,BF$4&gt;=Premissas!$B$82),Premissas!$B$83,0)</f>
        <v>0</v>
      </c>
      <c r="BG68" s="84" t="n">
        <f aca="false">IF(AND(Premissas!$B$80=1,BG$4&gt;=Premissas!$B$82),Premissas!$B$83,0)</f>
        <v>0</v>
      </c>
      <c r="BH68" s="84" t="n">
        <f aca="false">IF(AND(Premissas!$B$80=1,BH$4&gt;=Premissas!$B$82),Premissas!$B$83,0)</f>
        <v>0</v>
      </c>
      <c r="BI68" s="84" t="n">
        <f aca="false">IF(AND(Premissas!$B$80=1,BI$4&gt;=Premissas!$B$82),Premissas!$B$83,0)</f>
        <v>0</v>
      </c>
      <c r="BJ68" s="69" t="n">
        <f aca="false">SUM(B68:BI68)</f>
        <v>0</v>
      </c>
    </row>
    <row r="69" customFormat="false" ht="15" hidden="false" customHeight="false" outlineLevel="0" collapsed="false">
      <c r="A69" s="34" t="s">
        <v>298</v>
      </c>
      <c r="B69" s="69" t="n">
        <f aca="false">SUM(B66:B68)</f>
        <v>0</v>
      </c>
      <c r="C69" s="69" t="n">
        <f aca="false">SUM(C66:C68)</f>
        <v>0</v>
      </c>
      <c r="D69" s="69" t="n">
        <f aca="false">SUM(D66:D68)</f>
        <v>0</v>
      </c>
      <c r="E69" s="69" t="n">
        <f aca="false">SUM(E66:E68)</f>
        <v>0</v>
      </c>
      <c r="F69" s="69" t="n">
        <f aca="false">SUM(F66:F68)</f>
        <v>0</v>
      </c>
      <c r="G69" s="69" t="n">
        <f aca="false">SUM(G66:G68)</f>
        <v>0</v>
      </c>
      <c r="H69" s="69" t="n">
        <f aca="false">SUM(H66:H68)</f>
        <v>0</v>
      </c>
      <c r="I69" s="69" t="n">
        <f aca="false">SUM(I66:I68)</f>
        <v>0</v>
      </c>
      <c r="J69" s="69" t="n">
        <f aca="false">SUM(J66:J68)</f>
        <v>0</v>
      </c>
      <c r="K69" s="69" t="n">
        <f aca="false">SUM(K66:K68)</f>
        <v>24329.5</v>
      </c>
      <c r="L69" s="69" t="n">
        <f aca="false">SUM(L66:L68)</f>
        <v>46706.2</v>
      </c>
      <c r="M69" s="69" t="n">
        <f aca="false">SUM(M66:M68)</f>
        <v>67349.6</v>
      </c>
      <c r="N69" s="69" t="n">
        <f aca="false">SUM(N66:N68)</f>
        <v>113107.10723</v>
      </c>
      <c r="O69" s="69" t="n">
        <f aca="false">SUM(O66:O68)</f>
        <v>141086.93070025</v>
      </c>
      <c r="P69" s="69" t="n">
        <f aca="false">SUM(P66:P68)</f>
        <v>166896.823372731</v>
      </c>
      <c r="Q69" s="69" t="n">
        <f aca="false">SUM(Q66:Q68)</f>
        <v>190875.437519776</v>
      </c>
      <c r="R69" s="69" t="n">
        <f aca="false">SUM(R66:R68)</f>
        <v>212943.260630793</v>
      </c>
      <c r="S69" s="69" t="n">
        <f aca="false">SUM(S66:S68)</f>
        <v>233438.538945984</v>
      </c>
      <c r="T69" s="69" t="n">
        <f aca="false">SUM(T66:T68)</f>
        <v>252364.903387535</v>
      </c>
      <c r="U69" s="69" t="n">
        <f aca="false">SUM(U66:U68)</f>
        <v>269809.08004597</v>
      </c>
      <c r="V69" s="69" t="n">
        <f aca="false">SUM(V66:V68)</f>
        <v>286045.725867522</v>
      </c>
      <c r="W69" s="69" t="n">
        <f aca="false">SUM(W66:W68)</f>
        <v>300994.049177458</v>
      </c>
      <c r="X69" s="69" t="n">
        <f aca="false">SUM(X66:X68)</f>
        <v>314865.728664149</v>
      </c>
      <c r="Y69" s="69" t="n">
        <f aca="false">SUM(Y66:Y68)</f>
        <v>327767.517439337</v>
      </c>
      <c r="Z69" s="69" t="n">
        <f aca="false">SUM(Z66:Z68)</f>
        <v>462709.875675973</v>
      </c>
      <c r="AA69" s="69" t="n">
        <f aca="false">SUM(AA66:AA68)</f>
        <v>521294.049075805</v>
      </c>
      <c r="AB69" s="69" t="n">
        <f aca="false">SUM(AB66:AB68)</f>
        <v>575695.465591498</v>
      </c>
      <c r="AC69" s="69" t="n">
        <f aca="false">SUM(AC66:AC68)</f>
        <v>626318.582129294</v>
      </c>
      <c r="AD69" s="69" t="n">
        <f aca="false">SUM(AD66:AD68)</f>
        <v>673349.018010243</v>
      </c>
      <c r="AE69" s="69" t="n">
        <f aca="false">SUM(AE66:AE68)</f>
        <v>717124.249112876</v>
      </c>
      <c r="AF69" s="69" t="n">
        <f aca="false">SUM(AF66:AF68)</f>
        <v>757850.065578325</v>
      </c>
      <c r="AG69" s="69" t="n">
        <f aca="false">SUM(AG66:AG68)</f>
        <v>795753.507946117</v>
      </c>
      <c r="AH69" s="69" t="n">
        <f aca="false">SUM(AH66:AH68)</f>
        <v>830995.335700464</v>
      </c>
      <c r="AI69" s="69" t="n">
        <f aca="false">SUM(AI66:AI68)</f>
        <v>863714.081402456</v>
      </c>
      <c r="AJ69" s="69" t="n">
        <f aca="false">SUM(AJ66:AJ68)</f>
        <v>894135.186325534</v>
      </c>
      <c r="AK69" s="69" t="n">
        <f aca="false">SUM(AK66:AK68)</f>
        <v>922526.922019797</v>
      </c>
      <c r="AL69" s="69" t="n">
        <f aca="false">SUM(AL66:AL68)</f>
        <v>1215880.91113422</v>
      </c>
      <c r="AM69" s="69" t="n">
        <f aca="false">SUM(AM66:AM68)</f>
        <v>1308132.85240288</v>
      </c>
      <c r="AN69" s="69" t="n">
        <f aca="false">SUM(AN66:AN68)</f>
        <v>1394376.9698811</v>
      </c>
      <c r="AO69" s="69" t="n">
        <f aca="false">SUM(AO66:AO68)</f>
        <v>1475022.1905365</v>
      </c>
      <c r="AP69" s="69" t="n">
        <f aca="false">SUM(AP66:AP68)</f>
        <v>1550407.97834319</v>
      </c>
      <c r="AQ69" s="69" t="n">
        <f aca="false">SUM(AQ66:AQ68)</f>
        <v>1620917.97452817</v>
      </c>
      <c r="AR69" s="69" t="n">
        <f aca="false">SUM(AR66:AR68)</f>
        <v>1686865.85493515</v>
      </c>
      <c r="AS69" s="69" t="n">
        <f aca="false">SUM(AS66:AS68)</f>
        <v>1748496.32532428</v>
      </c>
      <c r="AT69" s="69" t="n">
        <f aca="false">SUM(AT66:AT68)</f>
        <v>1806075.35050912</v>
      </c>
      <c r="AU69" s="69" t="n">
        <f aca="false">SUM(AU66:AU68)</f>
        <v>1860005.14179253</v>
      </c>
      <c r="AV69" s="69" t="n">
        <f aca="false">SUM(AV66:AV68)</f>
        <v>1910412.83390535</v>
      </c>
      <c r="AW69" s="69" t="n">
        <f aca="false">SUM(AW66:AW68)</f>
        <v>1957493.58249402</v>
      </c>
      <c r="AX69" s="69" t="n">
        <f aca="false">SUM(AX66:AX68)</f>
        <v>2460269.00726857</v>
      </c>
      <c r="AY69" s="69" t="n">
        <f aca="false">SUM(AY66:AY68)</f>
        <v>2588577.03636999</v>
      </c>
      <c r="AZ69" s="69" t="n">
        <f aca="false">SUM(AZ66:AZ68)</f>
        <v>2709240.30430324</v>
      </c>
      <c r="BA69" s="69" t="n">
        <f aca="false">SUM(BA66:BA68)</f>
        <v>2822619.59573139</v>
      </c>
      <c r="BB69" s="69" t="n">
        <f aca="false">SUM(BB66:BB68)</f>
        <v>2929192.68091005</v>
      </c>
      <c r="BC69" s="69" t="n">
        <f aca="false">SUM(BC66:BC68)</f>
        <v>3029388.65580244</v>
      </c>
      <c r="BD69" s="69" t="n">
        <f aca="false">SUM(BD66:BD68)</f>
        <v>3123563.23188093</v>
      </c>
      <c r="BE69" s="69" t="n">
        <f aca="false">SUM(BE66:BE68)</f>
        <v>3212118.79203538</v>
      </c>
      <c r="BF69" s="69" t="n">
        <f aca="false">SUM(BF66:BF68)</f>
        <v>3295337.28269035</v>
      </c>
      <c r="BG69" s="69" t="n">
        <f aca="false">SUM(BG66:BG68)</f>
        <v>3373546.88688492</v>
      </c>
      <c r="BH69" s="69" t="n">
        <f aca="false">SUM(BH66:BH68)</f>
        <v>3447027.17332974</v>
      </c>
      <c r="BI69" s="69" t="n">
        <f aca="false">SUM(BI66:BI68)</f>
        <v>3516223.58037662</v>
      </c>
      <c r="BJ69" s="69" t="n">
        <f aca="false">SUM(B69:BI69)</f>
        <v>67631238.93492</v>
      </c>
    </row>
    <row r="70" customFormat="false" ht="15" hidden="false" customHeight="false" outlineLevel="0" collapsed="false">
      <c r="A70" s="12" t="s">
        <v>352</v>
      </c>
      <c r="B70" s="84" t="n">
        <f aca="false">B69*12</f>
        <v>0</v>
      </c>
      <c r="C70" s="84" t="n">
        <f aca="false">SUM($B69:B69)/1*12</f>
        <v>0</v>
      </c>
      <c r="D70" s="84" t="n">
        <f aca="false">SUM($B69:C69)/2*12</f>
        <v>0</v>
      </c>
      <c r="E70" s="84" t="n">
        <f aca="false">SUM($B69:D69)/3*12</f>
        <v>0</v>
      </c>
      <c r="F70" s="84" t="n">
        <f aca="false">SUM($B69:E69)/4*12</f>
        <v>0</v>
      </c>
      <c r="G70" s="84" t="n">
        <f aca="false">SUM($B69:F69)/5*12</f>
        <v>0</v>
      </c>
      <c r="H70" s="84" t="n">
        <f aca="false">SUM($B69:G69)/6*12</f>
        <v>0</v>
      </c>
      <c r="I70" s="84" t="n">
        <f aca="false">SUM($B69:H69)/7*12</f>
        <v>0</v>
      </c>
      <c r="J70" s="84" t="n">
        <f aca="false">SUM($B69:I69)/8*12</f>
        <v>0</v>
      </c>
      <c r="K70" s="84" t="n">
        <f aca="false">SUM($B69:J69)/9*12</f>
        <v>0</v>
      </c>
      <c r="L70" s="84" t="n">
        <f aca="false">SUM($B69:K69)/10*12</f>
        <v>29195.4</v>
      </c>
      <c r="M70" s="84" t="n">
        <f aca="false">SUM($B69:L69)/11*12</f>
        <v>77493.4909090909</v>
      </c>
      <c r="N70" s="84" t="n">
        <f aca="false">SUM(B69:M69)</f>
        <v>138385.3</v>
      </c>
      <c r="O70" s="84" t="n">
        <f aca="false">SUM(C69:N69)</f>
        <v>251492.40723</v>
      </c>
      <c r="P70" s="84" t="n">
        <f aca="false">SUM(D69:O69)</f>
        <v>392579.33793025</v>
      </c>
      <c r="Q70" s="84" t="n">
        <f aca="false">SUM(E69:P69)</f>
        <v>559476.161302981</v>
      </c>
      <c r="R70" s="84" t="n">
        <f aca="false">SUM(F69:Q69)</f>
        <v>750351.598822758</v>
      </c>
      <c r="S70" s="84" t="n">
        <f aca="false">SUM(G69:R69)</f>
        <v>963294.859453551</v>
      </c>
      <c r="T70" s="84" t="n">
        <f aca="false">SUM(H69:S69)</f>
        <v>1196733.39839953</v>
      </c>
      <c r="U70" s="84" t="n">
        <f aca="false">SUM(I69:T69)</f>
        <v>1449098.30178707</v>
      </c>
      <c r="V70" s="84" t="n">
        <f aca="false">SUM(J69:U69)</f>
        <v>1718907.38183304</v>
      </c>
      <c r="W70" s="84" t="n">
        <f aca="false">SUM(K69:V69)</f>
        <v>2004953.10770056</v>
      </c>
      <c r="X70" s="84" t="n">
        <f aca="false">SUM(L69:W69)</f>
        <v>2281617.65687802</v>
      </c>
      <c r="Y70" s="84" t="n">
        <f aca="false">SUM(M69:X69)</f>
        <v>2549777.18554217</v>
      </c>
      <c r="Z70" s="84" t="n">
        <f aca="false">SUM(N69:Y69)</f>
        <v>2810195.10298151</v>
      </c>
      <c r="AA70" s="84" t="n">
        <f aca="false">SUM(O69:Z69)</f>
        <v>3159797.87142748</v>
      </c>
      <c r="AB70" s="84" t="n">
        <f aca="false">SUM(P69:AA69)</f>
        <v>3540004.98980303</v>
      </c>
      <c r="AC70" s="84" t="n">
        <f aca="false">SUM(Q69:AB69)</f>
        <v>3948803.6320218</v>
      </c>
      <c r="AD70" s="84" t="n">
        <f aca="false">SUM(R69:AC69)</f>
        <v>4384246.77663132</v>
      </c>
      <c r="AE70" s="84" t="n">
        <f aca="false">SUM(S69:AD69)</f>
        <v>4844652.53401077</v>
      </c>
      <c r="AF70" s="84" t="n">
        <f aca="false">SUM(T69:AE69)</f>
        <v>5328338.24417766</v>
      </c>
      <c r="AG70" s="84" t="n">
        <f aca="false">SUM(U69:AF69)</f>
        <v>5833823.40636845</v>
      </c>
      <c r="AH70" s="84" t="n">
        <f aca="false">SUM(V69:AG69)</f>
        <v>6359767.8342686</v>
      </c>
      <c r="AI70" s="84" t="n">
        <f aca="false">SUM(W69:AH69)</f>
        <v>6904717.44410154</v>
      </c>
      <c r="AJ70" s="84" t="n">
        <f aca="false">SUM(X69:AI69)</f>
        <v>7467437.47632654</v>
      </c>
      <c r="AK70" s="84" t="n">
        <f aca="false">SUM(Y69:AJ69)</f>
        <v>8046706.93398792</v>
      </c>
      <c r="AL70" s="84" t="n">
        <f aca="false">SUM(Z69:AK69)</f>
        <v>8641466.33856838</v>
      </c>
      <c r="AM70" s="84" t="n">
        <f aca="false">SUM(AA69:AL69)</f>
        <v>9394637.37402663</v>
      </c>
      <c r="AN70" s="84" t="n">
        <f aca="false">SUM(AB69:AM69)</f>
        <v>10181476.1773537</v>
      </c>
      <c r="AO70" s="84" t="n">
        <f aca="false">SUM(AC69:AN69)</f>
        <v>11000157.6816433</v>
      </c>
      <c r="AP70" s="84" t="n">
        <f aca="false">SUM(AD69:AO69)</f>
        <v>11848861.2900505</v>
      </c>
      <c r="AQ70" s="84" t="n">
        <f aca="false">SUM(AE69:AP69)</f>
        <v>12725920.2503835</v>
      </c>
      <c r="AR70" s="84" t="n">
        <f aca="false">SUM(AF69:AQ69)</f>
        <v>13629713.9757988</v>
      </c>
      <c r="AS70" s="84" t="n">
        <f aca="false">SUM(AG69:AR69)</f>
        <v>14558729.7651556</v>
      </c>
      <c r="AT70" s="84" t="n">
        <f aca="false">SUM(AH69:AS69)</f>
        <v>15511472.5825337</v>
      </c>
      <c r="AU70" s="84" t="n">
        <f aca="false">SUM(AI69:AT69)</f>
        <v>16486552.5973424</v>
      </c>
      <c r="AV70" s="84" t="n">
        <f aca="false">SUM(AJ69:AU69)</f>
        <v>17482843.6577325</v>
      </c>
      <c r="AW70" s="84" t="n">
        <f aca="false">SUM(AK69:AV69)</f>
        <v>18499121.3053123</v>
      </c>
      <c r="AX70" s="84" t="n">
        <f aca="false">SUM(AL69:AW69)</f>
        <v>19534087.9657865</v>
      </c>
      <c r="AY70" s="84" t="n">
        <f aca="false">SUM(AM69:AX69)</f>
        <v>20778476.0619209</v>
      </c>
      <c r="AZ70" s="84" t="n">
        <f aca="false">SUM(AN69:AY69)</f>
        <v>22058920.245888</v>
      </c>
      <c r="BA70" s="84" t="n">
        <f aca="false">SUM(AO69:AZ69)</f>
        <v>23373783.5803101</v>
      </c>
      <c r="BB70" s="84" t="n">
        <f aca="false">SUM(AP69:BA69)</f>
        <v>24721380.985505</v>
      </c>
      <c r="BC70" s="84" t="n">
        <f aca="false">SUM(AQ69:BB69)</f>
        <v>26100165.6880719</v>
      </c>
      <c r="BD70" s="84" t="n">
        <f aca="false">SUM(AR69:BC69)</f>
        <v>27508636.3693461</v>
      </c>
      <c r="BE70" s="84" t="n">
        <f aca="false">SUM(AS69:BD69)</f>
        <v>28945333.7462919</v>
      </c>
      <c r="BF70" s="84" t="n">
        <f aca="false">SUM(AT69:BE69)</f>
        <v>30408956.213003</v>
      </c>
      <c r="BG70" s="84" t="n">
        <f aca="false">SUM(AU69:BF69)</f>
        <v>31898218.1451842</v>
      </c>
      <c r="BH70" s="84" t="n">
        <f aca="false">SUM(AV69:BG69)</f>
        <v>33411759.8902766</v>
      </c>
      <c r="BI70" s="84" t="n">
        <f aca="false">SUM(AW69:BH69)</f>
        <v>34948374.229701</v>
      </c>
      <c r="BJ70" s="69" t="n">
        <f aca="false">BI70</f>
        <v>34948374.229701</v>
      </c>
      <c r="BK70" s="14" t="s">
        <v>344</v>
      </c>
    </row>
    <row r="71" customFormat="false" ht="15" hidden="false" customHeight="false" outlineLevel="0" collapsed="false">
      <c r="A71" s="12" t="s">
        <v>301</v>
      </c>
      <c r="B71" s="108" t="n">
        <f aca="false">IF(Premissas!$B$16=3,Premissas!$B$17,IF(B70&gt;Premissas!$B$18,Premissas!$B$17,IFERROR(MAX(Tributos!$C$24,(INDEX(Tributos!$C$24:$C$29,MATCH(B70,Tributos!$B$24:$B$29,1))*B70-INDEX(Tributos!$D$24:$D$29,MATCH(B70,Tributos!$B$24:$B$29,1)))/B70),Tributos!$C$24)))</f>
        <v>0.06</v>
      </c>
      <c r="C71" s="108" t="n">
        <f aca="false">IF(Premissas!$B$16=3,Premissas!$B$17,IF(C70&gt;Premissas!$B$18,Premissas!$B$17,IFERROR(MAX(Tributos!$C$24,(INDEX(Tributos!$C$24:$C$29,MATCH(C70,Tributos!$B$24:$B$29,1))*C70-INDEX(Tributos!$D$24:$D$29,MATCH(C70,Tributos!$B$24:$B$29,1)))/C70),Tributos!$C$24)))</f>
        <v>0.06</v>
      </c>
      <c r="D71" s="108" t="n">
        <f aca="false">IF(Premissas!$B$16=3,Premissas!$B$17,IF(D70&gt;Premissas!$B$18,Premissas!$B$17,IFERROR(MAX(Tributos!$C$24,(INDEX(Tributos!$C$24:$C$29,MATCH(D70,Tributos!$B$24:$B$29,1))*D70-INDEX(Tributos!$D$24:$D$29,MATCH(D70,Tributos!$B$24:$B$29,1)))/D70),Tributos!$C$24)))</f>
        <v>0.06</v>
      </c>
      <c r="E71" s="108" t="n">
        <f aca="false">IF(Premissas!$B$16=3,Premissas!$B$17,IF(E70&gt;Premissas!$B$18,Premissas!$B$17,IFERROR(MAX(Tributos!$C$24,(INDEX(Tributos!$C$24:$C$29,MATCH(E70,Tributos!$B$24:$B$29,1))*E70-INDEX(Tributos!$D$24:$D$29,MATCH(E70,Tributos!$B$24:$B$29,1)))/E70),Tributos!$C$24)))</f>
        <v>0.06</v>
      </c>
      <c r="F71" s="108" t="n">
        <f aca="false">IF(Premissas!$B$16=3,Premissas!$B$17,IF(F70&gt;Premissas!$B$18,Premissas!$B$17,IFERROR(MAX(Tributos!$C$24,(INDEX(Tributos!$C$24:$C$29,MATCH(F70,Tributos!$B$24:$B$29,1))*F70-INDEX(Tributos!$D$24:$D$29,MATCH(F70,Tributos!$B$24:$B$29,1)))/F70),Tributos!$C$24)))</f>
        <v>0.06</v>
      </c>
      <c r="G71" s="108" t="n">
        <f aca="false">IF(Premissas!$B$16=3,Premissas!$B$17,IF(G70&gt;Premissas!$B$18,Premissas!$B$17,IFERROR(MAX(Tributos!$C$24,(INDEX(Tributos!$C$24:$C$29,MATCH(G70,Tributos!$B$24:$B$29,1))*G70-INDEX(Tributos!$D$24:$D$29,MATCH(G70,Tributos!$B$24:$B$29,1)))/G70),Tributos!$C$24)))</f>
        <v>0.06</v>
      </c>
      <c r="H71" s="108" t="n">
        <f aca="false">IF(Premissas!$B$16=3,Premissas!$B$17,IF(H70&gt;Premissas!$B$18,Premissas!$B$17,IFERROR(MAX(Tributos!$C$24,(INDEX(Tributos!$C$24:$C$29,MATCH(H70,Tributos!$B$24:$B$29,1))*H70-INDEX(Tributos!$D$24:$D$29,MATCH(H70,Tributos!$B$24:$B$29,1)))/H70),Tributos!$C$24)))</f>
        <v>0.06</v>
      </c>
      <c r="I71" s="108" t="n">
        <f aca="false">IF(Premissas!$B$16=3,Premissas!$B$17,IF(I70&gt;Premissas!$B$18,Premissas!$B$17,IFERROR(MAX(Tributos!$C$24,(INDEX(Tributos!$C$24:$C$29,MATCH(I70,Tributos!$B$24:$B$29,1))*I70-INDEX(Tributos!$D$24:$D$29,MATCH(I70,Tributos!$B$24:$B$29,1)))/I70),Tributos!$C$24)))</f>
        <v>0.06</v>
      </c>
      <c r="J71" s="108" t="n">
        <f aca="false">IF(Premissas!$B$16=3,Premissas!$B$17,IF(J70&gt;Premissas!$B$18,Premissas!$B$17,IFERROR(MAX(Tributos!$C$24,(INDEX(Tributos!$C$24:$C$29,MATCH(J70,Tributos!$B$24:$B$29,1))*J70-INDEX(Tributos!$D$24:$D$29,MATCH(J70,Tributos!$B$24:$B$29,1)))/J70),Tributos!$C$24)))</f>
        <v>0.06</v>
      </c>
      <c r="K71" s="108" t="n">
        <f aca="false">IF(Premissas!$B$16=3,Premissas!$B$17,IF(K70&gt;Premissas!$B$18,Premissas!$B$17,IFERROR(MAX(Tributos!$C$24,(INDEX(Tributos!$C$24:$C$29,MATCH(K70,Tributos!$B$24:$B$29,1))*K70-INDEX(Tributos!$D$24:$D$29,MATCH(K70,Tributos!$B$24:$B$29,1)))/K70),Tributos!$C$24)))</f>
        <v>0.06</v>
      </c>
      <c r="L71" s="108" t="n">
        <f aca="false">IF(Premissas!$B$16=3,Premissas!$B$17,IF(L70&gt;Premissas!$B$18,Premissas!$B$17,IFERROR(MAX(Tributos!$C$24,(INDEX(Tributos!$C$24:$C$29,MATCH(L70,Tributos!$B$24:$B$29,1))*L70-INDEX(Tributos!$D$24:$D$29,MATCH(L70,Tributos!$B$24:$B$29,1)))/L70),Tributos!$C$24)))</f>
        <v>0.06</v>
      </c>
      <c r="M71" s="108" t="n">
        <f aca="false">IF(Premissas!$B$16=3,Premissas!$B$17,IF(M70&gt;Premissas!$B$18,Premissas!$B$17,IFERROR(MAX(Tributos!$C$24,(INDEX(Tributos!$C$24:$C$29,MATCH(M70,Tributos!$B$24:$B$29,1))*M70-INDEX(Tributos!$D$24:$D$29,MATCH(M70,Tributos!$B$24:$B$29,1)))/M70),Tributos!$C$24)))</f>
        <v>0.06</v>
      </c>
      <c r="N71" s="108" t="n">
        <f aca="false">IF(Premissas!$B$16=3,Premissas!$B$17,IF(N70&gt;Premissas!$B$18,Premissas!$B$17,IFERROR(MAX(Tributos!$C$24,(INDEX(Tributos!$C$24:$C$29,MATCH(N70,Tributos!$B$24:$B$29,1))*N70-INDEX(Tributos!$D$24:$D$29,MATCH(N70,Tributos!$B$24:$B$29,1)))/N70),Tributos!$C$24)))</f>
        <v>0.06</v>
      </c>
      <c r="O71" s="108" t="n">
        <f aca="false">IF(Premissas!$B$16=3,Premissas!$B$17,IF(O70&gt;Premissas!$B$18,Premissas!$B$17,IFERROR(MAX(Tributos!$C$24,(INDEX(Tributos!$C$24:$C$29,MATCH(O70,Tributos!$B$24:$B$29,1))*O70-INDEX(Tributos!$D$24:$D$29,MATCH(O70,Tributos!$B$24:$B$29,1)))/O70),Tributos!$C$24)))</f>
        <v>0.0747821765949383</v>
      </c>
      <c r="P71" s="108" t="n">
        <f aca="false">IF(Premissas!$B$16=3,Premissas!$B$17,IF(P70&gt;Premissas!$B$18,Premissas!$B$17,IFERROR(MAX(Tributos!$C$24,(INDEX(Tributos!$C$24:$C$29,MATCH(P70,Tributos!$B$24:$B$29,1))*P70-INDEX(Tributos!$D$24:$D$29,MATCH(P70,Tributos!$B$24:$B$29,1)))/P70),Tributos!$C$24)))</f>
        <v>0.0900664074859332</v>
      </c>
      <c r="Q71" s="108" t="n">
        <f aca="false">IF(Premissas!$B$16=3,Premissas!$B$17,IF(Q70&gt;Premissas!$B$18,Premissas!$B$17,IFERROR(MAX(Tributos!$C$24,(INDEX(Tributos!$C$24:$C$29,MATCH(Q70,Tributos!$B$24:$B$29,1))*Q70-INDEX(Tributos!$D$24:$D$29,MATCH(Q70,Tributos!$B$24:$B$29,1)))/Q70),Tributos!$C$24)))</f>
        <v>0.103470506484284</v>
      </c>
      <c r="R71" s="108" t="n">
        <f aca="false">IF(Premissas!$B$16=3,Premissas!$B$17,IF(R70&gt;Premissas!$B$18,Premissas!$B$17,IFERROR(MAX(Tributos!$C$24,(INDEX(Tributos!$C$24:$C$29,MATCH(R70,Tributos!$B$24:$B$29,1))*R70-INDEX(Tributos!$D$24:$D$29,MATCH(R70,Tributos!$B$24:$B$29,1)))/R70),Tributos!$C$24)))</f>
        <v>0.11250226686274</v>
      </c>
      <c r="S71" s="108" t="n">
        <f aca="false">IF(Premissas!$B$16=3,Premissas!$B$17,IF(S70&gt;Premissas!$B$18,Premissas!$B$17,IFERROR(MAX(Tributos!$C$24,(INDEX(Tributos!$C$24:$C$29,MATCH(S70,Tributos!$B$24:$B$29,1))*S70-INDEX(Tributos!$D$24:$D$29,MATCH(S70,Tributos!$B$24:$B$29,1)))/S70),Tributos!$C$24)))</f>
        <v>0.123001982570303</v>
      </c>
      <c r="T71" s="108" t="n">
        <f aca="false">IF(Premissas!$B$16=3,Premissas!$B$17,IF(T70&gt;Premissas!$B$18,Premissas!$B$17,IFERROR(MAX(Tributos!$C$24,(INDEX(Tributos!$C$24:$C$29,MATCH(T70,Tributos!$B$24:$B$29,1))*T70-INDEX(Tributos!$D$24:$D$29,MATCH(T70,Tributos!$B$24:$B$29,1)))/T70),Tributos!$C$24)))</f>
        <v>0.130218930926751</v>
      </c>
      <c r="U71" s="108" t="n">
        <f aca="false">IF(Premissas!$B$16=3,Premissas!$B$17,IF(U70&gt;Premissas!$B$18,Premissas!$B$17,IFERROR(MAX(Tributos!$C$24,(INDEX(Tributos!$C$24:$C$29,MATCH(U70,Tributos!$B$24:$B$29,1))*U70-INDEX(Tributos!$D$24:$D$29,MATCH(U70,Tributos!$B$24:$B$29,1)))/U70),Tributos!$C$24)))</f>
        <v>0.135405395233679</v>
      </c>
      <c r="V71" s="108" t="n">
        <f aca="false">IF(Premissas!$B$16=3,Premissas!$B$17,IF(V70&gt;Premissas!$B$18,Premissas!$B$17,IFERROR(MAX(Tributos!$C$24,(INDEX(Tributos!$C$24:$C$29,MATCH(V70,Tributos!$B$24:$B$29,1))*V70-INDEX(Tributos!$D$24:$D$29,MATCH(V70,Tributos!$B$24:$B$29,1)))/V70),Tributos!$C$24)))</f>
        <v>0.139265898572154</v>
      </c>
      <c r="W71" s="108" t="n">
        <f aca="false">IF(Premissas!$B$16=3,Premissas!$B$17,IF(W70&gt;Premissas!$B$18,Premissas!$B$17,IFERROR(MAX(Tributos!$C$24,(INDEX(Tributos!$C$24:$C$29,MATCH(W70,Tributos!$B$24:$B$29,1))*W70-INDEX(Tributos!$D$24:$D$29,MATCH(W70,Tributos!$B$24:$B$29,1)))/W70),Tributos!$C$24)))</f>
        <v>0.147335192769623</v>
      </c>
      <c r="X71" s="108" t="n">
        <f aca="false">IF(Premissas!$B$16=3,Premissas!$B$17,IF(X70&gt;Premissas!$B$18,Premissas!$B$17,IFERROR(MAX(Tributos!$C$24,(INDEX(Tributos!$C$24:$C$29,MATCH(X70,Tributos!$B$24:$B$29,1))*X70-INDEX(Tributos!$D$24:$D$29,MATCH(X70,Tributos!$B$24:$B$29,1)))/X70),Tributos!$C$24)))</f>
        <v>0.154933806231183</v>
      </c>
      <c r="Y71" s="108" t="n">
        <f aca="false">IF(Premissas!$B$16=3,Premissas!$B$17,IF(Y70&gt;Premissas!$B$18,Premissas!$B$17,IFERROR(MAX(Tributos!$C$24,(INDEX(Tributos!$C$24:$C$29,MATCH(Y70,Tributos!$B$24:$B$29,1))*Y70-INDEX(Tributos!$D$24:$D$29,MATCH(Y70,Tributos!$B$24:$B$29,1)))/Y70),Tributos!$C$24)))</f>
        <v>0.160725106212257</v>
      </c>
      <c r="Z71" s="108" t="n">
        <f aca="false">IF(Premissas!$B$16=3,Premissas!$B$17,IF(Z70&gt;Premissas!$B$18,Premissas!$B$17,IFERROR(MAX(Tributos!$C$24,(INDEX(Tributos!$C$24:$C$29,MATCH(Z70,Tributos!$B$24:$B$29,1))*Z70-INDEX(Tributos!$D$24:$D$29,MATCH(Z70,Tributos!$B$24:$B$29,1)))/Z70),Tributos!$C$24)))</f>
        <v>0.165291360423089</v>
      </c>
      <c r="AA71" s="108" t="n">
        <f aca="false">IF(Premissas!$B$16=3,Premissas!$B$17,IF(AA70&gt;Premissas!$B$18,Premissas!$B$17,IFERROR(MAX(Tributos!$C$24,(INDEX(Tributos!$C$24:$C$29,MATCH(AA70,Tributos!$B$24:$B$29,1))*AA70-INDEX(Tributos!$D$24:$D$29,MATCH(AA70,Tributos!$B$24:$B$29,1)))/AA70),Tributos!$C$24)))</f>
        <v>0.170237962960827</v>
      </c>
      <c r="AB71" s="108" t="n">
        <f aca="false">IF(Premissas!$B$16=3,Premissas!$B$17,IF(AB70&gt;Premissas!$B$18,Premissas!$B$17,IFERROR(MAX(Tributos!$C$24,(INDEX(Tributos!$C$24:$C$29,MATCH(AB70,Tributos!$B$24:$B$29,1))*AB70-INDEX(Tributos!$D$24:$D$29,MATCH(AB70,Tributos!$B$24:$B$29,1)))/AB70),Tributos!$C$24)))</f>
        <v>0.174508524603241</v>
      </c>
      <c r="AC71" s="108" t="n">
        <f aca="false">IF(Premissas!$B$16=3,Premissas!$B$17,IF(AC70&gt;Premissas!$B$18,Premissas!$B$17,IFERROR(MAX(Tributos!$C$24,(INDEX(Tributos!$C$24:$C$29,MATCH(AC70,Tributos!$B$24:$B$29,1))*AC70-INDEX(Tributos!$D$24:$D$29,MATCH(AC70,Tributos!$B$24:$B$29,1)))/AC70),Tributos!$C$24)))</f>
        <v>0.165899664712316</v>
      </c>
      <c r="AD71" s="108" t="n">
        <f aca="false">IF(Premissas!$B$16=3,Premissas!$B$17,IF(AD70&gt;Premissas!$B$18,Premissas!$B$17,IFERROR(MAX(Tributos!$C$24,(INDEX(Tributos!$C$24:$C$29,MATCH(AD70,Tributos!$B$24:$B$29,1))*AD70-INDEX(Tributos!$D$24:$D$29,MATCH(AD70,Tributos!$B$24:$B$29,1)))/AD70),Tributos!$C$24)))</f>
        <v>0.182198100833663</v>
      </c>
      <c r="AE71" s="108" t="n">
        <f aca="false">IF(Premissas!$B$16=3,Premissas!$B$17,IF(AE70&gt;Premissas!$B$18,Premissas!$B$17,IFERROR(MAX(Tributos!$C$24,(INDEX(Tributos!$C$24:$C$29,MATCH(AE70,Tributos!$B$24:$B$29,1))*AE70-INDEX(Tributos!$D$24:$D$29,MATCH(AE70,Tributos!$B$24:$B$29,1)))/AE70),Tributos!$C$24)))</f>
        <v>0.1633</v>
      </c>
      <c r="AF71" s="108" t="n">
        <f aca="false">IF(Premissas!$B$16=3,Premissas!$B$17,IF(AF70&gt;Premissas!$B$18,Premissas!$B$17,IFERROR(MAX(Tributos!$C$24,(INDEX(Tributos!$C$24:$C$29,MATCH(AF70,Tributos!$B$24:$B$29,1))*AF70-INDEX(Tributos!$D$24:$D$29,MATCH(AF70,Tributos!$B$24:$B$29,1)))/AF70),Tributos!$C$24)))</f>
        <v>0.1633</v>
      </c>
      <c r="AG71" s="108" t="n">
        <f aca="false">IF(Premissas!$B$16=3,Premissas!$B$17,IF(AG70&gt;Premissas!$B$18,Premissas!$B$17,IFERROR(MAX(Tributos!$C$24,(INDEX(Tributos!$C$24:$C$29,MATCH(AG70,Tributos!$B$24:$B$29,1))*AG70-INDEX(Tributos!$D$24:$D$29,MATCH(AG70,Tributos!$B$24:$B$29,1)))/AG70),Tributos!$C$24)))</f>
        <v>0.1633</v>
      </c>
      <c r="AH71" s="108" t="n">
        <f aca="false">IF(Premissas!$B$16=3,Premissas!$B$17,IF(AH70&gt;Premissas!$B$18,Premissas!$B$17,IFERROR(MAX(Tributos!$C$24,(INDEX(Tributos!$C$24:$C$29,MATCH(AH70,Tributos!$B$24:$B$29,1))*AH70-INDEX(Tributos!$D$24:$D$29,MATCH(AH70,Tributos!$B$24:$B$29,1)))/AH70),Tributos!$C$24)))</f>
        <v>0.1633</v>
      </c>
      <c r="AI71" s="108" t="n">
        <f aca="false">IF(Premissas!$B$16=3,Premissas!$B$17,IF(AI70&gt;Premissas!$B$18,Premissas!$B$17,IFERROR(MAX(Tributos!$C$24,(INDEX(Tributos!$C$24:$C$29,MATCH(AI70,Tributos!$B$24:$B$29,1))*AI70-INDEX(Tributos!$D$24:$D$29,MATCH(AI70,Tributos!$B$24:$B$29,1)))/AI70),Tributos!$C$24)))</f>
        <v>0.1633</v>
      </c>
      <c r="AJ71" s="108" t="n">
        <f aca="false">IF(Premissas!$B$16=3,Premissas!$B$17,IF(AJ70&gt;Premissas!$B$18,Premissas!$B$17,IFERROR(MAX(Tributos!$C$24,(INDEX(Tributos!$C$24:$C$29,MATCH(AJ70,Tributos!$B$24:$B$29,1))*AJ70-INDEX(Tributos!$D$24:$D$29,MATCH(AJ70,Tributos!$B$24:$B$29,1)))/AJ70),Tributos!$C$24)))</f>
        <v>0.1633</v>
      </c>
      <c r="AK71" s="108" t="n">
        <f aca="false">IF(Premissas!$B$16=3,Premissas!$B$17,IF(AK70&gt;Premissas!$B$18,Premissas!$B$17,IFERROR(MAX(Tributos!$C$24,(INDEX(Tributos!$C$24:$C$29,MATCH(AK70,Tributos!$B$24:$B$29,1))*AK70-INDEX(Tributos!$D$24:$D$29,MATCH(AK70,Tributos!$B$24:$B$29,1)))/AK70),Tributos!$C$24)))</f>
        <v>0.1633</v>
      </c>
      <c r="AL71" s="108" t="n">
        <f aca="false">IF(Premissas!$B$16=3,Premissas!$B$17,IF(AL70&gt;Premissas!$B$18,Premissas!$B$17,IFERROR(MAX(Tributos!$C$24,(INDEX(Tributos!$C$24:$C$29,MATCH(AL70,Tributos!$B$24:$B$29,1))*AL70-INDEX(Tributos!$D$24:$D$29,MATCH(AL70,Tributos!$B$24:$B$29,1)))/AL70),Tributos!$C$24)))</f>
        <v>0.1633</v>
      </c>
      <c r="AM71" s="108" t="n">
        <f aca="false">IF(Premissas!$B$16=3,Premissas!$B$17,IF(AM70&gt;Premissas!$B$18,Premissas!$B$17,IFERROR(MAX(Tributos!$C$24,(INDEX(Tributos!$C$24:$C$29,MATCH(AM70,Tributos!$B$24:$B$29,1))*AM70-INDEX(Tributos!$D$24:$D$29,MATCH(AM70,Tributos!$B$24:$B$29,1)))/AM70),Tributos!$C$24)))</f>
        <v>0.1633</v>
      </c>
      <c r="AN71" s="108" t="n">
        <f aca="false">IF(Premissas!$B$16=3,Premissas!$B$17,IF(AN70&gt;Premissas!$B$18,Premissas!$B$17,IFERROR(MAX(Tributos!$C$24,(INDEX(Tributos!$C$24:$C$29,MATCH(AN70,Tributos!$B$24:$B$29,1))*AN70-INDEX(Tributos!$D$24:$D$29,MATCH(AN70,Tributos!$B$24:$B$29,1)))/AN70),Tributos!$C$24)))</f>
        <v>0.1633</v>
      </c>
      <c r="AO71" s="108" t="n">
        <f aca="false">IF(Premissas!$B$16=3,Premissas!$B$17,IF(AO70&gt;Premissas!$B$18,Premissas!$B$17,IFERROR(MAX(Tributos!$C$24,(INDEX(Tributos!$C$24:$C$29,MATCH(AO70,Tributos!$B$24:$B$29,1))*AO70-INDEX(Tributos!$D$24:$D$29,MATCH(AO70,Tributos!$B$24:$B$29,1)))/AO70),Tributos!$C$24)))</f>
        <v>0.1633</v>
      </c>
      <c r="AP71" s="108" t="n">
        <f aca="false">IF(Premissas!$B$16=3,Premissas!$B$17,IF(AP70&gt;Premissas!$B$18,Premissas!$B$17,IFERROR(MAX(Tributos!$C$24,(INDEX(Tributos!$C$24:$C$29,MATCH(AP70,Tributos!$B$24:$B$29,1))*AP70-INDEX(Tributos!$D$24:$D$29,MATCH(AP70,Tributos!$B$24:$B$29,1)))/AP70),Tributos!$C$24)))</f>
        <v>0.1633</v>
      </c>
      <c r="AQ71" s="108" t="n">
        <f aca="false">IF(Premissas!$B$16=3,Premissas!$B$17,IF(AQ70&gt;Premissas!$B$18,Premissas!$B$17,IFERROR(MAX(Tributos!$C$24,(INDEX(Tributos!$C$24:$C$29,MATCH(AQ70,Tributos!$B$24:$B$29,1))*AQ70-INDEX(Tributos!$D$24:$D$29,MATCH(AQ70,Tributos!$B$24:$B$29,1)))/AQ70),Tributos!$C$24)))</f>
        <v>0.1633</v>
      </c>
      <c r="AR71" s="108" t="n">
        <f aca="false">IF(Premissas!$B$16=3,Premissas!$B$17,IF(AR70&gt;Premissas!$B$18,Premissas!$B$17,IFERROR(MAX(Tributos!$C$24,(INDEX(Tributos!$C$24:$C$29,MATCH(AR70,Tributos!$B$24:$B$29,1))*AR70-INDEX(Tributos!$D$24:$D$29,MATCH(AR70,Tributos!$B$24:$B$29,1)))/AR70),Tributos!$C$24)))</f>
        <v>0.1633</v>
      </c>
      <c r="AS71" s="108" t="n">
        <f aca="false">IF(Premissas!$B$16=3,Premissas!$B$17,IF(AS70&gt;Premissas!$B$18,Premissas!$B$17,IFERROR(MAX(Tributos!$C$24,(INDEX(Tributos!$C$24:$C$29,MATCH(AS70,Tributos!$B$24:$B$29,1))*AS70-INDEX(Tributos!$D$24:$D$29,MATCH(AS70,Tributos!$B$24:$B$29,1)))/AS70),Tributos!$C$24)))</f>
        <v>0.1633</v>
      </c>
      <c r="AT71" s="108" t="n">
        <f aca="false">IF(Premissas!$B$16=3,Premissas!$B$17,IF(AT70&gt;Premissas!$B$18,Premissas!$B$17,IFERROR(MAX(Tributos!$C$24,(INDEX(Tributos!$C$24:$C$29,MATCH(AT70,Tributos!$B$24:$B$29,1))*AT70-INDEX(Tributos!$D$24:$D$29,MATCH(AT70,Tributos!$B$24:$B$29,1)))/AT70),Tributos!$C$24)))</f>
        <v>0.1633</v>
      </c>
      <c r="AU71" s="108" t="n">
        <f aca="false">IF(Premissas!$B$16=3,Premissas!$B$17,IF(AU70&gt;Premissas!$B$18,Premissas!$B$17,IFERROR(MAX(Tributos!$C$24,(INDEX(Tributos!$C$24:$C$29,MATCH(AU70,Tributos!$B$24:$B$29,1))*AU70-INDEX(Tributos!$D$24:$D$29,MATCH(AU70,Tributos!$B$24:$B$29,1)))/AU70),Tributos!$C$24)))</f>
        <v>0.1633</v>
      </c>
      <c r="AV71" s="108" t="n">
        <f aca="false">IF(Premissas!$B$16=3,Premissas!$B$17,IF(AV70&gt;Premissas!$B$18,Premissas!$B$17,IFERROR(MAX(Tributos!$C$24,(INDEX(Tributos!$C$24:$C$29,MATCH(AV70,Tributos!$B$24:$B$29,1))*AV70-INDEX(Tributos!$D$24:$D$29,MATCH(AV70,Tributos!$B$24:$B$29,1)))/AV70),Tributos!$C$24)))</f>
        <v>0.1633</v>
      </c>
      <c r="AW71" s="108" t="n">
        <f aca="false">IF(Premissas!$B$16=3,Premissas!$B$17,IF(AW70&gt;Premissas!$B$18,Premissas!$B$17,IFERROR(MAX(Tributos!$C$24,(INDEX(Tributos!$C$24:$C$29,MATCH(AW70,Tributos!$B$24:$B$29,1))*AW70-INDEX(Tributos!$D$24:$D$29,MATCH(AW70,Tributos!$B$24:$B$29,1)))/AW70),Tributos!$C$24)))</f>
        <v>0.1633</v>
      </c>
      <c r="AX71" s="108" t="n">
        <f aca="false">IF(Premissas!$B$16=3,Premissas!$B$17,IF(AX70&gt;Premissas!$B$18,Premissas!$B$17,IFERROR(MAX(Tributos!$C$24,(INDEX(Tributos!$C$24:$C$29,MATCH(AX70,Tributos!$B$24:$B$29,1))*AX70-INDEX(Tributos!$D$24:$D$29,MATCH(AX70,Tributos!$B$24:$B$29,1)))/AX70),Tributos!$C$24)))</f>
        <v>0.1633</v>
      </c>
      <c r="AY71" s="108" t="n">
        <f aca="false">IF(Premissas!$B$16=3,Premissas!$B$17,IF(AY70&gt;Premissas!$B$18,Premissas!$B$17,IFERROR(MAX(Tributos!$C$24,(INDEX(Tributos!$C$24:$C$29,MATCH(AY70,Tributos!$B$24:$B$29,1))*AY70-INDEX(Tributos!$D$24:$D$29,MATCH(AY70,Tributos!$B$24:$B$29,1)))/AY70),Tributos!$C$24)))</f>
        <v>0.1633</v>
      </c>
      <c r="AZ71" s="108" t="n">
        <f aca="false">IF(Premissas!$B$16=3,Premissas!$B$17,IF(AZ70&gt;Premissas!$B$18,Premissas!$B$17,IFERROR(MAX(Tributos!$C$24,(INDEX(Tributos!$C$24:$C$29,MATCH(AZ70,Tributos!$B$24:$B$29,1))*AZ70-INDEX(Tributos!$D$24:$D$29,MATCH(AZ70,Tributos!$B$24:$B$29,1)))/AZ70),Tributos!$C$24)))</f>
        <v>0.1633</v>
      </c>
      <c r="BA71" s="108" t="n">
        <f aca="false">IF(Premissas!$B$16=3,Premissas!$B$17,IF(BA70&gt;Premissas!$B$18,Premissas!$B$17,IFERROR(MAX(Tributos!$C$24,(INDEX(Tributos!$C$24:$C$29,MATCH(BA70,Tributos!$B$24:$B$29,1))*BA70-INDEX(Tributos!$D$24:$D$29,MATCH(BA70,Tributos!$B$24:$B$29,1)))/BA70),Tributos!$C$24)))</f>
        <v>0.1633</v>
      </c>
      <c r="BB71" s="108" t="n">
        <f aca="false">IF(Premissas!$B$16=3,Premissas!$B$17,IF(BB70&gt;Premissas!$B$18,Premissas!$B$17,IFERROR(MAX(Tributos!$C$24,(INDEX(Tributos!$C$24:$C$29,MATCH(BB70,Tributos!$B$24:$B$29,1))*BB70-INDEX(Tributos!$D$24:$D$29,MATCH(BB70,Tributos!$B$24:$B$29,1)))/BB70),Tributos!$C$24)))</f>
        <v>0.1633</v>
      </c>
      <c r="BC71" s="108" t="n">
        <f aca="false">IF(Premissas!$B$16=3,Premissas!$B$17,IF(BC70&gt;Premissas!$B$18,Premissas!$B$17,IFERROR(MAX(Tributos!$C$24,(INDEX(Tributos!$C$24:$C$29,MATCH(BC70,Tributos!$B$24:$B$29,1))*BC70-INDEX(Tributos!$D$24:$D$29,MATCH(BC70,Tributos!$B$24:$B$29,1)))/BC70),Tributos!$C$24)))</f>
        <v>0.1633</v>
      </c>
      <c r="BD71" s="108" t="n">
        <f aca="false">IF(Premissas!$B$16=3,Premissas!$B$17,IF(BD70&gt;Premissas!$B$18,Premissas!$B$17,IFERROR(MAX(Tributos!$C$24,(INDEX(Tributos!$C$24:$C$29,MATCH(BD70,Tributos!$B$24:$B$29,1))*BD70-INDEX(Tributos!$D$24:$D$29,MATCH(BD70,Tributos!$B$24:$B$29,1)))/BD70),Tributos!$C$24)))</f>
        <v>0.1633</v>
      </c>
      <c r="BE71" s="108" t="n">
        <f aca="false">IF(Premissas!$B$16=3,Premissas!$B$17,IF(BE70&gt;Premissas!$B$18,Premissas!$B$17,IFERROR(MAX(Tributos!$C$24,(INDEX(Tributos!$C$24:$C$29,MATCH(BE70,Tributos!$B$24:$B$29,1))*BE70-INDEX(Tributos!$D$24:$D$29,MATCH(BE70,Tributos!$B$24:$B$29,1)))/BE70),Tributos!$C$24)))</f>
        <v>0.1633</v>
      </c>
      <c r="BF71" s="108" t="n">
        <f aca="false">IF(Premissas!$B$16=3,Premissas!$B$17,IF(BF70&gt;Premissas!$B$18,Premissas!$B$17,IFERROR(MAX(Tributos!$C$24,(INDEX(Tributos!$C$24:$C$29,MATCH(BF70,Tributos!$B$24:$B$29,1))*BF70-INDEX(Tributos!$D$24:$D$29,MATCH(BF70,Tributos!$B$24:$B$29,1)))/BF70),Tributos!$C$24)))</f>
        <v>0.1633</v>
      </c>
      <c r="BG71" s="108" t="n">
        <f aca="false">IF(Premissas!$B$16=3,Premissas!$B$17,IF(BG70&gt;Premissas!$B$18,Premissas!$B$17,IFERROR(MAX(Tributos!$C$24,(INDEX(Tributos!$C$24:$C$29,MATCH(BG70,Tributos!$B$24:$B$29,1))*BG70-INDEX(Tributos!$D$24:$D$29,MATCH(BG70,Tributos!$B$24:$B$29,1)))/BG70),Tributos!$C$24)))</f>
        <v>0.1633</v>
      </c>
      <c r="BH71" s="108" t="n">
        <f aca="false">IF(Premissas!$B$16=3,Premissas!$B$17,IF(BH70&gt;Premissas!$B$18,Premissas!$B$17,IFERROR(MAX(Tributos!$C$24,(INDEX(Tributos!$C$24:$C$29,MATCH(BH70,Tributos!$B$24:$B$29,1))*BH70-INDEX(Tributos!$D$24:$D$29,MATCH(BH70,Tributos!$B$24:$B$29,1)))/BH70),Tributos!$C$24)))</f>
        <v>0.1633</v>
      </c>
      <c r="BI71" s="108" t="n">
        <f aca="false">IF(Premissas!$B$16=3,Premissas!$B$17,IF(BI70&gt;Premissas!$B$18,Premissas!$B$17,IFERROR(MAX(Tributos!$C$24,(INDEX(Tributos!$C$24:$C$29,MATCH(BI70,Tributos!$B$24:$B$29,1))*BI70-INDEX(Tributos!$D$24:$D$29,MATCH(BI70,Tributos!$B$24:$B$29,1)))/BI70),Tributos!$C$24)))</f>
        <v>0.1633</v>
      </c>
      <c r="BJ71" s="109" t="n">
        <f aca="false">IFERROR(-BJ72/BJ69,0)</f>
        <v>0.161998479312457</v>
      </c>
      <c r="BK71" s="14" t="s">
        <v>353</v>
      </c>
    </row>
    <row r="72" customFormat="false" ht="15" hidden="false" customHeight="false" outlineLevel="0" collapsed="false">
      <c r="A72" s="12" t="s">
        <v>236</v>
      </c>
      <c r="B72" s="84" t="n">
        <f aca="false">-B69*B71</f>
        <v>-0</v>
      </c>
      <c r="C72" s="84" t="n">
        <f aca="false">-C69*C71</f>
        <v>-0</v>
      </c>
      <c r="D72" s="84" t="n">
        <f aca="false">-D69*D71</f>
        <v>-0</v>
      </c>
      <c r="E72" s="84" t="n">
        <f aca="false">-E69*E71</f>
        <v>-0</v>
      </c>
      <c r="F72" s="84" t="n">
        <f aca="false">-F69*F71</f>
        <v>-0</v>
      </c>
      <c r="G72" s="84" t="n">
        <f aca="false">-G69*G71</f>
        <v>-0</v>
      </c>
      <c r="H72" s="84" t="n">
        <f aca="false">-H69*H71</f>
        <v>-0</v>
      </c>
      <c r="I72" s="84" t="n">
        <f aca="false">-I69*I71</f>
        <v>-0</v>
      </c>
      <c r="J72" s="84" t="n">
        <f aca="false">-J69*J71</f>
        <v>-0</v>
      </c>
      <c r="K72" s="84" t="n">
        <f aca="false">-K69*K71</f>
        <v>-1459.77</v>
      </c>
      <c r="L72" s="84" t="n">
        <f aca="false">-L69*L71</f>
        <v>-2802.372</v>
      </c>
      <c r="M72" s="84" t="n">
        <f aca="false">-M69*M71</f>
        <v>-4040.976</v>
      </c>
      <c r="N72" s="84" t="n">
        <f aca="false">-N69*N71</f>
        <v>-6786.4264338</v>
      </c>
      <c r="O72" s="84" t="n">
        <f aca="false">-O69*O71</f>
        <v>-10550.7877668639</v>
      </c>
      <c r="P72" s="84" t="n">
        <f aca="false">-P69*P71</f>
        <v>-15031.7973019962</v>
      </c>
      <c r="Q72" s="84" t="n">
        <f aca="false">-Q69*Q71</f>
        <v>-19749.9781955806</v>
      </c>
      <c r="R72" s="84" t="n">
        <f aca="false">-R69*R71</f>
        <v>-23956.5995341074</v>
      </c>
      <c r="S72" s="84" t="n">
        <f aca="false">-S69*S71</f>
        <v>-28713.4030986709</v>
      </c>
      <c r="T72" s="84" t="n">
        <f aca="false">-T69*T71</f>
        <v>-32862.6879225577</v>
      </c>
      <c r="U72" s="84" t="n">
        <f aca="false">-U69*U71</f>
        <v>-36533.6051212599</v>
      </c>
      <c r="V72" s="84" t="n">
        <f aca="false">-V69*V71</f>
        <v>-39836.4150456644</v>
      </c>
      <c r="W72" s="84" t="n">
        <f aca="false">-W69*W71</f>
        <v>-44347.0162580703</v>
      </c>
      <c r="X72" s="84" t="n">
        <f aca="false">-X69*X71</f>
        <v>-48783.3457936913</v>
      </c>
      <c r="Y72" s="84" t="n">
        <f aca="false">-Y69*Y71</f>
        <v>-52680.4690533654</v>
      </c>
      <c r="Z72" s="84" t="n">
        <f aca="false">-Z69*Z71</f>
        <v>-76481.94483168</v>
      </c>
      <c r="AA72" s="84" t="n">
        <f aca="false">-AA69*AA71</f>
        <v>-88744.0370182663</v>
      </c>
      <c r="AB72" s="84" t="n">
        <f aca="false">-AB69*AB71</f>
        <v>-100463.766321148</v>
      </c>
      <c r="AC72" s="84" t="n">
        <f aca="false">-AC69*AC71</f>
        <v>-103906.042778343</v>
      </c>
      <c r="AD72" s="84" t="n">
        <f aca="false">-AD69*AD71</f>
        <v>-122682.912279678</v>
      </c>
      <c r="AE72" s="84" t="n">
        <f aca="false">-AE69*AE71</f>
        <v>-117106.389880133</v>
      </c>
      <c r="AF72" s="84" t="n">
        <f aca="false">-AF69*AF71</f>
        <v>-123756.91570894</v>
      </c>
      <c r="AG72" s="84" t="n">
        <f aca="false">-AG69*AG71</f>
        <v>-129946.547847601</v>
      </c>
      <c r="AH72" s="84" t="n">
        <f aca="false">-AH69*AH71</f>
        <v>-135701.538319886</v>
      </c>
      <c r="AI72" s="84" t="n">
        <f aca="false">-AI69*AI71</f>
        <v>-141044.509493021</v>
      </c>
      <c r="AJ72" s="84" t="n">
        <f aca="false">-AJ69*AJ71</f>
        <v>-146012.27592696</v>
      </c>
      <c r="AK72" s="84" t="n">
        <f aca="false">-AK69*AK71</f>
        <v>-150648.646365833</v>
      </c>
      <c r="AL72" s="84" t="n">
        <f aca="false">-AL69*AL71</f>
        <v>-198553.352788218</v>
      </c>
      <c r="AM72" s="84" t="n">
        <f aca="false">-AM69*AM71</f>
        <v>-213618.09479739</v>
      </c>
      <c r="AN72" s="84" t="n">
        <f aca="false">-AN69*AN71</f>
        <v>-227701.759181583</v>
      </c>
      <c r="AO72" s="84" t="n">
        <f aca="false">-AO69*AO71</f>
        <v>-240871.123714611</v>
      </c>
      <c r="AP72" s="84" t="n">
        <f aca="false">-AP69*AP71</f>
        <v>-253181.622863444</v>
      </c>
      <c r="AQ72" s="84" t="n">
        <f aca="false">-AQ69*AQ71</f>
        <v>-264695.905240451</v>
      </c>
      <c r="AR72" s="84" t="n">
        <f aca="false">-AR69*AR71</f>
        <v>-275465.194110909</v>
      </c>
      <c r="AS72" s="84" t="n">
        <f aca="false">-AS69*AS71</f>
        <v>-285529.449925456</v>
      </c>
      <c r="AT72" s="84" t="n">
        <f aca="false">-AT69*AT71</f>
        <v>-294932.10473814</v>
      </c>
      <c r="AU72" s="84" t="n">
        <f aca="false">-AU69*AU71</f>
        <v>-303738.839654721</v>
      </c>
      <c r="AV72" s="84" t="n">
        <f aca="false">-AV69*AV71</f>
        <v>-311970.415776743</v>
      </c>
      <c r="AW72" s="84" t="n">
        <f aca="false">-AW69*AW71</f>
        <v>-319658.702021273</v>
      </c>
      <c r="AX72" s="84" t="n">
        <f aca="false">-AX69*AX71</f>
        <v>-401761.928886957</v>
      </c>
      <c r="AY72" s="84" t="n">
        <f aca="false">-AY69*AY71</f>
        <v>-422714.630039219</v>
      </c>
      <c r="AZ72" s="84" t="n">
        <f aca="false">-AZ69*AZ71</f>
        <v>-442418.94169272</v>
      </c>
      <c r="BA72" s="84" t="n">
        <f aca="false">-BA69*BA71</f>
        <v>-460933.779982936</v>
      </c>
      <c r="BB72" s="84" t="n">
        <f aca="false">-BB69*BB71</f>
        <v>-478337.164792611</v>
      </c>
      <c r="BC72" s="84" t="n">
        <f aca="false">-BC69*BC71</f>
        <v>-494699.167492539</v>
      </c>
      <c r="BD72" s="84" t="n">
        <f aca="false">-BD69*BD71</f>
        <v>-510077.875766155</v>
      </c>
      <c r="BE72" s="84" t="n">
        <f aca="false">-BE69*BE71</f>
        <v>-524538.998739378</v>
      </c>
      <c r="BF72" s="84" t="n">
        <f aca="false">-BF69*BF71</f>
        <v>-538128.578263333</v>
      </c>
      <c r="BG72" s="84" t="n">
        <f aca="false">-BG69*BG71</f>
        <v>-550900.206628308</v>
      </c>
      <c r="BH72" s="84" t="n">
        <f aca="false">-BH69*BH71</f>
        <v>-562899.537404747</v>
      </c>
      <c r="BI72" s="84" t="n">
        <f aca="false">-BI69*BI71</f>
        <v>-574199.310675503</v>
      </c>
      <c r="BJ72" s="69" t="n">
        <f aca="false">SUM(B72:BI72)</f>
        <v>-10956157.8614745</v>
      </c>
    </row>
    <row r="73" customFormat="false" ht="15" hidden="false" customHeight="false" outlineLevel="0" collapsed="false">
      <c r="A73" s="12" t="s">
        <v>204</v>
      </c>
      <c r="B73" s="84" t="n">
        <f aca="false">-B66*Premissas!$B$53*INDEX(Premissas!$C$54:$G$54,B$7)</f>
        <v>-0</v>
      </c>
      <c r="C73" s="84" t="n">
        <f aca="false">-C66*Premissas!$B$53*INDEX(Premissas!$C$54:$G$54,C$7)</f>
        <v>-0</v>
      </c>
      <c r="D73" s="84" t="n">
        <f aca="false">-D66*Premissas!$B$53*INDEX(Premissas!$C$54:$G$54,D$7)</f>
        <v>-0</v>
      </c>
      <c r="E73" s="84" t="n">
        <f aca="false">-E66*Premissas!$B$53*INDEX(Premissas!$C$54:$G$54,E$7)</f>
        <v>-0</v>
      </c>
      <c r="F73" s="84" t="n">
        <f aca="false">-F66*Premissas!$B$53*INDEX(Premissas!$C$54:$G$54,F$7)</f>
        <v>-0</v>
      </c>
      <c r="G73" s="84" t="n">
        <f aca="false">-G66*Premissas!$B$53*INDEX(Premissas!$C$54:$G$54,G$7)</f>
        <v>-0</v>
      </c>
      <c r="H73" s="84" t="n">
        <f aca="false">-H66*Premissas!$B$53*INDEX(Premissas!$C$54:$G$54,H$7)</f>
        <v>-0</v>
      </c>
      <c r="I73" s="84" t="n">
        <f aca="false">-I66*Premissas!$B$53*INDEX(Premissas!$C$54:$G$54,I$7)</f>
        <v>-0</v>
      </c>
      <c r="J73" s="84" t="n">
        <f aca="false">-J66*Premissas!$B$53*INDEX(Premissas!$C$54:$G$54,J$7)</f>
        <v>-0</v>
      </c>
      <c r="K73" s="84" t="n">
        <f aca="false">-K66*Premissas!$B$53*INDEX(Premissas!$C$54:$G$54,K$7)</f>
        <v>-3102.01125</v>
      </c>
      <c r="L73" s="84" t="n">
        <f aca="false">-L66*Premissas!$B$53*INDEX(Premissas!$C$54:$G$54,L$7)</f>
        <v>-5955.0405</v>
      </c>
      <c r="M73" s="84" t="n">
        <f aca="false">-M66*Premissas!$B$53*INDEX(Premissas!$C$54:$G$54,M$7)</f>
        <v>-8587.074</v>
      </c>
      <c r="N73" s="84" t="n">
        <f aca="false">-N66*Premissas!$B$53*INDEX(Premissas!$C$54:$G$54,N$7)</f>
        <v>-13142.45922</v>
      </c>
      <c r="O73" s="84" t="n">
        <f aca="false">-O66*Premissas!$B$53*INDEX(Premissas!$C$54:$G$54,O$7)</f>
        <v>-16393.71756</v>
      </c>
      <c r="P73" s="84" t="n">
        <f aca="false">-P66*Premissas!$B$53*INDEX(Premissas!$C$54:$G$54,P$7)</f>
        <v>-19392.55824</v>
      </c>
      <c r="Q73" s="84" t="n">
        <f aca="false">-Q66*Premissas!$B$53*INDEX(Premissas!$C$54:$G$54,Q$7)</f>
        <v>-22179.02148</v>
      </c>
      <c r="R73" s="84" t="n">
        <f aca="false">-R66*Premissas!$B$53*INDEX(Premissas!$C$54:$G$54,R$7)</f>
        <v>-24743.01258</v>
      </c>
      <c r="S73" s="84" t="n">
        <f aca="false">-S66*Premissas!$B$53*INDEX(Premissas!$C$54:$G$54,S$7)</f>
        <v>-27124.60938</v>
      </c>
      <c r="T73" s="84" t="n">
        <f aca="false">-T66*Premissas!$B$53*INDEX(Premissas!$C$54:$G$54,T$7)</f>
        <v>-29323.77426</v>
      </c>
      <c r="U73" s="84" t="n">
        <f aca="false">-U66*Premissas!$B$53*INDEX(Premissas!$C$54:$G$54,U$7)</f>
        <v>-31350.47652</v>
      </c>
      <c r="V73" s="84" t="n">
        <f aca="false">-V66*Premissas!$B$53*INDEX(Premissas!$C$54:$G$54,V$7)</f>
        <v>-33237.27</v>
      </c>
      <c r="W73" s="84" t="n">
        <f aca="false">-W66*Premissas!$B$53*INDEX(Premissas!$C$54:$G$54,W$7)</f>
        <v>-34974.08508</v>
      </c>
      <c r="X73" s="84" t="n">
        <f aca="false">-X66*Premissas!$B$53*INDEX(Premissas!$C$54:$G$54,X$7)</f>
        <v>-36585.97668</v>
      </c>
      <c r="Y73" s="84" t="n">
        <f aca="false">-Y66*Premissas!$B$53*INDEX(Premissas!$C$54:$G$54,Y$7)</f>
        <v>-38085.43464</v>
      </c>
      <c r="Z73" s="84" t="n">
        <f aca="false">-Z66*Premissas!$B$53*INDEX(Premissas!$C$54:$G$54,Z$7)</f>
        <v>-49800.3286213125</v>
      </c>
      <c r="AA73" s="84" t="n">
        <f aca="false">-AA66*Premissas!$B$53*INDEX(Premissas!$C$54:$G$54,AA$7)</f>
        <v>-56105.89664625</v>
      </c>
      <c r="AB73" s="84" t="n">
        <f aca="false">-AB66*Premissas!$B$53*INDEX(Premissas!$C$54:$G$54,AB$7)</f>
        <v>-61960.8651255</v>
      </c>
      <c r="AC73" s="84" t="n">
        <f aca="false">-AC66*Premissas!$B$53*INDEX(Premissas!$C$54:$G$54,AC$7)</f>
        <v>-67409.33821875</v>
      </c>
      <c r="AD73" s="84" t="n">
        <f aca="false">-AD66*Premissas!$B$53*INDEX(Premissas!$C$54:$G$54,AD$7)</f>
        <v>-72470.8986643125</v>
      </c>
      <c r="AE73" s="84" t="n">
        <f aca="false">-AE66*Premissas!$B$53*INDEX(Premissas!$C$54:$G$54,AE$7)</f>
        <v>-77182.3040236875</v>
      </c>
      <c r="AF73" s="84" t="n">
        <f aca="false">-AF66*Premissas!$B$53*INDEX(Premissas!$C$54:$G$54,AF$7)</f>
        <v>-81565.5818061562</v>
      </c>
      <c r="AG73" s="84" t="n">
        <f aca="false">-AG66*Premissas!$B$53*INDEX(Premissas!$C$54:$G$54,AG$7)</f>
        <v>-85645.2288625312</v>
      </c>
      <c r="AH73" s="84" t="n">
        <f aca="false">-AH66*Premissas!$B$53*INDEX(Premissas!$C$54:$G$54,AH$7)</f>
        <v>-89438.3585895937</v>
      </c>
      <c r="AI73" s="84" t="n">
        <f aca="false">-AI66*Premissas!$B$53*INDEX(Premissas!$C$54:$G$54,AI$7)</f>
        <v>-92959.6518984375</v>
      </c>
      <c r="AJ73" s="84" t="n">
        <f aca="false">-AJ66*Premissas!$B$53*INDEX(Premissas!$C$54:$G$54,AJ$7)</f>
        <v>-96233.6302104375</v>
      </c>
      <c r="AK73" s="84" t="n">
        <f aca="false">-AK66*Premissas!$B$53*INDEX(Premissas!$C$54:$G$54,AK$7)</f>
        <v>-99289.692203625</v>
      </c>
      <c r="AL73" s="84" t="n">
        <f aca="false">-AL66*Premissas!$B$53*INDEX(Premissas!$C$54:$G$54,AL$7)</f>
        <v>-123801.793020759</v>
      </c>
      <c r="AM73" s="84" t="n">
        <f aca="false">-AM66*Premissas!$B$53*INDEX(Premissas!$C$54:$G$54,AM$7)</f>
        <v>-133194.970127587</v>
      </c>
      <c r="AN73" s="84" t="n">
        <f aca="false">-AN66*Premissas!$B$53*INDEX(Premissas!$C$54:$G$54,AN$7)</f>
        <v>-141976.35438081</v>
      </c>
      <c r="AO73" s="84" t="n">
        <f aca="false">-AO66*Premissas!$B$53*INDEX(Premissas!$C$54:$G$54,AO$7)</f>
        <v>-150187.701505406</v>
      </c>
      <c r="AP73" s="84" t="n">
        <f aca="false">-AP66*Premissas!$B$53*INDEX(Premissas!$C$54:$G$54,AP$7)</f>
        <v>-157863.421768244</v>
      </c>
      <c r="AQ73" s="84" t="n">
        <f aca="false">-AQ66*Premissas!$B$53*INDEX(Premissas!$C$54:$G$54,AQ$7)</f>
        <v>-165042.842949255</v>
      </c>
      <c r="AR73" s="84" t="n">
        <f aca="false">-AR66*Premissas!$B$53*INDEX(Premissas!$C$54:$G$54,AR$7)</f>
        <v>-171757.873422694</v>
      </c>
      <c r="AS73" s="84" t="n">
        <f aca="false">-AS66*Premissas!$B$53*INDEX(Premissas!$C$54:$G$54,AS$7)</f>
        <v>-178033.100753891</v>
      </c>
      <c r="AT73" s="84" t="n">
        <f aca="false">-AT66*Premissas!$B$53*INDEX(Premissas!$C$54:$G$54,AT$7)</f>
        <v>-183895.528128627</v>
      </c>
      <c r="AU73" s="84" t="n">
        <f aca="false">-AU66*Premissas!$B$53*INDEX(Premissas!$C$54:$G$54,AU$7)</f>
        <v>-189386.985219448</v>
      </c>
      <c r="AV73" s="84" t="n">
        <f aca="false">-AV66*Premissas!$B$53*INDEX(Premissas!$C$54:$G$54,AV$7)</f>
        <v>-194519.698023752</v>
      </c>
      <c r="AW73" s="84" t="n">
        <f aca="false">-AW66*Premissas!$B$53*INDEX(Premissas!$C$54:$G$54,AW$7)</f>
        <v>-199313.3365938</v>
      </c>
      <c r="AX73" s="84" t="n">
        <f aca="false">-AX66*Premissas!$B$53*INDEX(Premissas!$C$54:$G$54,AX$7)</f>
        <v>-242764.654673556</v>
      </c>
      <c r="AY73" s="84" t="n">
        <f aca="false">-AY66*Premissas!$B$53*INDEX(Premissas!$C$54:$G$54,AY$7)</f>
        <v>-255425.188194584</v>
      </c>
      <c r="AZ73" s="84" t="n">
        <f aca="false">-AZ66*Premissas!$B$53*INDEX(Premissas!$C$54:$G$54,AZ$7)</f>
        <v>-267331.730365032</v>
      </c>
      <c r="BA73" s="84" t="n">
        <f aca="false">-BA66*Premissas!$B$53*INDEX(Premissas!$C$54:$G$54,BA$7)</f>
        <v>-278519.241060195</v>
      </c>
      <c r="BB73" s="84" t="n">
        <f aca="false">-BB66*Premissas!$B$53*INDEX(Premissas!$C$54:$G$54,BB$7)</f>
        <v>-289035.138993451</v>
      </c>
      <c r="BC73" s="84" t="n">
        <f aca="false">-BC66*Premissas!$B$53*INDEX(Premissas!$C$54:$G$54,BC$7)</f>
        <v>-298921.896907279</v>
      </c>
      <c r="BD73" s="84" t="n">
        <f aca="false">-BD66*Premissas!$B$53*INDEX(Premissas!$C$54:$G$54,BD$7)</f>
        <v>-308214.437112638</v>
      </c>
      <c r="BE73" s="84" t="n">
        <f aca="false">-BE66*Premissas!$B$53*INDEX(Premissas!$C$54:$G$54,BE$7)</f>
        <v>-316952.728062947</v>
      </c>
      <c r="BF73" s="84" t="n">
        <f aca="false">-BF66*Premissas!$B$53*INDEX(Premissas!$C$54:$G$54,BF$7)</f>
        <v>-325164.229287765</v>
      </c>
      <c r="BG73" s="84" t="n">
        <f aca="false">-BG66*Premissas!$B$53*INDEX(Premissas!$C$54:$G$54,BG$7)</f>
        <v>-332881.383851879</v>
      </c>
      <c r="BH73" s="84" t="n">
        <f aca="false">-BH66*Premissas!$B$53*INDEX(Premissas!$C$54:$G$54,BH$7)</f>
        <v>-340131.651284847</v>
      </c>
      <c r="BI73" s="84" t="n">
        <f aca="false">-BI66*Premissas!$B$53*INDEX(Premissas!$C$54:$G$54,BI$7)</f>
        <v>-346960.021139656</v>
      </c>
      <c r="BJ73" s="69" t="n">
        <f aca="false">SUM(B73:BI73)</f>
        <v>-6865514.2030887</v>
      </c>
    </row>
    <row r="74" customFormat="false" ht="15" hidden="false" customHeight="false" outlineLevel="0" collapsed="false">
      <c r="A74" s="12" t="s">
        <v>206</v>
      </c>
      <c r="B74" s="84" t="n">
        <f aca="false">-(B66*(1-INDEX(Premissas!$C$54:$G$54,B$7))+B67)*Premissas!$B$55</f>
        <v>-0</v>
      </c>
      <c r="C74" s="84" t="n">
        <f aca="false">-(C66*(1-INDEX(Premissas!$C$54:$G$54,C$7))+C67)*Premissas!$B$55</f>
        <v>-0</v>
      </c>
      <c r="D74" s="84" t="n">
        <f aca="false">-(D66*(1-INDEX(Premissas!$C$54:$G$54,D$7))+D67)*Premissas!$B$55</f>
        <v>-0</v>
      </c>
      <c r="E74" s="84" t="n">
        <f aca="false">-(E66*(1-INDEX(Premissas!$C$54:$G$54,E$7))+E67)*Premissas!$B$55</f>
        <v>-0</v>
      </c>
      <c r="F74" s="84" t="n">
        <f aca="false">-(F66*(1-INDEX(Premissas!$C$54:$G$54,F$7))+F67)*Premissas!$B$55</f>
        <v>-0</v>
      </c>
      <c r="G74" s="84" t="n">
        <f aca="false">-(G66*(1-INDEX(Premissas!$C$54:$G$54,G$7))+G67)*Premissas!$B$55</f>
        <v>-0</v>
      </c>
      <c r="H74" s="84" t="n">
        <f aca="false">-(H66*(1-INDEX(Premissas!$C$54:$G$54,H$7))+H67)*Premissas!$B$55</f>
        <v>-0</v>
      </c>
      <c r="I74" s="84" t="n">
        <f aca="false">-(I66*(1-INDEX(Premissas!$C$54:$G$54,I$7))+I67)*Premissas!$B$55</f>
        <v>-0</v>
      </c>
      <c r="J74" s="84" t="n">
        <f aca="false">-(J66*(1-INDEX(Premissas!$C$54:$G$54,J$7))+J67)*Premissas!$B$55</f>
        <v>-0</v>
      </c>
      <c r="K74" s="84" t="n">
        <f aca="false">-(K66*(1-INDEX(Premissas!$C$54:$G$54,K$7))+K67)*Premissas!$B$55</f>
        <v>-164.224125</v>
      </c>
      <c r="L74" s="84" t="n">
        <f aca="false">-(L66*(1-INDEX(Premissas!$C$54:$G$54,L$7))+L67)*Premissas!$B$55</f>
        <v>-315.26685</v>
      </c>
      <c r="M74" s="84" t="n">
        <f aca="false">-(M66*(1-INDEX(Premissas!$C$54:$G$54,M$7))+M67)*Premissas!$B$55</f>
        <v>-454.6098</v>
      </c>
      <c r="N74" s="84" t="n">
        <f aca="false">-(N66*(1-INDEX(Premissas!$C$54:$G$54,N$7))+N67)*Premissas!$B$55</f>
        <v>-1147.08205935</v>
      </c>
      <c r="O74" s="84" t="n">
        <f aca="false">-(O66*(1-INDEX(Premissas!$C$54:$G$54,O$7))+O67)*Premissas!$B$55</f>
        <v>-1430.79661351125</v>
      </c>
      <c r="P74" s="84" t="n">
        <f aca="false">-(P66*(1-INDEX(Premissas!$C$54:$G$54,P$7))+P67)*Premissas!$B$55</f>
        <v>-1692.58957977291</v>
      </c>
      <c r="Q74" s="84" t="n">
        <f aca="false">-(Q66*(1-INDEX(Premissas!$C$54:$G$54,Q$7))+Q67)*Premissas!$B$55</f>
        <v>-1935.68824438994</v>
      </c>
      <c r="R74" s="84" t="n">
        <f aca="false">-(R66*(1-INDEX(Premissas!$C$54:$G$54,R$7))+R67)*Premissas!$B$55</f>
        <v>-2159.54295438569</v>
      </c>
      <c r="S74" s="84" t="n">
        <f aca="false">-(S66*(1-INDEX(Premissas!$C$54:$G$54,S$7))+S67)*Premissas!$B$55</f>
        <v>-2367.35143856927</v>
      </c>
      <c r="T74" s="84" t="n">
        <f aca="false">-(T66*(1-INDEX(Premissas!$C$54:$G$54,T$7))+T67)*Premissas!$B$55</f>
        <v>-2559.28837443907</v>
      </c>
      <c r="U74" s="84" t="n">
        <f aca="false">-(U66*(1-INDEX(Premissas!$C$54:$G$54,U$7))+U67)*Premissas!$B$55</f>
        <v>-2736.26564606864</v>
      </c>
      <c r="V74" s="84" t="n">
        <f aca="false">-(V66*(1-INDEX(Premissas!$C$54:$G$54,V$7))+V67)*Premissas!$B$55</f>
        <v>-2900.87666403849</v>
      </c>
      <c r="W74" s="84" t="n">
        <f aca="false">-(W66*(1-INDEX(Premissas!$C$54:$G$54,W$7))+W67)*Premissas!$B$55</f>
        <v>-3052.50668898561</v>
      </c>
      <c r="X74" s="84" t="n">
        <f aca="false">-(X66*(1-INDEX(Premissas!$C$54:$G$54,X$7))+X67)*Premissas!$B$55</f>
        <v>-3193.16478588668</v>
      </c>
      <c r="Y74" s="84" t="n">
        <f aca="false">-(Y66*(1-INDEX(Premissas!$C$54:$G$54,Y$7))+Y67)*Premissas!$B$55</f>
        <v>-3323.90789277018</v>
      </c>
      <c r="Z74" s="84" t="n">
        <f aca="false">-(Z66*(1-INDEX(Premissas!$C$54:$G$54,Z$7))+Z67)*Premissas!$B$55</f>
        <v>-5881.84581902503</v>
      </c>
      <c r="AA74" s="84" t="n">
        <f aca="false">-(AA66*(1-INDEX(Premissas!$C$54:$G$54,AA$7))+AA67)*Premissas!$B$55</f>
        <v>-6626.46321453622</v>
      </c>
      <c r="AB74" s="84" t="n">
        <f aca="false">-(AB66*(1-INDEX(Premissas!$C$54:$G$54,AB$7))+AB67)*Premissas!$B$55</f>
        <v>-7318.03641396743</v>
      </c>
      <c r="AC74" s="84" t="n">
        <f aca="false">-(AC66*(1-INDEX(Premissas!$C$54:$G$54,AC$7))+AC67)*Premissas!$B$55</f>
        <v>-7961.53473019321</v>
      </c>
      <c r="AD74" s="84" t="n">
        <f aca="false">-(AD66*(1-INDEX(Premissas!$C$54:$G$54,AD$7))+AD67)*Premissas!$B$55</f>
        <v>-8559.43621116719</v>
      </c>
      <c r="AE74" s="84" t="n">
        <f aca="false">-(AE66*(1-INDEX(Premissas!$C$54:$G$54,AE$7))+AE67)*Premissas!$B$55</f>
        <v>-9115.90000297317</v>
      </c>
      <c r="AF74" s="84" t="n">
        <f aca="false">-(AF66*(1-INDEX(Premissas!$C$54:$G$54,AF$7))+AF67)*Premissas!$B$55</f>
        <v>-9633.57840917774</v>
      </c>
      <c r="AG74" s="84" t="n">
        <f aca="false">-(AG66*(1-INDEX(Premissas!$C$54:$G$54,AG$7))+AG67)*Premissas!$B$55</f>
        <v>-10115.3391988159</v>
      </c>
      <c r="AH74" s="84" t="n">
        <f aca="false">-(AH66*(1-INDEX(Premissas!$C$54:$G$54,AH$7))+AH67)*Premissas!$B$55</f>
        <v>-10563.2825296427</v>
      </c>
      <c r="AI74" s="84" t="n">
        <f aca="false">-(AI66*(1-INDEX(Premissas!$C$54:$G$54,AI$7))+AI67)*Premissas!$B$55</f>
        <v>-10979.2380935793</v>
      </c>
      <c r="AJ74" s="84" t="n">
        <f aca="false">-(AJ66*(1-INDEX(Premissas!$C$54:$G$54,AJ$7))+AJ67)*Premissas!$B$55</f>
        <v>-11365.9943215178</v>
      </c>
      <c r="AK74" s="84" t="n">
        <f aca="false">-(AK66*(1-INDEX(Premissas!$C$54:$G$54,AK$7))+AK67)*Premissas!$B$55</f>
        <v>-11726.8038298034</v>
      </c>
      <c r="AL74" s="84" t="n">
        <f aca="false">-(AL66*(1-INDEX(Premissas!$C$54:$G$54,AL$7))+AL67)*Premissas!$B$55</f>
        <v>-17574.1030948121</v>
      </c>
      <c r="AM74" s="84" t="n">
        <f aca="false">-(AM66*(1-INDEX(Premissas!$C$54:$G$54,AM$7))+AM67)*Premissas!$B$55</f>
        <v>-18907.4873198534</v>
      </c>
      <c r="AN74" s="84" t="n">
        <f aca="false">-(AN66*(1-INDEX(Premissas!$C$54:$G$54,AN$7))+AN67)*Premissas!$B$55</f>
        <v>-20154.0573304064</v>
      </c>
      <c r="AO74" s="84" t="n">
        <f aca="false">-(AO66*(1-INDEX(Premissas!$C$54:$G$54,AO$7))+AO67)*Premissas!$B$55</f>
        <v>-21319.6881225207</v>
      </c>
      <c r="AP74" s="84" t="n">
        <f aca="false">-(AP66*(1-INDEX(Premissas!$C$54:$G$54,AP$7))+AP67)*Premissas!$B$55</f>
        <v>-22409.3324949706</v>
      </c>
      <c r="AQ74" s="84" t="n">
        <f aca="false">-(AQ66*(1-INDEX(Premissas!$C$54:$G$54,AQ$7))+AQ67)*Premissas!$B$55</f>
        <v>-23428.4559689913</v>
      </c>
      <c r="AR74" s="84" t="n">
        <f aca="false">-(AR66*(1-INDEX(Premissas!$C$54:$G$54,AR$7))+AR67)*Premissas!$B$55</f>
        <v>-24381.6014452733</v>
      </c>
      <c r="AS74" s="84" t="n">
        <f aca="false">-(AS66*(1-INDEX(Premissas!$C$54:$G$54,AS$7))+AS67)*Premissas!$B$55</f>
        <v>-25272.4044134256</v>
      </c>
      <c r="AT74" s="84" t="n">
        <f aca="false">-(AT66*(1-INDEX(Premissas!$C$54:$G$54,AT$7))+AT67)*Premissas!$B$55</f>
        <v>-26104.7323343225</v>
      </c>
      <c r="AU74" s="84" t="n">
        <f aca="false">-(AU66*(1-INDEX(Premissas!$C$54:$G$54,AU$7))+AU67)*Premissas!$B$55</f>
        <v>-26884.1358148294</v>
      </c>
      <c r="AV74" s="84" t="n">
        <f aca="false">-(AV66*(1-INDEX(Premissas!$C$54:$G$54,AV$7))+AV67)*Premissas!$B$55</f>
        <v>-27612.668118615</v>
      </c>
      <c r="AW74" s="84" t="n">
        <f aca="false">-(AW66*(1-INDEX(Premissas!$C$54:$G$54,AW$7))+AW67)*Premissas!$B$55</f>
        <v>-28293.2102340908</v>
      </c>
      <c r="AX74" s="84" t="n">
        <f aca="false">-(AX66*(1-INDEX(Premissas!$C$54:$G$54,AX$7))+AX67)*Premissas!$B$55</f>
        <v>-37882.7089250186</v>
      </c>
      <c r="AY74" s="84" t="n">
        <f aca="false">-(AY66*(1-INDEX(Premissas!$C$54:$G$54,AY$7))+AY67)*Premissas!$B$55</f>
        <v>-39858.4101782742</v>
      </c>
      <c r="AZ74" s="84" t="n">
        <f aca="false">-(AZ66*(1-INDEX(Premissas!$C$54:$G$54,AZ$7))+AZ67)*Premissas!$B$55</f>
        <v>-41716.2945841364</v>
      </c>
      <c r="BA74" s="84" t="n">
        <f aca="false">-(BA66*(1-INDEX(Premissas!$C$54:$G$54,BA$7))+BA67)*Premissas!$B$55</f>
        <v>-43462.1094898538</v>
      </c>
      <c r="BB74" s="84" t="n">
        <f aca="false">-(BB66*(1-INDEX(Premissas!$C$54:$G$54,BB$7))+BB67)*Premissas!$B$55</f>
        <v>-45103.128942917</v>
      </c>
      <c r="BC74" s="84" t="n">
        <f aca="false">-(BC66*(1-INDEX(Premissas!$C$54:$G$54,BC$7))+BC67)*Premissas!$B$55</f>
        <v>-46645.9204389264</v>
      </c>
      <c r="BD74" s="84" t="n">
        <f aca="false">-(BD66*(1-INDEX(Premissas!$C$54:$G$54,BD$7))+BD67)*Premissas!$B$55</f>
        <v>-48096.0143008503</v>
      </c>
      <c r="BE74" s="84" t="n">
        <f aca="false">-(BE66*(1-INDEX(Premissas!$C$54:$G$54,BE$7))+BE67)*Premissas!$B$55</f>
        <v>-49459.527222708</v>
      </c>
      <c r="BF74" s="84" t="n">
        <f aca="false">-(BF66*(1-INDEX(Premissas!$C$54:$G$54,BF$7))+BF67)*Premissas!$B$55</f>
        <v>-50740.9089347362</v>
      </c>
      <c r="BG74" s="84" t="n">
        <f aca="false">-(BG66*(1-INDEX(Premissas!$C$54:$G$54,BG$7))+BG67)*Premissas!$B$55</f>
        <v>-51945.194754258</v>
      </c>
      <c r="BH74" s="84" t="n">
        <f aca="false">-(BH66*(1-INDEX(Premissas!$C$54:$G$54,BH$7))+BH67)*Premissas!$B$55</f>
        <v>-53076.7274143843</v>
      </c>
      <c r="BI74" s="84" t="n">
        <f aca="false">-(BI66*(1-INDEX(Premissas!$C$54:$G$54,BI$7))+BI67)*Premissas!$B$55</f>
        <v>-54142.0547750513</v>
      </c>
      <c r="BJ74" s="69" t="n">
        <f aca="false">SUM(B74:BI74)</f>
        <v>-983751.491144792</v>
      </c>
    </row>
    <row r="75" customFormat="false" ht="15" hidden="false" customHeight="false" outlineLevel="0" collapsed="false">
      <c r="A75" s="34" t="s">
        <v>300</v>
      </c>
      <c r="B75" s="69" t="n">
        <f aca="false">B69+SUM(B72:B74)</f>
        <v>0</v>
      </c>
      <c r="C75" s="69" t="n">
        <f aca="false">C69+SUM(C72:C74)</f>
        <v>0</v>
      </c>
      <c r="D75" s="69" t="n">
        <f aca="false">D69+SUM(D72:D74)</f>
        <v>0</v>
      </c>
      <c r="E75" s="69" t="n">
        <f aca="false">E69+SUM(E72:E74)</f>
        <v>0</v>
      </c>
      <c r="F75" s="69" t="n">
        <f aca="false">F69+SUM(F72:F74)</f>
        <v>0</v>
      </c>
      <c r="G75" s="69" t="n">
        <f aca="false">G69+SUM(G72:G74)</f>
        <v>0</v>
      </c>
      <c r="H75" s="69" t="n">
        <f aca="false">H69+SUM(H72:H74)</f>
        <v>0</v>
      </c>
      <c r="I75" s="69" t="n">
        <f aca="false">I69+SUM(I72:I74)</f>
        <v>0</v>
      </c>
      <c r="J75" s="69" t="n">
        <f aca="false">J69+SUM(J72:J74)</f>
        <v>0</v>
      </c>
      <c r="K75" s="69" t="n">
        <f aca="false">K69+SUM(K72:K74)</f>
        <v>19603.494625</v>
      </c>
      <c r="L75" s="69" t="n">
        <f aca="false">L69+SUM(L72:L74)</f>
        <v>37633.52065</v>
      </c>
      <c r="M75" s="69" t="n">
        <f aca="false">M69+SUM(M72:M74)</f>
        <v>54266.9402</v>
      </c>
      <c r="N75" s="69" t="n">
        <f aca="false">N69+SUM(N72:N74)</f>
        <v>92031.13951685</v>
      </c>
      <c r="O75" s="69" t="n">
        <f aca="false">O69+SUM(O72:O74)</f>
        <v>112711.628759875</v>
      </c>
      <c r="P75" s="69" t="n">
        <f aca="false">P69+SUM(P72:P74)</f>
        <v>130779.878250962</v>
      </c>
      <c r="Q75" s="69" t="n">
        <f aca="false">Q69+SUM(Q72:Q74)</f>
        <v>147010.749599806</v>
      </c>
      <c r="R75" s="69" t="n">
        <f aca="false">R69+SUM(R72:R74)</f>
        <v>162084.1055623</v>
      </c>
      <c r="S75" s="69" t="n">
        <f aca="false">S69+SUM(S72:S74)</f>
        <v>175233.175028744</v>
      </c>
      <c r="T75" s="69" t="n">
        <f aca="false">T69+SUM(T72:T74)</f>
        <v>187619.152830538</v>
      </c>
      <c r="U75" s="69" t="n">
        <f aca="false">U69+SUM(U72:U74)</f>
        <v>199188.732758641</v>
      </c>
      <c r="V75" s="69" t="n">
        <f aca="false">V69+SUM(V72:V74)</f>
        <v>210071.164157819</v>
      </c>
      <c r="W75" s="69" t="n">
        <f aca="false">W69+SUM(W72:W74)</f>
        <v>218620.441150402</v>
      </c>
      <c r="X75" s="69" t="n">
        <f aca="false">X69+SUM(X72:X74)</f>
        <v>226303.241404571</v>
      </c>
      <c r="Y75" s="69" t="n">
        <f aca="false">Y69+SUM(Y72:Y74)</f>
        <v>233677.705853202</v>
      </c>
      <c r="Z75" s="69" t="n">
        <f aca="false">Z69+SUM(Z72:Z74)</f>
        <v>330545.756403955</v>
      </c>
      <c r="AA75" s="69" t="n">
        <f aca="false">AA69+SUM(AA72:AA74)</f>
        <v>369817.652196752</v>
      </c>
      <c r="AB75" s="69" t="n">
        <f aca="false">AB69+SUM(AB72:AB74)</f>
        <v>405952.797730883</v>
      </c>
      <c r="AC75" s="69" t="n">
        <f aca="false">AC69+SUM(AC72:AC74)</f>
        <v>447041.666402007</v>
      </c>
      <c r="AD75" s="69" t="n">
        <f aca="false">AD69+SUM(AD72:AD74)</f>
        <v>469635.770855085</v>
      </c>
      <c r="AE75" s="69" t="n">
        <f aca="false">AE69+SUM(AE72:AE74)</f>
        <v>513719.655206083</v>
      </c>
      <c r="AF75" s="69" t="n">
        <f aca="false">AF69+SUM(AF72:AF74)</f>
        <v>542893.98965405</v>
      </c>
      <c r="AG75" s="69" t="n">
        <f aca="false">AG69+SUM(AG72:AG74)</f>
        <v>570046.392037169</v>
      </c>
      <c r="AH75" s="69" t="n">
        <f aca="false">AH69+SUM(AH72:AH74)</f>
        <v>595292.156261342</v>
      </c>
      <c r="AI75" s="69" t="n">
        <f aca="false">AI69+SUM(AI72:AI74)</f>
        <v>618730.681917418</v>
      </c>
      <c r="AJ75" s="69" t="n">
        <f aca="false">AJ69+SUM(AJ72:AJ74)</f>
        <v>640523.285866619</v>
      </c>
      <c r="AK75" s="69" t="n">
        <f aca="false">AK69+SUM(AK72:AK74)</f>
        <v>660861.779620536</v>
      </c>
      <c r="AL75" s="69" t="n">
        <f aca="false">AL69+SUM(AL72:AL74)</f>
        <v>875951.66223043</v>
      </c>
      <c r="AM75" s="69" t="n">
        <f aca="false">AM69+SUM(AM72:AM74)</f>
        <v>942412.300158049</v>
      </c>
      <c r="AN75" s="69" t="n">
        <f aca="false">AN69+SUM(AN72:AN74)</f>
        <v>1004544.7989883</v>
      </c>
      <c r="AO75" s="69" t="n">
        <f aca="false">AO69+SUM(AO72:AO74)</f>
        <v>1062643.67719396</v>
      </c>
      <c r="AP75" s="69" t="n">
        <f aca="false">AP69+SUM(AP72:AP74)</f>
        <v>1116953.60121654</v>
      </c>
      <c r="AQ75" s="69" t="n">
        <f aca="false">AQ69+SUM(AQ72:AQ74)</f>
        <v>1167750.77036948</v>
      </c>
      <c r="AR75" s="69" t="n">
        <f aca="false">AR69+SUM(AR72:AR74)</f>
        <v>1215261.18595627</v>
      </c>
      <c r="AS75" s="69" t="n">
        <f aca="false">AS69+SUM(AS72:AS74)</f>
        <v>1259661.37023151</v>
      </c>
      <c r="AT75" s="69" t="n">
        <f aca="false">AT69+SUM(AT72:AT74)</f>
        <v>1301142.98530803</v>
      </c>
      <c r="AU75" s="69" t="n">
        <f aca="false">AU69+SUM(AU72:AU74)</f>
        <v>1339995.18110353</v>
      </c>
      <c r="AV75" s="69" t="n">
        <f aca="false">AV69+SUM(AV72:AV74)</f>
        <v>1376310.05198624</v>
      </c>
      <c r="AW75" s="69" t="n">
        <f aca="false">AW69+SUM(AW72:AW74)</f>
        <v>1410228.33364485</v>
      </c>
      <c r="AX75" s="69" t="n">
        <f aca="false">AX69+SUM(AX72:AX74)</f>
        <v>1777859.71478303</v>
      </c>
      <c r="AY75" s="69" t="n">
        <f aca="false">AY69+SUM(AY72:AY74)</f>
        <v>1870578.80795791</v>
      </c>
      <c r="AZ75" s="69" t="n">
        <f aca="false">AZ69+SUM(AZ72:AZ74)</f>
        <v>1957773.33766136</v>
      </c>
      <c r="BA75" s="69" t="n">
        <f aca="false">BA69+SUM(BA72:BA74)</f>
        <v>2039704.4651984</v>
      </c>
      <c r="BB75" s="69" t="n">
        <f aca="false">BB69+SUM(BB72:BB74)</f>
        <v>2116717.24818107</v>
      </c>
      <c r="BC75" s="69" t="n">
        <f aca="false">BC69+SUM(BC72:BC74)</f>
        <v>2189121.6709637</v>
      </c>
      <c r="BD75" s="69" t="n">
        <f aca="false">BD69+SUM(BD72:BD74)</f>
        <v>2257174.90470128</v>
      </c>
      <c r="BE75" s="69" t="n">
        <f aca="false">BE69+SUM(BE72:BE74)</f>
        <v>2321167.53801035</v>
      </c>
      <c r="BF75" s="69" t="n">
        <f aca="false">BF69+SUM(BF72:BF74)</f>
        <v>2381303.56620451</v>
      </c>
      <c r="BG75" s="69" t="n">
        <f aca="false">BG69+SUM(BG72:BG74)</f>
        <v>2437820.10165048</v>
      </c>
      <c r="BH75" s="69" t="n">
        <f aca="false">BH69+SUM(BH72:BH74)</f>
        <v>2490919.25722576</v>
      </c>
      <c r="BI75" s="69" t="n">
        <f aca="false">BI69+SUM(BI72:BI74)</f>
        <v>2540922.19378641</v>
      </c>
      <c r="BJ75" s="69" t="n">
        <f aca="false">SUM(B75:BI75)</f>
        <v>48825815.3792121</v>
      </c>
    </row>
    <row r="76" customFormat="false" ht="15" hidden="false" customHeight="false" outlineLevel="0" collapsed="false">
      <c r="A76" s="12" t="s">
        <v>209</v>
      </c>
      <c r="B76" s="84" t="n">
        <f aca="false">-(B59*INDEX(Premissas!$C$64:$G$64,B$7)+(B57-B59)*INDEX(Premissas!$C$65:$G$65,B$7)+IF(B$4&gt;=Premissas!$B$62,INDEX(Premissas!$C$63:$G$63,B$7),0))</f>
        <v>-0</v>
      </c>
      <c r="C76" s="84" t="n">
        <f aca="false">-(C59*INDEX(Premissas!$C$64:$G$64,C$7)+(C57-C59)*INDEX(Premissas!$C$65:$G$65,C$7)+IF(C$4&gt;=Premissas!$B$62,INDEX(Premissas!$C$63:$G$63,C$7),0))</f>
        <v>-0</v>
      </c>
      <c r="D76" s="84" t="n">
        <f aca="false">-(D59*INDEX(Premissas!$C$64:$G$64,D$7)+(D57-D59)*INDEX(Premissas!$C$65:$G$65,D$7)+IF(D$4&gt;=Premissas!$B$62,INDEX(Premissas!$C$63:$G$63,D$7),0))</f>
        <v>-0</v>
      </c>
      <c r="E76" s="84" t="n">
        <f aca="false">-(E59*INDEX(Premissas!$C$64:$G$64,E$7)+(E57-E59)*INDEX(Premissas!$C$65:$G$65,E$7)+IF(E$4&gt;=Premissas!$B$62,INDEX(Premissas!$C$63:$G$63,E$7),0))</f>
        <v>-0</v>
      </c>
      <c r="F76" s="84" t="n">
        <f aca="false">-(F59*INDEX(Premissas!$C$64:$G$64,F$7)+(F57-F59)*INDEX(Premissas!$C$65:$G$65,F$7)+IF(F$4&gt;=Premissas!$B$62,INDEX(Premissas!$C$63:$G$63,F$7),0))</f>
        <v>-600</v>
      </c>
      <c r="G76" s="84" t="n">
        <f aca="false">-(G59*INDEX(Premissas!$C$64:$G$64,G$7)+(G57-G59)*INDEX(Premissas!$C$65:$G$65,G$7)+IF(G$4&gt;=Premissas!$B$62,INDEX(Premissas!$C$63:$G$63,G$7),0))</f>
        <v>-600</v>
      </c>
      <c r="H76" s="84" t="n">
        <f aca="false">-(H59*INDEX(Premissas!$C$64:$G$64,H$7)+(H57-H59)*INDEX(Premissas!$C$65:$G$65,H$7)+IF(H$4&gt;=Premissas!$B$62,INDEX(Premissas!$C$63:$G$63,H$7),0))</f>
        <v>-600</v>
      </c>
      <c r="I76" s="84" t="n">
        <f aca="false">-(I59*INDEX(Premissas!$C$64:$G$64,I$7)+(I57-I59)*INDEX(Premissas!$C$65:$G$65,I$7)+IF(I$4&gt;=Premissas!$B$62,INDEX(Premissas!$C$63:$G$63,I$7),0))</f>
        <v>-600</v>
      </c>
      <c r="J76" s="84" t="n">
        <f aca="false">-(J59*INDEX(Premissas!$C$64:$G$64,J$7)+(J57-J59)*INDEX(Premissas!$C$65:$G$65,J$7)+IF(J$4&gt;=Premissas!$B$62,INDEX(Premissas!$C$63:$G$63,J$7),0))</f>
        <v>-600</v>
      </c>
      <c r="K76" s="84" t="n">
        <f aca="false">-(K59*INDEX(Premissas!$C$64:$G$64,K$7)+(K57-K59)*INDEX(Premissas!$C$65:$G$65,K$7)+IF(K$4&gt;=Premissas!$B$62,INDEX(Premissas!$C$63:$G$63,K$7),0))</f>
        <v>-2301.4</v>
      </c>
      <c r="L76" s="84" t="n">
        <f aca="false">-(L59*INDEX(Premissas!$C$64:$G$64,L$7)+(L57-L59)*INDEX(Premissas!$C$65:$G$65,L$7)+IF(L$4&gt;=Premissas!$B$62,INDEX(Premissas!$C$63:$G$63,L$7),0))</f>
        <v>-3867.28</v>
      </c>
      <c r="M76" s="84" t="n">
        <f aca="false">-(M59*INDEX(Premissas!$C$64:$G$64,M$7)+(M57-M59)*INDEX(Premissas!$C$65:$G$65,M$7)+IF(M$4&gt;=Premissas!$B$62,INDEX(Premissas!$C$63:$G$63,M$7),0))</f>
        <v>-5307.3568</v>
      </c>
      <c r="N76" s="84" t="n">
        <f aca="false">-(N59*INDEX(Premissas!$C$64:$G$64,N$7)+(N57-N59)*INDEX(Premissas!$C$65:$G$65,N$7)+IF(N$4&gt;=Premissas!$B$62,INDEX(Premissas!$C$63:$G$63,N$7),0))</f>
        <v>-8863.13904</v>
      </c>
      <c r="O76" s="84" t="n">
        <f aca="false">-(O59*INDEX(Premissas!$C$64:$G$64,O$7)+(O57-O59)*INDEX(Premissas!$C$65:$G$65,O$7)+IF(O$4&gt;=Premissas!$B$62,INDEX(Premissas!$C$63:$G$63,O$7),0))</f>
        <v>-10436.234362</v>
      </c>
      <c r="P76" s="84" t="n">
        <f aca="false">-(P59*INDEX(Premissas!$C$64:$G$64,P$7)+(P57-P59)*INDEX(Premissas!$C$65:$G$65,P$7)+IF(P$4&gt;=Premissas!$B$62,INDEX(Premissas!$C$63:$G$63,P$7),0))</f>
        <v>-11889.58528485</v>
      </c>
      <c r="Q76" s="84" t="n">
        <f aca="false">-(Q59*INDEX(Premissas!$C$64:$G$64,Q$7)+(Q57-Q59)*INDEX(Premissas!$C$65:$G$65,Q$7)+IF(Q$4&gt;=Premissas!$B$62,INDEX(Premissas!$C$63:$G$63,Q$7),0))</f>
        <v>-13234.4003884863</v>
      </c>
      <c r="R76" s="84" t="n">
        <f aca="false">-(R59*INDEX(Premissas!$C$64:$G$64,R$7)+(R57-R59)*INDEX(Premissas!$C$65:$G$65,R$7)+IF(R$4&gt;=Premissas!$B$62,INDEX(Premissas!$C$63:$G$63,R$7),0))</f>
        <v>-14479.0858593498</v>
      </c>
      <c r="S76" s="84" t="n">
        <f aca="false">-(S59*INDEX(Premissas!$C$64:$G$64,S$7)+(S57-S59)*INDEX(Premissas!$C$65:$G$65,S$7)+IF(S$4&gt;=Premissas!$B$62,INDEX(Premissas!$C$63:$G$63,S$7),0))</f>
        <v>-15630.5861698986</v>
      </c>
      <c r="T76" s="84" t="n">
        <f aca="false">-(T59*INDEX(Premissas!$C$64:$G$64,T$7)+(T57-T59)*INDEX(Premissas!$C$65:$G$65,T$7)+IF(T$4&gt;=Premissas!$B$62,INDEX(Premissas!$C$63:$G$63,T$7),0))</f>
        <v>-16694.3939571562</v>
      </c>
      <c r="U76" s="84" t="n">
        <f aca="false">-(U59*INDEX(Premissas!$C$64:$G$64,U$7)+(U57-U59)*INDEX(Premissas!$C$65:$G$65,U$7)+IF(U$4&gt;=Premissas!$B$62,INDEX(Premissas!$C$63:$G$63,U$7),0))</f>
        <v>-17678.5491603694</v>
      </c>
      <c r="V76" s="84" t="n">
        <f aca="false">-(V59*INDEX(Premissas!$C$64:$G$64,V$7)+(V57-V59)*INDEX(Premissas!$C$65:$G$65,V$7)+IF(V$4&gt;=Premissas!$B$62,INDEX(Premissas!$C$63:$G$63,V$7),0))</f>
        <v>-18589.6574733417</v>
      </c>
      <c r="W76" s="84" t="n">
        <f aca="false">-(W59*INDEX(Premissas!$C$64:$G$64,W$7)+(W57-W59)*INDEX(Premissas!$C$65:$G$65,W$7)+IF(W$4&gt;=Premissas!$B$62,INDEX(Premissas!$C$63:$G$63,W$7),0))</f>
        <v>-19432.8981628411</v>
      </c>
      <c r="X76" s="84" t="n">
        <f aca="false">-(X59*INDEX(Premissas!$C$64:$G$64,X$7)+(X57-X59)*INDEX(Premissas!$C$65:$G$65,X$7)+IF(X$4&gt;=Premissas!$B$62,INDEX(Premissas!$C$63:$G$63,X$7),0))</f>
        <v>-20212.031300628</v>
      </c>
      <c r="Y76" s="84" t="n">
        <f aca="false">-(Y59*INDEX(Premissas!$C$64:$G$64,Y$7)+(Y57-Y59)*INDEX(Premissas!$C$65:$G$65,Y$7)+IF(Y$4&gt;=Premissas!$B$62,INDEX(Premissas!$C$63:$G$63,Y$7),0))</f>
        <v>-20933.3944530809</v>
      </c>
      <c r="Z76" s="84" t="n">
        <f aca="false">-(Z59*INDEX(Premissas!$C$64:$G$64,Z$7)+(Z57-Z59)*INDEX(Premissas!$C$65:$G$65,Z$7)+IF(Z$4&gt;=Premissas!$B$62,INDEX(Premissas!$C$63:$G$63,Z$7),0))</f>
        <v>-27678.5175172287</v>
      </c>
      <c r="AA76" s="84" t="n">
        <f aca="false">-(AA59*INDEX(Premissas!$C$64:$G$64,AA$7)+(AA57-AA59)*INDEX(Premissas!$C$65:$G$65,AA$7)+IF(AA$4&gt;=Premissas!$B$62,INDEX(Premissas!$C$63:$G$63,AA$7),0))</f>
        <v>-30167.3533710227</v>
      </c>
      <c r="AB76" s="84" t="n">
        <f aca="false">-(AB59*INDEX(Premissas!$C$64:$G$64,AB$7)+(AB57-AB59)*INDEX(Premissas!$C$65:$G$65,AB$7)+IF(AB$4&gt;=Premissas!$B$62,INDEX(Premissas!$C$63:$G$63,AB$7),0))</f>
        <v>-32481.5858350511</v>
      </c>
      <c r="AC76" s="84" t="n">
        <f aca="false">-(AC59*INDEX(Premissas!$C$64:$G$64,AC$7)+(AC57-AC59)*INDEX(Premissas!$C$65:$G$65,AC$7)+IF(AC$4&gt;=Premissas!$B$62,INDEX(Premissas!$C$63:$G$63,AC$7),0))</f>
        <v>-34635.0898665976</v>
      </c>
      <c r="AD76" s="84" t="n">
        <f aca="false">-(AD59*INDEX(Premissas!$C$64:$G$64,AD$7)+(AD57-AD59)*INDEX(Premissas!$C$65:$G$65,AD$7)+IF(AD$4&gt;=Premissas!$B$62,INDEX(Premissas!$C$63:$G$63,AD$7),0))</f>
        <v>-36637.0335759357</v>
      </c>
      <c r="AE76" s="84" t="n">
        <f aca="false">-(AE59*INDEX(Premissas!$C$64:$G$64,AE$7)+(AE57-AE59)*INDEX(Premissas!$C$65:$G$65,AE$7)+IF(AE$4&gt;=Premissas!$B$62,INDEX(Premissas!$C$63:$G$63,AE$7),0))</f>
        <v>-38498.6827456202</v>
      </c>
      <c r="AF76" s="84" t="n">
        <f aca="false">-(AF59*INDEX(Premissas!$C$64:$G$64,AF$7)+(AF57-AF59)*INDEX(Premissas!$C$65:$G$65,AF$7)+IF(AF$4&gt;=Premissas!$B$62,INDEX(Premissas!$C$63:$G$63,AF$7),0))</f>
        <v>-40230.0164734268</v>
      </c>
      <c r="AG76" s="84" t="n">
        <f aca="false">-(AG59*INDEX(Premissas!$C$64:$G$64,AG$7)+(AG57-AG59)*INDEX(Premissas!$C$65:$G$65,AG$7)+IF(AG$4&gt;=Premissas!$B$62,INDEX(Premissas!$C$63:$G$63,AG$7),0))</f>
        <v>-41839.7380002869</v>
      </c>
      <c r="AH76" s="84" t="n">
        <f aca="false">-(AH59*INDEX(Premissas!$C$64:$G$64,AH$7)+(AH57-AH59)*INDEX(Premissas!$C$65:$G$65,AH$7)+IF(AH$4&gt;=Premissas!$B$62,INDEX(Premissas!$C$63:$G$63,AH$7),0))</f>
        <v>-43337.5487802668</v>
      </c>
      <c r="AI76" s="84" t="n">
        <f aca="false">-(AI59*INDEX(Premissas!$C$64:$G$64,AI$7)+(AI57-AI59)*INDEX(Premissas!$C$65:$G$65,AI$7)+IF(AI$4&gt;=Premissas!$B$62,INDEX(Premissas!$C$63:$G$63,AI$7),0))</f>
        <v>-44730.7618456482</v>
      </c>
      <c r="AJ76" s="84" t="n">
        <f aca="false">-(AJ59*INDEX(Premissas!$C$64:$G$64,AJ$7)+(AJ57-AJ59)*INDEX(Premissas!$C$65:$G$65,AJ$7)+IF(AJ$4&gt;=Premissas!$B$62,INDEX(Premissas!$C$63:$G$63,AJ$7),0))</f>
        <v>-46025.4425164528</v>
      </c>
      <c r="AK76" s="84" t="n">
        <f aca="false">-(AK59*INDEX(Premissas!$C$64:$G$64,AK$7)+(AK57-AK59)*INDEX(Premissas!$C$65:$G$65,AK$7)+IF(AK$4&gt;=Premissas!$B$62,INDEX(Premissas!$C$63:$G$63,AK$7),0))</f>
        <v>-47230.9445003011</v>
      </c>
      <c r="AL76" s="84" t="n">
        <f aca="false">-(AL59*INDEX(Premissas!$C$64:$G$64,AL$7)+(AL57-AL59)*INDEX(Premissas!$C$65:$G$65,AL$7)+IF(AL$4&gt;=Premissas!$B$62,INDEX(Premissas!$C$63:$G$63,AL$7),0))</f>
        <v>-57268.2306564846</v>
      </c>
      <c r="AM76" s="84" t="n">
        <f aca="false">-(AM59*INDEX(Premissas!$C$64:$G$64,AM$7)+(AM57-AM59)*INDEX(Premissas!$C$65:$G$65,AM$7)+IF(AM$4&gt;=Premissas!$B$62,INDEX(Premissas!$C$63:$G$63,AM$7),0))</f>
        <v>-60247.9741388131</v>
      </c>
      <c r="AN76" s="84" t="n">
        <f aca="false">-(AN59*INDEX(Premissas!$C$64:$G$64,AN$7)+(AN57-AN59)*INDEX(Premissas!$C$65:$G$65,AN$7)+IF(AN$4&gt;=Premissas!$B$62,INDEX(Premissas!$C$63:$G$63,AN$7),0))</f>
        <v>-63033.3595697903</v>
      </c>
      <c r="AO76" s="84" t="n">
        <f aca="false">-(AO59*INDEX(Premissas!$C$64:$G$64,AO$7)+(AO57-AO59)*INDEX(Premissas!$C$65:$G$65,AO$7)+IF(AO$4&gt;=Premissas!$B$62,INDEX(Premissas!$C$63:$G$63,AO$7),0))</f>
        <v>-65638.5962227539</v>
      </c>
      <c r="AP76" s="84" t="n">
        <f aca="false">-(AP59*INDEX(Premissas!$C$64:$G$64,AP$7)+(AP57-AP59)*INDEX(Premissas!$C$65:$G$65,AP$7)+IF(AP$4&gt;=Premissas!$B$62,INDEX(Premissas!$C$63:$G$63,AP$7),0))</f>
        <v>-68073.7980682749</v>
      </c>
      <c r="AQ76" s="84" t="n">
        <f aca="false">-(AQ59*INDEX(Premissas!$C$64:$G$64,AQ$7)+(AQ57-AQ59)*INDEX(Premissas!$C$65:$G$65,AQ$7)+IF(AQ$4&gt;=Premissas!$B$62,INDEX(Premissas!$C$63:$G$63,AQ$7),0))</f>
        <v>-70349.918868837</v>
      </c>
      <c r="AR76" s="84" t="n">
        <f aca="false">-(AR59*INDEX(Premissas!$C$64:$G$64,AR$7)+(AR57-AR59)*INDEX(Premissas!$C$65:$G$65,AR$7)+IF(AR$4&gt;=Premissas!$B$62,INDEX(Premissas!$C$63:$G$63,AR$7),0))</f>
        <v>-72479.7466173626</v>
      </c>
      <c r="AS76" s="84" t="n">
        <f aca="false">-(AS59*INDEX(Premissas!$C$64:$G$64,AS$7)+(AS57-AS59)*INDEX(Premissas!$C$65:$G$65,AS$7)+IF(AS$4&gt;=Premissas!$B$62,INDEX(Premissas!$C$63:$G$63,AS$7),0))</f>
        <v>-74470.0323622341</v>
      </c>
      <c r="AT76" s="84" t="n">
        <f aca="false">-(AT59*INDEX(Premissas!$C$64:$G$64,AT$7)+(AT57-AT59)*INDEX(Premissas!$C$65:$G$65,AT$7)+IF(AT$4&gt;=Premissas!$B$62,INDEX(Premissas!$C$63:$G$63,AT$7),0))</f>
        <v>-76331.3484586888</v>
      </c>
      <c r="AU76" s="84" t="n">
        <f aca="false">-(AU59*INDEX(Premissas!$C$64:$G$64,AU$7)+(AU57-AU59)*INDEX(Premissas!$C$65:$G$65,AU$7)+IF(AU$4&gt;=Premissas!$B$62,INDEX(Premissas!$C$63:$G$63,AU$7),0))</f>
        <v>-78071.2012838741</v>
      </c>
      <c r="AV76" s="84" t="n">
        <f aca="false">-(AV59*INDEX(Premissas!$C$64:$G$64,AV$7)+(AV57-AV59)*INDEX(Premissas!$C$65:$G$65,AV$7)+IF(AV$4&gt;=Premissas!$B$62,INDEX(Premissas!$C$63:$G$63,AV$7),0))</f>
        <v>-79698.9634504223</v>
      </c>
      <c r="AW76" s="84" t="n">
        <f aca="false">-(AW59*INDEX(Premissas!$C$64:$G$64,AW$7)+(AW57-AW59)*INDEX(Premissas!$C$65:$G$65,AW$7)+IF(AW$4&gt;=Premissas!$B$62,INDEX(Premissas!$C$63:$G$63,AW$7),0))</f>
        <v>-81219.9705511448</v>
      </c>
      <c r="AX76" s="84" t="n">
        <f aca="false">-(AX59*INDEX(Premissas!$C$64:$G$64,AX$7)+(AX57-AX59)*INDEX(Premissas!$C$65:$G$65,AX$7)+IF(AX$4&gt;=Premissas!$B$62,INDEX(Premissas!$C$63:$G$63,AX$7),0))</f>
        <v>-95176.6223180761</v>
      </c>
      <c r="AY76" s="84" t="n">
        <f aca="false">-(AY59*INDEX(Premissas!$C$64:$G$64,AY$7)+(AY57-AY59)*INDEX(Premissas!$C$65:$G$65,AY$7)+IF(AY$4&gt;=Premissas!$B$62,INDEX(Premissas!$C$63:$G$63,AY$7),0))</f>
        <v>-98575.7439789916</v>
      </c>
      <c r="AZ76" s="84" t="n">
        <f aca="false">-(AZ59*INDEX(Premissas!$C$64:$G$64,AZ$7)+(AZ57-AZ59)*INDEX(Premissas!$C$65:$G$65,AZ$7)+IF(AZ$4&gt;=Premissas!$B$62,INDEX(Premissas!$C$63:$G$63,AZ$7),0))</f>
        <v>-101772.263540252</v>
      </c>
      <c r="BA76" s="84" t="n">
        <f aca="false">-(BA59*INDEX(Premissas!$C$64:$G$64,BA$7)+(BA57-BA59)*INDEX(Premissas!$C$65:$G$65,BA$7)+IF(BA$4&gt;=Premissas!$B$62,INDEX(Premissas!$C$63:$G$63,BA$7),0))</f>
        <v>-104775.646727837</v>
      </c>
      <c r="BB76" s="84" t="n">
        <f aca="false">-(BB59*INDEX(Premissas!$C$64:$G$64,BB$7)+(BB57-BB59)*INDEX(Premissas!$C$65:$G$65,BB$7)+IF(BB$4&gt;=Premissas!$B$62,INDEX(Premissas!$C$63:$G$63,BB$7),0))</f>
        <v>-107599.641124167</v>
      </c>
      <c r="BC76" s="84" t="n">
        <f aca="false">-(BC59*INDEX(Premissas!$C$64:$G$64,BC$7)+(BC57-BC59)*INDEX(Premissas!$C$65:$G$65,BC$7)+IF(BC$4&gt;=Premissas!$B$62,INDEX(Premissas!$C$63:$G$63,BC$7),0))</f>
        <v>-110253.434756717</v>
      </c>
      <c r="BD76" s="84" t="n">
        <f aca="false">-(BD59*INDEX(Premissas!$C$64:$G$64,BD$7)+(BD57-BD59)*INDEX(Premissas!$C$65:$G$65,BD$7)+IF(BD$4&gt;=Premissas!$B$62,INDEX(Premissas!$C$63:$G$63,BD$7),0))</f>
        <v>-112748.744171314</v>
      </c>
      <c r="BE76" s="84" t="n">
        <f aca="false">-(BE59*INDEX(Premissas!$C$64:$G$64,BE$7)+(BE57-BE59)*INDEX(Premissas!$C$65:$G$65,BE$7)+IF(BE$4&gt;=Premissas!$B$62,INDEX(Premissas!$C$63:$G$63,BE$7),0))</f>
        <v>-115094.512021035</v>
      </c>
      <c r="BF76" s="84" t="n">
        <f aca="false">-(BF59*INDEX(Premissas!$C$64:$G$64,BF$7)+(BF57-BF59)*INDEX(Premissas!$C$65:$G$65,BF$7)+IF(BF$4&gt;=Premissas!$B$62,INDEX(Premissas!$C$63:$G$63,BF$7),0))</f>
        <v>-117298.684199773</v>
      </c>
      <c r="BG76" s="84" t="n">
        <f aca="false">-(BG59*INDEX(Premissas!$C$64:$G$64,BG$7)+(BG57-BG59)*INDEX(Premissas!$C$65:$G$65,BG$7)+IF(BG$4&gt;=Premissas!$B$62,INDEX(Premissas!$C$63:$G$63,BG$7),0))</f>
        <v>-119370.871547786</v>
      </c>
      <c r="BH76" s="84" t="n">
        <f aca="false">-(BH59*INDEX(Premissas!$C$64:$G$64,BH$7)+(BH57-BH59)*INDEX(Premissas!$C$65:$G$65,BH$7)+IF(BH$4&gt;=Premissas!$B$62,INDEX(Premissas!$C$63:$G$63,BH$7),0))</f>
        <v>-121318.816154919</v>
      </c>
      <c r="BI76" s="84" t="n">
        <f aca="false">-(BI59*INDEX(Premissas!$C$64:$G$64,BI$7)+(BI57-BI59)*INDEX(Premissas!$C$65:$G$65,BI$7)+IF(BI$4&gt;=Premissas!$B$62,INDEX(Premissas!$C$63:$G$63,BI$7),0))</f>
        <v>-123150.167285624</v>
      </c>
      <c r="BJ76" s="69" t="n">
        <f aca="false">SUM(B76:BI76)</f>
        <v>-2840060.99551501</v>
      </c>
    </row>
    <row r="77" customFormat="false" ht="15" hidden="false" customHeight="false" outlineLevel="0" collapsed="false">
      <c r="A77" s="12" t="s">
        <v>210</v>
      </c>
      <c r="B77" s="84" t="n">
        <f aca="false">-(B59*INDEX(Premissas!$C$66:$G$66,B$7)+IF(B$4&gt;=Premissas!$B$10,INDEX(Premissas!$C$67:$G$67,B$7),0))</f>
        <v>-0</v>
      </c>
      <c r="C77" s="84" t="n">
        <f aca="false">-(C59*INDEX(Premissas!$C$66:$G$66,C$7)+IF(C$4&gt;=Premissas!$B$10,INDEX(Premissas!$C$67:$G$67,C$7),0))</f>
        <v>-0</v>
      </c>
      <c r="D77" s="84" t="n">
        <f aca="false">-(D59*INDEX(Premissas!$C$66:$G$66,D$7)+IF(D$4&gt;=Premissas!$B$10,INDEX(Premissas!$C$67:$G$67,D$7),0))</f>
        <v>-0</v>
      </c>
      <c r="E77" s="84" t="n">
        <f aca="false">-(E59*INDEX(Premissas!$C$66:$G$66,E$7)+IF(E$4&gt;=Premissas!$B$10,INDEX(Premissas!$C$67:$G$67,E$7),0))</f>
        <v>-0</v>
      </c>
      <c r="F77" s="84" t="n">
        <f aca="false">-(F59*INDEX(Premissas!$C$66:$G$66,F$7)+IF(F$4&gt;=Premissas!$B$10,INDEX(Premissas!$C$67:$G$67,F$7),0))</f>
        <v>-0</v>
      </c>
      <c r="G77" s="84" t="n">
        <f aca="false">-(G59*INDEX(Premissas!$C$66:$G$66,G$7)+IF(G$4&gt;=Premissas!$B$10,INDEX(Premissas!$C$67:$G$67,G$7),0))</f>
        <v>-0</v>
      </c>
      <c r="H77" s="84" t="n">
        <f aca="false">-(H59*INDEX(Premissas!$C$66:$G$66,H$7)+IF(H$4&gt;=Premissas!$B$10,INDEX(Premissas!$C$67:$G$67,H$7),0))</f>
        <v>-0</v>
      </c>
      <c r="I77" s="84" t="n">
        <f aca="false">-(I59*INDEX(Premissas!$C$66:$G$66,I$7)+IF(I$4&gt;=Premissas!$B$10,INDEX(Premissas!$C$67:$G$67,I$7),0))</f>
        <v>-0</v>
      </c>
      <c r="J77" s="84" t="n">
        <f aca="false">-(J59*INDEX(Premissas!$C$66:$G$66,J$7)+IF(J$4&gt;=Premissas!$B$10,INDEX(Premissas!$C$67:$G$67,J$7),0))</f>
        <v>-0</v>
      </c>
      <c r="K77" s="84" t="n">
        <f aca="false">-(K59*INDEX(Premissas!$C$66:$G$66,K$7)+IF(K$4&gt;=Premissas!$B$10,INDEX(Premissas!$C$67:$G$67,K$7),0))</f>
        <v>-316.75</v>
      </c>
      <c r="L77" s="84" t="n">
        <f aca="false">-(L59*INDEX(Premissas!$C$66:$G$66,L$7)+IF(L$4&gt;=Premissas!$B$10,INDEX(Premissas!$C$67:$G$67,L$7),0))</f>
        <v>-608.3</v>
      </c>
      <c r="M77" s="84" t="n">
        <f aca="false">-(M59*INDEX(Premissas!$C$66:$G$66,M$7)+IF(M$4&gt;=Premissas!$B$10,INDEX(Premissas!$C$67:$G$67,M$7),0))</f>
        <v>-876.4</v>
      </c>
      <c r="N77" s="84" t="n">
        <f aca="false">-(N59*INDEX(Premissas!$C$66:$G$66,N$7)+IF(N$4&gt;=Premissas!$B$10,INDEX(Premissas!$C$67:$G$67,N$7),0))</f>
        <v>-4314.95</v>
      </c>
      <c r="O77" s="84" t="n">
        <f aca="false">-(O59*INDEX(Premissas!$C$66:$G$66,O$7)+IF(O$4&gt;=Premissas!$B$10,INDEX(Premissas!$C$67:$G$67,O$7),0))</f>
        <v>-4640.1</v>
      </c>
      <c r="P77" s="84" t="n">
        <f aca="false">-(P59*INDEX(Premissas!$C$66:$G$66,P$7)+IF(P$4&gt;=Premissas!$B$10,INDEX(Premissas!$C$67:$G$67,P$7),0))</f>
        <v>-4940.4</v>
      </c>
      <c r="Q77" s="84" t="n">
        <f aca="false">-(Q59*INDEX(Premissas!$C$66:$G$66,Q$7)+IF(Q$4&gt;=Premissas!$B$10,INDEX(Premissas!$C$67:$G$67,Q$7),0))</f>
        <v>-5218.3</v>
      </c>
      <c r="R77" s="84" t="n">
        <f aca="false">-(R59*INDEX(Premissas!$C$66:$G$66,R$7)+IF(R$4&gt;=Premissas!$B$10,INDEX(Premissas!$C$67:$G$67,R$7),0))</f>
        <v>-5475.55</v>
      </c>
      <c r="S77" s="84" t="n">
        <f aca="false">-(S59*INDEX(Premissas!$C$66:$G$66,S$7)+IF(S$4&gt;=Premissas!$B$10,INDEX(Premissas!$C$67:$G$67,S$7),0))</f>
        <v>-5713.55</v>
      </c>
      <c r="T77" s="84" t="n">
        <f aca="false">-(T59*INDEX(Premissas!$C$66:$G$66,T$7)+IF(T$4&gt;=Premissas!$B$10,INDEX(Premissas!$C$67:$G$67,T$7),0))</f>
        <v>-5933.35</v>
      </c>
      <c r="U77" s="84" t="n">
        <f aca="false">-(U59*INDEX(Premissas!$C$66:$G$66,U$7)+IF(U$4&gt;=Premissas!$B$10,INDEX(Premissas!$C$67:$G$67,U$7),0))</f>
        <v>-6136.7</v>
      </c>
      <c r="V77" s="84" t="n">
        <f aca="false">-(V59*INDEX(Premissas!$C$66:$G$66,V$7)+IF(V$4&gt;=Premissas!$B$10,INDEX(Premissas!$C$67:$G$67,V$7),0))</f>
        <v>-6325</v>
      </c>
      <c r="W77" s="84" t="n">
        <f aca="false">-(W59*INDEX(Premissas!$C$66:$G$66,W$7)+IF(W$4&gt;=Premissas!$B$10,INDEX(Premissas!$C$67:$G$67,W$7),0))</f>
        <v>-6499.3</v>
      </c>
      <c r="X77" s="84" t="n">
        <f aca="false">-(X59*INDEX(Premissas!$C$66:$G$66,X$7)+IF(X$4&gt;=Premissas!$B$10,INDEX(Premissas!$C$67:$G$67,X$7),0))</f>
        <v>-6660.3</v>
      </c>
      <c r="Y77" s="84" t="n">
        <f aca="false">-(Y59*INDEX(Premissas!$C$66:$G$66,Y$7)+IF(Y$4&gt;=Premissas!$B$10,INDEX(Premissas!$C$67:$G$67,Y$7),0))</f>
        <v>-6809.4</v>
      </c>
      <c r="Z77" s="84" t="n">
        <f aca="false">-(Z59*INDEX(Premissas!$C$66:$G$66,Z$7)+IF(Z$4&gt;=Premissas!$B$10,INDEX(Premissas!$C$67:$G$67,Z$7),0))</f>
        <v>-19122.6</v>
      </c>
      <c r="AA77" s="84" t="n">
        <f aca="false">-(AA59*INDEX(Premissas!$C$66:$G$66,AA$7)+IF(AA$4&gt;=Premissas!$B$10,INDEX(Premissas!$C$67:$G$67,AA$7),0))</f>
        <v>-19644</v>
      </c>
      <c r="AB77" s="84" t="n">
        <f aca="false">-(AB59*INDEX(Premissas!$C$66:$G$66,AB$7)+IF(AB$4&gt;=Premissas!$B$10,INDEX(Premissas!$C$67:$G$67,AB$7),0))</f>
        <v>-20128.8</v>
      </c>
      <c r="AC77" s="84" t="n">
        <f aca="false">-(AC59*INDEX(Premissas!$C$66:$G$66,AC$7)+IF(AC$4&gt;=Premissas!$B$10,INDEX(Premissas!$C$67:$G$67,AC$7),0))</f>
        <v>-20580</v>
      </c>
      <c r="AD77" s="84" t="n">
        <f aca="false">-(AD59*INDEX(Premissas!$C$66:$G$66,AD$7)+IF(AD$4&gt;=Premissas!$B$10,INDEX(Premissas!$C$67:$G$67,AD$7),0))</f>
        <v>-20999.4</v>
      </c>
      <c r="AE77" s="84" t="n">
        <f aca="false">-(AE59*INDEX(Premissas!$C$66:$G$66,AE$7)+IF(AE$4&gt;=Premissas!$B$10,INDEX(Premissas!$C$67:$G$67,AE$7),0))</f>
        <v>-21389.4</v>
      </c>
      <c r="AF77" s="84" t="n">
        <f aca="false">-(AF59*INDEX(Premissas!$C$66:$G$66,AF$7)+IF(AF$4&gt;=Premissas!$B$10,INDEX(Premissas!$C$67:$G$67,AF$7),0))</f>
        <v>-21752.1</v>
      </c>
      <c r="AG77" s="84" t="n">
        <f aca="false">-(AG59*INDEX(Premissas!$C$66:$G$66,AG$7)+IF(AG$4&gt;=Premissas!$B$10,INDEX(Premissas!$C$67:$G$67,AG$7),0))</f>
        <v>-22089.3</v>
      </c>
      <c r="AH77" s="84" t="n">
        <f aca="false">-(AH59*INDEX(Premissas!$C$66:$G$66,AH$7)+IF(AH$4&gt;=Premissas!$B$10,INDEX(Premissas!$C$67:$G$67,AH$7),0))</f>
        <v>-22403.1</v>
      </c>
      <c r="AI77" s="84" t="n">
        <f aca="false">-(AI59*INDEX(Premissas!$C$66:$G$66,AI$7)+IF(AI$4&gt;=Premissas!$B$10,INDEX(Premissas!$C$67:$G$67,AI$7),0))</f>
        <v>-22695</v>
      </c>
      <c r="AJ77" s="84" t="n">
        <f aca="false">-(AJ59*INDEX(Premissas!$C$66:$G$66,AJ$7)+IF(AJ$4&gt;=Premissas!$B$10,INDEX(Premissas!$C$67:$G$67,AJ$7),0))</f>
        <v>-22966.2</v>
      </c>
      <c r="AK77" s="84" t="n">
        <f aca="false">-(AK59*INDEX(Premissas!$C$66:$G$66,AK$7)+IF(AK$4&gt;=Premissas!$B$10,INDEX(Premissas!$C$67:$G$67,AK$7),0))</f>
        <v>-23218.8</v>
      </c>
      <c r="AL77" s="84" t="n">
        <f aca="false">-(AL59*INDEX(Premissas!$C$66:$G$66,AL$7)+IF(AL$4&gt;=Premissas!$B$10,INDEX(Premissas!$C$67:$G$67,AL$7),0))</f>
        <v>-54043.72</v>
      </c>
      <c r="AM77" s="84" t="n">
        <f aca="false">-(AM59*INDEX(Premissas!$C$66:$G$66,AM$7)+IF(AM$4&gt;=Premissas!$B$10,INDEX(Premissas!$C$67:$G$67,AM$7),0))</f>
        <v>-54730</v>
      </c>
      <c r="AN77" s="84" t="n">
        <f aca="false">-(AN59*INDEX(Premissas!$C$66:$G$66,AN$7)+IF(AN$4&gt;=Premissas!$B$10,INDEX(Premissas!$C$67:$G$67,AN$7),0))</f>
        <v>-55371.48</v>
      </c>
      <c r="AO77" s="84" t="n">
        <f aca="false">-(AO59*INDEX(Premissas!$C$66:$G$66,AO$7)+IF(AO$4&gt;=Premissas!$B$10,INDEX(Premissas!$C$67:$G$67,AO$7),0))</f>
        <v>-55971.52</v>
      </c>
      <c r="AP77" s="84" t="n">
        <f aca="false">-(AP59*INDEX(Premissas!$C$66:$G$66,AP$7)+IF(AP$4&gt;=Premissas!$B$10,INDEX(Premissas!$C$67:$G$67,AP$7),0))</f>
        <v>-56532.36</v>
      </c>
      <c r="AQ77" s="84" t="n">
        <f aca="false">-(AQ59*INDEX(Premissas!$C$66:$G$66,AQ$7)+IF(AQ$4&gt;=Premissas!$B$10,INDEX(Premissas!$C$67:$G$67,AQ$7),0))</f>
        <v>-57056.52</v>
      </c>
      <c r="AR77" s="84" t="n">
        <f aca="false">-(AR59*INDEX(Premissas!$C$66:$G$66,AR$7)+IF(AR$4&gt;=Premissas!$B$10,INDEX(Premissas!$C$67:$G$67,AR$7),0))</f>
        <v>-57547.08</v>
      </c>
      <c r="AS77" s="84" t="n">
        <f aca="false">-(AS59*INDEX(Premissas!$C$66:$G$66,AS$7)+IF(AS$4&gt;=Premissas!$B$10,INDEX(Premissas!$C$67:$G$67,AS$7),0))</f>
        <v>-58005.44</v>
      </c>
      <c r="AT77" s="84" t="n">
        <f aca="false">-(AT59*INDEX(Premissas!$C$66:$G$66,AT$7)+IF(AT$4&gt;=Premissas!$B$10,INDEX(Premissas!$C$67:$G$67,AT$7),0))</f>
        <v>-58434.12</v>
      </c>
      <c r="AU77" s="84" t="n">
        <f aca="false">-(AU59*INDEX(Premissas!$C$66:$G$66,AU$7)+IF(AU$4&gt;=Premissas!$B$10,INDEX(Premissas!$C$67:$G$67,AU$7),0))</f>
        <v>-58834.8</v>
      </c>
      <c r="AV77" s="84" t="n">
        <f aca="false">-(AV59*INDEX(Premissas!$C$66:$G$66,AV$7)+IF(AV$4&gt;=Premissas!$B$10,INDEX(Premissas!$C$67:$G$67,AV$7),0))</f>
        <v>-59209.72</v>
      </c>
      <c r="AW77" s="84" t="n">
        <f aca="false">-(AW59*INDEX(Premissas!$C$66:$G$66,AW$7)+IF(AW$4&gt;=Premissas!$B$10,INDEX(Premissas!$C$67:$G$67,AW$7),0))</f>
        <v>-59560</v>
      </c>
      <c r="AX77" s="84" t="n">
        <f aca="false">-(AX59*INDEX(Premissas!$C$66:$G$66,AX$7)+IF(AX$4&gt;=Premissas!$B$10,INDEX(Premissas!$C$67:$G$67,AX$7),0))</f>
        <v>-104822.5</v>
      </c>
      <c r="AY77" s="84" t="n">
        <f aca="false">-(AY59*INDEX(Premissas!$C$66:$G$66,AY$7)+IF(AY$4&gt;=Premissas!$B$10,INDEX(Premissas!$C$67:$G$67,AY$7),0))</f>
        <v>-105595.5</v>
      </c>
      <c r="AZ77" s="84" t="n">
        <f aca="false">-(AZ59*INDEX(Premissas!$C$66:$G$66,AZ$7)+IF(AZ$4&gt;=Premissas!$B$10,INDEX(Premissas!$C$67:$G$67,AZ$7),0))</f>
        <v>-106322.5</v>
      </c>
      <c r="BA77" s="84" t="n">
        <f aca="false">-(BA59*INDEX(Premissas!$C$66:$G$66,BA$7)+IF(BA$4&gt;=Premissas!$B$10,INDEX(Premissas!$C$67:$G$67,BA$7),0))</f>
        <v>-107005.5</v>
      </c>
      <c r="BB77" s="84" t="n">
        <f aca="false">-(BB59*INDEX(Premissas!$C$66:$G$66,BB$7)+IF(BB$4&gt;=Premissas!$B$10,INDEX(Premissas!$C$67:$G$67,BB$7),0))</f>
        <v>-107647.75</v>
      </c>
      <c r="BC77" s="84" t="n">
        <f aca="false">-(BC59*INDEX(Premissas!$C$66:$G$66,BC$7)+IF(BC$4&gt;=Premissas!$B$10,INDEX(Premissas!$C$67:$G$67,BC$7),0))</f>
        <v>-108251.25</v>
      </c>
      <c r="BD77" s="84" t="n">
        <f aca="false">-(BD59*INDEX(Premissas!$C$66:$G$66,BD$7)+IF(BD$4&gt;=Premissas!$B$10,INDEX(Premissas!$C$67:$G$67,BD$7),0))</f>
        <v>-108818.75</v>
      </c>
      <c r="BE77" s="84" t="n">
        <f aca="false">-(BE59*INDEX(Premissas!$C$66:$G$66,BE$7)+IF(BE$4&gt;=Premissas!$B$10,INDEX(Premissas!$C$67:$G$67,BE$7),0))</f>
        <v>-109352.25</v>
      </c>
      <c r="BF77" s="84" t="n">
        <f aca="false">-(BF59*INDEX(Premissas!$C$66:$G$66,BF$7)+IF(BF$4&gt;=Premissas!$B$10,INDEX(Premissas!$C$67:$G$67,BF$7),0))</f>
        <v>-109853.5</v>
      </c>
      <c r="BG77" s="84" t="n">
        <f aca="false">-(BG59*INDEX(Premissas!$C$66:$G$66,BG$7)+IF(BG$4&gt;=Premissas!$B$10,INDEX(Premissas!$C$67:$G$67,BG$7),0))</f>
        <v>-110324.75</v>
      </c>
      <c r="BH77" s="84" t="n">
        <f aca="false">-(BH59*INDEX(Premissas!$C$66:$G$66,BH$7)+IF(BH$4&gt;=Premissas!$B$10,INDEX(Premissas!$C$67:$G$67,BH$7),0))</f>
        <v>-110767.75</v>
      </c>
      <c r="BI77" s="84" t="n">
        <f aca="false">-(BI59*INDEX(Premissas!$C$66:$G$66,BI$7)+IF(BI$4&gt;=Premissas!$B$10,INDEX(Premissas!$C$67:$G$67,BI$7),0))</f>
        <v>-111184.25</v>
      </c>
      <c r="BJ77" s="69" t="n">
        <f aca="false">SUM(B77:BI77)</f>
        <v>-2312700.06</v>
      </c>
    </row>
    <row r="78" customFormat="false" ht="15" hidden="false" customHeight="false" outlineLevel="0" collapsed="false">
      <c r="A78" s="12" t="s">
        <v>354</v>
      </c>
      <c r="B78" s="84" t="n">
        <f aca="false">-(IF(B$4&gt;=Premissas!$B$68,INDEX(Premissas!$C$69:$G$69,B$7),0)+IF(B$4&gt;=Premissas!$B$70,INDEX(Premissas!$C$71:$G$71,B$7),0))</f>
        <v>-0</v>
      </c>
      <c r="C78" s="84" t="n">
        <f aca="false">-(IF(C$4&gt;=Premissas!$B$68,INDEX(Premissas!$C$69:$G$69,C$7),0)+IF(C$4&gt;=Premissas!$B$70,INDEX(Premissas!$C$71:$G$71,C$7),0))</f>
        <v>-0</v>
      </c>
      <c r="D78" s="84" t="n">
        <f aca="false">-(IF(D$4&gt;=Premissas!$B$68,INDEX(Premissas!$C$69:$G$69,D$7),0)+IF(D$4&gt;=Premissas!$B$70,INDEX(Premissas!$C$71:$G$71,D$7),0))</f>
        <v>-0</v>
      </c>
      <c r="E78" s="84" t="n">
        <f aca="false">-(IF(E$4&gt;=Premissas!$B$68,INDEX(Premissas!$C$69:$G$69,E$7),0)+IF(E$4&gt;=Premissas!$B$70,INDEX(Premissas!$C$71:$G$71,E$7),0))</f>
        <v>-0</v>
      </c>
      <c r="F78" s="84" t="n">
        <f aca="false">-(IF(F$4&gt;=Premissas!$B$68,INDEX(Premissas!$C$69:$G$69,F$7),0)+IF(F$4&gt;=Premissas!$B$70,INDEX(Premissas!$C$71:$G$71,F$7),0))</f>
        <v>-0</v>
      </c>
      <c r="G78" s="84" t="n">
        <f aca="false">-(IF(G$4&gt;=Premissas!$B$68,INDEX(Premissas!$C$69:$G$69,G$7),0)+IF(G$4&gt;=Premissas!$B$70,INDEX(Premissas!$C$71:$G$71,G$7),0))</f>
        <v>-0</v>
      </c>
      <c r="H78" s="84" t="n">
        <f aca="false">-(IF(H$4&gt;=Premissas!$B$68,INDEX(Premissas!$C$69:$G$69,H$7),0)+IF(H$4&gt;=Premissas!$B$70,INDEX(Premissas!$C$71:$G$71,H$7),0))</f>
        <v>-0</v>
      </c>
      <c r="I78" s="84" t="n">
        <f aca="false">-(IF(I$4&gt;=Premissas!$B$68,INDEX(Premissas!$C$69:$G$69,I$7),0)+IF(I$4&gt;=Premissas!$B$70,INDEX(Premissas!$C$71:$G$71,I$7),0))</f>
        <v>-0</v>
      </c>
      <c r="J78" s="84" t="n">
        <f aca="false">-(IF(J$4&gt;=Premissas!$B$68,INDEX(Premissas!$C$69:$G$69,J$7),0)+IF(J$4&gt;=Premissas!$B$70,INDEX(Premissas!$C$71:$G$71,J$7),0))</f>
        <v>-0</v>
      </c>
      <c r="K78" s="84" t="n">
        <f aca="false">-(IF(K$4&gt;=Premissas!$B$68,INDEX(Premissas!$C$69:$G$69,K$7),0)+IF(K$4&gt;=Premissas!$B$70,INDEX(Premissas!$C$71:$G$71,K$7),0))</f>
        <v>-0</v>
      </c>
      <c r="L78" s="84" t="n">
        <f aca="false">-(IF(L$4&gt;=Premissas!$B$68,INDEX(Premissas!$C$69:$G$69,L$7),0)+IF(L$4&gt;=Premissas!$B$70,INDEX(Premissas!$C$71:$G$71,L$7),0))</f>
        <v>-4000</v>
      </c>
      <c r="M78" s="84" t="n">
        <f aca="false">-(IF(M$4&gt;=Premissas!$B$68,INDEX(Premissas!$C$69:$G$69,M$7),0)+IF(M$4&gt;=Premissas!$B$70,INDEX(Premissas!$C$71:$G$71,M$7),0))</f>
        <v>-4000</v>
      </c>
      <c r="N78" s="84" t="n">
        <f aca="false">-(IF(N$4&gt;=Premissas!$B$68,INDEX(Premissas!$C$69:$G$69,N$7),0)+IF(N$4&gt;=Premissas!$B$70,INDEX(Premissas!$C$71:$G$71,N$7),0))</f>
        <v>-40000</v>
      </c>
      <c r="O78" s="84" t="n">
        <f aca="false">-(IF(O$4&gt;=Premissas!$B$68,INDEX(Premissas!$C$69:$G$69,O$7),0)+IF(O$4&gt;=Premissas!$B$70,INDEX(Premissas!$C$71:$G$71,O$7),0))</f>
        <v>-40000</v>
      </c>
      <c r="P78" s="84" t="n">
        <f aca="false">-(IF(P$4&gt;=Premissas!$B$68,INDEX(Premissas!$C$69:$G$69,P$7),0)+IF(P$4&gt;=Premissas!$B$70,INDEX(Premissas!$C$71:$G$71,P$7),0))</f>
        <v>-40000</v>
      </c>
      <c r="Q78" s="84" t="n">
        <f aca="false">-(IF(Q$4&gt;=Premissas!$B$68,INDEX(Premissas!$C$69:$G$69,Q$7),0)+IF(Q$4&gt;=Premissas!$B$70,INDEX(Premissas!$C$71:$G$71,Q$7),0))</f>
        <v>-40000</v>
      </c>
      <c r="R78" s="84" t="n">
        <f aca="false">-(IF(R$4&gt;=Premissas!$B$68,INDEX(Premissas!$C$69:$G$69,R$7),0)+IF(R$4&gt;=Premissas!$B$70,INDEX(Premissas!$C$71:$G$71,R$7),0))</f>
        <v>-40000</v>
      </c>
      <c r="S78" s="84" t="n">
        <f aca="false">-(IF(S$4&gt;=Premissas!$B$68,INDEX(Premissas!$C$69:$G$69,S$7),0)+IF(S$4&gt;=Premissas!$B$70,INDEX(Premissas!$C$71:$G$71,S$7),0))</f>
        <v>-40000</v>
      </c>
      <c r="T78" s="84" t="n">
        <f aca="false">-(IF(T$4&gt;=Premissas!$B$68,INDEX(Premissas!$C$69:$G$69,T$7),0)+IF(T$4&gt;=Premissas!$B$70,INDEX(Premissas!$C$71:$G$71,T$7),0))</f>
        <v>-40000</v>
      </c>
      <c r="U78" s="84" t="n">
        <f aca="false">-(IF(U$4&gt;=Premissas!$B$68,INDEX(Premissas!$C$69:$G$69,U$7),0)+IF(U$4&gt;=Premissas!$B$70,INDEX(Premissas!$C$71:$G$71,U$7),0))</f>
        <v>-40000</v>
      </c>
      <c r="V78" s="84" t="n">
        <f aca="false">-(IF(V$4&gt;=Premissas!$B$68,INDEX(Premissas!$C$69:$G$69,V$7),0)+IF(V$4&gt;=Premissas!$B$70,INDEX(Premissas!$C$71:$G$71,V$7),0))</f>
        <v>-40000</v>
      </c>
      <c r="W78" s="84" t="n">
        <f aca="false">-(IF(W$4&gt;=Premissas!$B$68,INDEX(Premissas!$C$69:$G$69,W$7),0)+IF(W$4&gt;=Premissas!$B$70,INDEX(Premissas!$C$71:$G$71,W$7),0))</f>
        <v>-40000</v>
      </c>
      <c r="X78" s="84" t="n">
        <f aca="false">-(IF(X$4&gt;=Premissas!$B$68,INDEX(Premissas!$C$69:$G$69,X$7),0)+IF(X$4&gt;=Premissas!$B$70,INDEX(Premissas!$C$71:$G$71,X$7),0))</f>
        <v>-40000</v>
      </c>
      <c r="Y78" s="84" t="n">
        <f aca="false">-(IF(Y$4&gt;=Premissas!$B$68,INDEX(Premissas!$C$69:$G$69,Y$7),0)+IF(Y$4&gt;=Premissas!$B$70,INDEX(Premissas!$C$71:$G$71,Y$7),0))</f>
        <v>-40000</v>
      </c>
      <c r="Z78" s="84" t="n">
        <f aca="false">-(IF(Z$4&gt;=Premissas!$B$68,INDEX(Premissas!$C$69:$G$69,Z$7),0)+IF(Z$4&gt;=Premissas!$B$70,INDEX(Premissas!$C$71:$G$71,Z$7),0))</f>
        <v>-130000</v>
      </c>
      <c r="AA78" s="84" t="n">
        <f aca="false">-(IF(AA$4&gt;=Premissas!$B$68,INDEX(Premissas!$C$69:$G$69,AA$7),0)+IF(AA$4&gt;=Premissas!$B$70,INDEX(Premissas!$C$71:$G$71,AA$7),0))</f>
        <v>-130000</v>
      </c>
      <c r="AB78" s="84" t="n">
        <f aca="false">-(IF(AB$4&gt;=Premissas!$B$68,INDEX(Premissas!$C$69:$G$69,AB$7),0)+IF(AB$4&gt;=Premissas!$B$70,INDEX(Premissas!$C$71:$G$71,AB$7),0))</f>
        <v>-130000</v>
      </c>
      <c r="AC78" s="84" t="n">
        <f aca="false">-(IF(AC$4&gt;=Premissas!$B$68,INDEX(Premissas!$C$69:$G$69,AC$7),0)+IF(AC$4&gt;=Premissas!$B$70,INDEX(Premissas!$C$71:$G$71,AC$7),0))</f>
        <v>-130000</v>
      </c>
      <c r="AD78" s="84" t="n">
        <f aca="false">-(IF(AD$4&gt;=Premissas!$B$68,INDEX(Premissas!$C$69:$G$69,AD$7),0)+IF(AD$4&gt;=Premissas!$B$70,INDEX(Premissas!$C$71:$G$71,AD$7),0))</f>
        <v>-130000</v>
      </c>
      <c r="AE78" s="84" t="n">
        <f aca="false">-(IF(AE$4&gt;=Premissas!$B$68,INDEX(Premissas!$C$69:$G$69,AE$7),0)+IF(AE$4&gt;=Premissas!$B$70,INDEX(Premissas!$C$71:$G$71,AE$7),0))</f>
        <v>-130000</v>
      </c>
      <c r="AF78" s="84" t="n">
        <f aca="false">-(IF(AF$4&gt;=Premissas!$B$68,INDEX(Premissas!$C$69:$G$69,AF$7),0)+IF(AF$4&gt;=Premissas!$B$70,INDEX(Premissas!$C$71:$G$71,AF$7),0))</f>
        <v>-130000</v>
      </c>
      <c r="AG78" s="84" t="n">
        <f aca="false">-(IF(AG$4&gt;=Premissas!$B$68,INDEX(Premissas!$C$69:$G$69,AG$7),0)+IF(AG$4&gt;=Premissas!$B$70,INDEX(Premissas!$C$71:$G$71,AG$7),0))</f>
        <v>-130000</v>
      </c>
      <c r="AH78" s="84" t="n">
        <f aca="false">-(IF(AH$4&gt;=Premissas!$B$68,INDEX(Premissas!$C$69:$G$69,AH$7),0)+IF(AH$4&gt;=Premissas!$B$70,INDEX(Premissas!$C$71:$G$71,AH$7),0))</f>
        <v>-130000</v>
      </c>
      <c r="AI78" s="84" t="n">
        <f aca="false">-(IF(AI$4&gt;=Premissas!$B$68,INDEX(Premissas!$C$69:$G$69,AI$7),0)+IF(AI$4&gt;=Premissas!$B$70,INDEX(Premissas!$C$71:$G$71,AI$7),0))</f>
        <v>-130000</v>
      </c>
      <c r="AJ78" s="84" t="n">
        <f aca="false">-(IF(AJ$4&gt;=Premissas!$B$68,INDEX(Premissas!$C$69:$G$69,AJ$7),0)+IF(AJ$4&gt;=Premissas!$B$70,INDEX(Premissas!$C$71:$G$71,AJ$7),0))</f>
        <v>-130000</v>
      </c>
      <c r="AK78" s="84" t="n">
        <f aca="false">-(IF(AK$4&gt;=Premissas!$B$68,INDEX(Premissas!$C$69:$G$69,AK$7),0)+IF(AK$4&gt;=Premissas!$B$70,INDEX(Premissas!$C$71:$G$71,AK$7),0))</f>
        <v>-130000</v>
      </c>
      <c r="AL78" s="84" t="n">
        <f aca="false">-(IF(AL$4&gt;=Premissas!$B$68,INDEX(Premissas!$C$69:$G$69,AL$7),0)+IF(AL$4&gt;=Premissas!$B$70,INDEX(Premissas!$C$71:$G$71,AL$7),0))</f>
        <v>-300000</v>
      </c>
      <c r="AM78" s="84" t="n">
        <f aca="false">-(IF(AM$4&gt;=Premissas!$B$68,INDEX(Premissas!$C$69:$G$69,AM$7),0)+IF(AM$4&gt;=Premissas!$B$70,INDEX(Premissas!$C$71:$G$71,AM$7),0))</f>
        <v>-300000</v>
      </c>
      <c r="AN78" s="84" t="n">
        <f aca="false">-(IF(AN$4&gt;=Premissas!$B$68,INDEX(Premissas!$C$69:$G$69,AN$7),0)+IF(AN$4&gt;=Premissas!$B$70,INDEX(Premissas!$C$71:$G$71,AN$7),0))</f>
        <v>-300000</v>
      </c>
      <c r="AO78" s="84" t="n">
        <f aca="false">-(IF(AO$4&gt;=Premissas!$B$68,INDEX(Premissas!$C$69:$G$69,AO$7),0)+IF(AO$4&gt;=Premissas!$B$70,INDEX(Premissas!$C$71:$G$71,AO$7),0))</f>
        <v>-300000</v>
      </c>
      <c r="AP78" s="84" t="n">
        <f aca="false">-(IF(AP$4&gt;=Premissas!$B$68,INDEX(Premissas!$C$69:$G$69,AP$7),0)+IF(AP$4&gt;=Premissas!$B$70,INDEX(Premissas!$C$71:$G$71,AP$7),0))</f>
        <v>-300000</v>
      </c>
      <c r="AQ78" s="84" t="n">
        <f aca="false">-(IF(AQ$4&gt;=Premissas!$B$68,INDEX(Premissas!$C$69:$G$69,AQ$7),0)+IF(AQ$4&gt;=Premissas!$B$70,INDEX(Premissas!$C$71:$G$71,AQ$7),0))</f>
        <v>-300000</v>
      </c>
      <c r="AR78" s="84" t="n">
        <f aca="false">-(IF(AR$4&gt;=Premissas!$B$68,INDEX(Premissas!$C$69:$G$69,AR$7),0)+IF(AR$4&gt;=Premissas!$B$70,INDEX(Premissas!$C$71:$G$71,AR$7),0))</f>
        <v>-300000</v>
      </c>
      <c r="AS78" s="84" t="n">
        <f aca="false">-(IF(AS$4&gt;=Premissas!$B$68,INDEX(Premissas!$C$69:$G$69,AS$7),0)+IF(AS$4&gt;=Premissas!$B$70,INDEX(Premissas!$C$71:$G$71,AS$7),0))</f>
        <v>-300000</v>
      </c>
      <c r="AT78" s="84" t="n">
        <f aca="false">-(IF(AT$4&gt;=Premissas!$B$68,INDEX(Premissas!$C$69:$G$69,AT$7),0)+IF(AT$4&gt;=Premissas!$B$70,INDEX(Premissas!$C$71:$G$71,AT$7),0))</f>
        <v>-300000</v>
      </c>
      <c r="AU78" s="84" t="n">
        <f aca="false">-(IF(AU$4&gt;=Premissas!$B$68,INDEX(Premissas!$C$69:$G$69,AU$7),0)+IF(AU$4&gt;=Premissas!$B$70,INDEX(Premissas!$C$71:$G$71,AU$7),0))</f>
        <v>-300000</v>
      </c>
      <c r="AV78" s="84" t="n">
        <f aca="false">-(IF(AV$4&gt;=Premissas!$B$68,INDEX(Premissas!$C$69:$G$69,AV$7),0)+IF(AV$4&gt;=Premissas!$B$70,INDEX(Premissas!$C$71:$G$71,AV$7),0))</f>
        <v>-300000</v>
      </c>
      <c r="AW78" s="84" t="n">
        <f aca="false">-(IF(AW$4&gt;=Premissas!$B$68,INDEX(Premissas!$C$69:$G$69,AW$7),0)+IF(AW$4&gt;=Premissas!$B$70,INDEX(Premissas!$C$71:$G$71,AW$7),0))</f>
        <v>-300000</v>
      </c>
      <c r="AX78" s="84" t="n">
        <f aca="false">-(IF(AX$4&gt;=Premissas!$B$68,INDEX(Premissas!$C$69:$G$69,AX$7),0)+IF(AX$4&gt;=Premissas!$B$70,INDEX(Premissas!$C$71:$G$71,AX$7),0))</f>
        <v>-560000</v>
      </c>
      <c r="AY78" s="84" t="n">
        <f aca="false">-(IF(AY$4&gt;=Premissas!$B$68,INDEX(Premissas!$C$69:$G$69,AY$7),0)+IF(AY$4&gt;=Premissas!$B$70,INDEX(Premissas!$C$71:$G$71,AY$7),0))</f>
        <v>-560000</v>
      </c>
      <c r="AZ78" s="84" t="n">
        <f aca="false">-(IF(AZ$4&gt;=Premissas!$B$68,INDEX(Premissas!$C$69:$G$69,AZ$7),0)+IF(AZ$4&gt;=Premissas!$B$70,INDEX(Premissas!$C$71:$G$71,AZ$7),0))</f>
        <v>-560000</v>
      </c>
      <c r="BA78" s="84" t="n">
        <f aca="false">-(IF(BA$4&gt;=Premissas!$B$68,INDEX(Premissas!$C$69:$G$69,BA$7),0)+IF(BA$4&gt;=Premissas!$B$70,INDEX(Premissas!$C$71:$G$71,BA$7),0))</f>
        <v>-560000</v>
      </c>
      <c r="BB78" s="84" t="n">
        <f aca="false">-(IF(BB$4&gt;=Premissas!$B$68,INDEX(Premissas!$C$69:$G$69,BB$7),0)+IF(BB$4&gt;=Premissas!$B$70,INDEX(Premissas!$C$71:$G$71,BB$7),0))</f>
        <v>-560000</v>
      </c>
      <c r="BC78" s="84" t="n">
        <f aca="false">-(IF(BC$4&gt;=Premissas!$B$68,INDEX(Premissas!$C$69:$G$69,BC$7),0)+IF(BC$4&gt;=Premissas!$B$70,INDEX(Premissas!$C$71:$G$71,BC$7),0))</f>
        <v>-560000</v>
      </c>
      <c r="BD78" s="84" t="n">
        <f aca="false">-(IF(BD$4&gt;=Premissas!$B$68,INDEX(Premissas!$C$69:$G$69,BD$7),0)+IF(BD$4&gt;=Premissas!$B$70,INDEX(Premissas!$C$71:$G$71,BD$7),0))</f>
        <v>-560000</v>
      </c>
      <c r="BE78" s="84" t="n">
        <f aca="false">-(IF(BE$4&gt;=Premissas!$B$68,INDEX(Premissas!$C$69:$G$69,BE$7),0)+IF(BE$4&gt;=Premissas!$B$70,INDEX(Premissas!$C$71:$G$71,BE$7),0))</f>
        <v>-560000</v>
      </c>
      <c r="BF78" s="84" t="n">
        <f aca="false">-(IF(BF$4&gt;=Premissas!$B$68,INDEX(Premissas!$C$69:$G$69,BF$7),0)+IF(BF$4&gt;=Premissas!$B$70,INDEX(Premissas!$C$71:$G$71,BF$7),0))</f>
        <v>-560000</v>
      </c>
      <c r="BG78" s="84" t="n">
        <f aca="false">-(IF(BG$4&gt;=Premissas!$B$68,INDEX(Premissas!$C$69:$G$69,BG$7),0)+IF(BG$4&gt;=Premissas!$B$70,INDEX(Premissas!$C$71:$G$71,BG$7),0))</f>
        <v>-560000</v>
      </c>
      <c r="BH78" s="84" t="n">
        <f aca="false">-(IF(BH$4&gt;=Premissas!$B$68,INDEX(Premissas!$C$69:$G$69,BH$7),0)+IF(BH$4&gt;=Premissas!$B$70,INDEX(Premissas!$C$71:$G$71,BH$7),0))</f>
        <v>-560000</v>
      </c>
      <c r="BI78" s="84" t="n">
        <f aca="false">-(IF(BI$4&gt;=Premissas!$B$68,INDEX(Premissas!$C$69:$G$69,BI$7),0)+IF(BI$4&gt;=Premissas!$B$70,INDEX(Premissas!$C$71:$G$71,BI$7),0))</f>
        <v>-560000</v>
      </c>
      <c r="BJ78" s="69" t="n">
        <f aca="false">SUM(B78:BI78)</f>
        <v>-12368000</v>
      </c>
    </row>
    <row r="79" customFormat="false" ht="15" hidden="false" customHeight="false" outlineLevel="0" collapsed="false">
      <c r="A79" s="12" t="s">
        <v>215</v>
      </c>
      <c r="B79" s="84" t="n">
        <f aca="false">-(B54*(1-INDEX(Premissas!$C$50:$G$50,B$7))*INDEX(Premissas!$C$48:$G$48,B$7)+IF(B$4&gt;=Premissas!$B$75,INDEX(Premissas!$C$74:$G$74,B$7),0)+IF(B$4=DATE(YEAR(Premissas!$B$77),MONTH(Premissas!$B$77),1),Premissas!$B$76,0))</f>
        <v>-0</v>
      </c>
      <c r="C79" s="84" t="n">
        <f aca="false">-(C54*(1-INDEX(Premissas!$C$50:$G$50,C$7))*INDEX(Premissas!$C$48:$G$48,C$7)+IF(C$4&gt;=Premissas!$B$75,INDEX(Premissas!$C$74:$G$74,C$7),0)+IF(C$4=DATE(YEAR(Premissas!$B$77),MONTH(Premissas!$B$77),1),Premissas!$B$76,0))</f>
        <v>-0</v>
      </c>
      <c r="D79" s="84" t="n">
        <f aca="false">-(D54*(1-INDEX(Premissas!$C$50:$G$50,D$7))*INDEX(Premissas!$C$48:$G$48,D$7)+IF(D$4&gt;=Premissas!$B$75,INDEX(Premissas!$C$74:$G$74,D$7),0)+IF(D$4=DATE(YEAR(Premissas!$B$77),MONTH(Premissas!$B$77),1),Premissas!$B$76,0))</f>
        <v>-0</v>
      </c>
      <c r="E79" s="84" t="n">
        <f aca="false">-(E54*(1-INDEX(Premissas!$C$50:$G$50,E$7))*INDEX(Premissas!$C$48:$G$48,E$7)+IF(E$4&gt;=Premissas!$B$75,INDEX(Premissas!$C$74:$G$74,E$7),0)+IF(E$4=DATE(YEAR(Premissas!$B$77),MONTH(Premissas!$B$77),1),Premissas!$B$76,0))</f>
        <v>-0</v>
      </c>
      <c r="F79" s="84" t="n">
        <f aca="false">-(F54*(1-INDEX(Premissas!$C$50:$G$50,F$7))*INDEX(Premissas!$C$48:$G$48,F$7)+IF(F$4&gt;=Premissas!$B$75,INDEX(Premissas!$C$74:$G$74,F$7),0)+IF(F$4=DATE(YEAR(Premissas!$B$77),MONTH(Premissas!$B$77),1),Premissas!$B$76,0))</f>
        <v>-0</v>
      </c>
      <c r="G79" s="84" t="n">
        <f aca="false">-(G54*(1-INDEX(Premissas!$C$50:$G$50,G$7))*INDEX(Premissas!$C$48:$G$48,G$7)+IF(G$4&gt;=Premissas!$B$75,INDEX(Premissas!$C$74:$G$74,G$7),0)+IF(G$4=DATE(YEAR(Premissas!$B$77),MONTH(Premissas!$B$77),1),Premissas!$B$76,0))</f>
        <v>-0</v>
      </c>
      <c r="H79" s="84" t="n">
        <f aca="false">-(H54*(1-INDEX(Premissas!$C$50:$G$50,H$7))*INDEX(Premissas!$C$48:$G$48,H$7)+IF(H$4&gt;=Premissas!$B$75,INDEX(Premissas!$C$74:$G$74,H$7),0)+IF(H$4=DATE(YEAR(Premissas!$B$77),MONTH(Premissas!$B$77),1),Premissas!$B$76,0))</f>
        <v>-0</v>
      </c>
      <c r="I79" s="84" t="n">
        <f aca="false">-(I54*(1-INDEX(Premissas!$C$50:$G$50,I$7))*INDEX(Premissas!$C$48:$G$48,I$7)+IF(I$4&gt;=Premissas!$B$75,INDEX(Premissas!$C$74:$G$74,I$7),0)+IF(I$4=DATE(YEAR(Premissas!$B$77),MONTH(Premissas!$B$77),1),Premissas!$B$76,0))</f>
        <v>-0</v>
      </c>
      <c r="J79" s="84" t="n">
        <f aca="false">-(J54*(1-INDEX(Premissas!$C$50:$G$50,J$7))*INDEX(Premissas!$C$48:$G$48,J$7)+IF(J$4&gt;=Premissas!$B$75,INDEX(Premissas!$C$74:$G$74,J$7),0)+IF(J$4=DATE(YEAR(Premissas!$B$77),MONTH(Premissas!$B$77),1),Premissas!$B$76,0))</f>
        <v>-0</v>
      </c>
      <c r="K79" s="84" t="n">
        <f aca="false">-(K54*(1-INDEX(Premissas!$C$50:$G$50,K$7))*INDEX(Premissas!$C$48:$G$48,K$7)+IF(K$4&gt;=Premissas!$B$75,INDEX(Premissas!$C$74:$G$74,K$7),0)+IF(K$4=DATE(YEAR(Premissas!$B$77),MONTH(Premissas!$B$77),1),Premissas!$B$76,0))</f>
        <v>-59675</v>
      </c>
      <c r="L79" s="84" t="n">
        <f aca="false">-(L54*(1-INDEX(Premissas!$C$50:$G$50,L$7))*INDEX(Premissas!$C$48:$G$48,L$7)+IF(L$4&gt;=Premissas!$B$75,INDEX(Premissas!$C$74:$G$74,L$7),0)+IF(L$4=DATE(YEAR(Premissas!$B$77),MONTH(Premissas!$B$77),1),Premissas!$B$76,0))</f>
        <v>-34675</v>
      </c>
      <c r="M79" s="84" t="n">
        <f aca="false">-(M54*(1-INDEX(Premissas!$C$50:$G$50,M$7))*INDEX(Premissas!$C$48:$G$48,M$7)+IF(M$4&gt;=Premissas!$B$75,INDEX(Premissas!$C$74:$G$74,M$7),0)+IF(M$4=DATE(YEAR(Premissas!$B$77),MONTH(Premissas!$B$77),1),Premissas!$B$76,0))</f>
        <v>-34675</v>
      </c>
      <c r="N79" s="84" t="n">
        <f aca="false">-(N54*(1-INDEX(Premissas!$C$50:$G$50,N$7))*INDEX(Premissas!$C$48:$G$48,N$7)+IF(N$4&gt;=Premissas!$B$75,INDEX(Premissas!$C$74:$G$74,N$7),0)+IF(N$4=DATE(YEAR(Premissas!$B$77),MONTH(Premissas!$B$77),1),Premissas!$B$76,0))</f>
        <v>-59880</v>
      </c>
      <c r="O79" s="84" t="n">
        <f aca="false">-(O54*(1-INDEX(Premissas!$C$50:$G$50,O$7))*INDEX(Premissas!$C$48:$G$48,O$7)+IF(O$4&gt;=Premissas!$B$75,INDEX(Premissas!$C$74:$G$74,O$7),0)+IF(O$4=DATE(YEAR(Premissas!$B$77),MONTH(Premissas!$B$77),1),Premissas!$B$76,0))</f>
        <v>-59880</v>
      </c>
      <c r="P79" s="84" t="n">
        <f aca="false">-(P54*(1-INDEX(Premissas!$C$50:$G$50,P$7))*INDEX(Premissas!$C$48:$G$48,P$7)+IF(P$4&gt;=Premissas!$B$75,INDEX(Premissas!$C$74:$G$74,P$7),0)+IF(P$4=DATE(YEAR(Premissas!$B$77),MONTH(Premissas!$B$77),1),Premissas!$B$76,0))</f>
        <v>-59880</v>
      </c>
      <c r="Q79" s="84" t="n">
        <f aca="false">-(Q54*(1-INDEX(Premissas!$C$50:$G$50,Q$7))*INDEX(Premissas!$C$48:$G$48,Q$7)+IF(Q$4&gt;=Premissas!$B$75,INDEX(Premissas!$C$74:$G$74,Q$7),0)+IF(Q$4=DATE(YEAR(Premissas!$B$77),MONTH(Premissas!$B$77),1),Premissas!$B$76,0))</f>
        <v>-59880</v>
      </c>
      <c r="R79" s="84" t="n">
        <f aca="false">-(R54*(1-INDEX(Premissas!$C$50:$G$50,R$7))*INDEX(Premissas!$C$48:$G$48,R$7)+IF(R$4&gt;=Premissas!$B$75,INDEX(Premissas!$C$74:$G$74,R$7),0)+IF(R$4=DATE(YEAR(Premissas!$B$77),MONTH(Premissas!$B$77),1),Premissas!$B$76,0))</f>
        <v>-59880</v>
      </c>
      <c r="S79" s="84" t="n">
        <f aca="false">-(S54*(1-INDEX(Premissas!$C$50:$G$50,S$7))*INDEX(Premissas!$C$48:$G$48,S$7)+IF(S$4&gt;=Premissas!$B$75,INDEX(Premissas!$C$74:$G$74,S$7),0)+IF(S$4=DATE(YEAR(Premissas!$B$77),MONTH(Premissas!$B$77),1),Premissas!$B$76,0))</f>
        <v>-59880</v>
      </c>
      <c r="T79" s="84" t="n">
        <f aca="false">-(T54*(1-INDEX(Premissas!$C$50:$G$50,T$7))*INDEX(Premissas!$C$48:$G$48,T$7)+IF(T$4&gt;=Premissas!$B$75,INDEX(Premissas!$C$74:$G$74,T$7),0)+IF(T$4=DATE(YEAR(Premissas!$B$77),MONTH(Premissas!$B$77),1),Premissas!$B$76,0))</f>
        <v>-59880</v>
      </c>
      <c r="U79" s="84" t="n">
        <f aca="false">-(U54*(1-INDEX(Premissas!$C$50:$G$50,U$7))*INDEX(Premissas!$C$48:$G$48,U$7)+IF(U$4&gt;=Premissas!$B$75,INDEX(Premissas!$C$74:$G$74,U$7),0)+IF(U$4=DATE(YEAR(Premissas!$B$77),MONTH(Premissas!$B$77),1),Premissas!$B$76,0))</f>
        <v>-59880</v>
      </c>
      <c r="V79" s="84" t="n">
        <f aca="false">-(V54*(1-INDEX(Premissas!$C$50:$G$50,V$7))*INDEX(Premissas!$C$48:$G$48,V$7)+IF(V$4&gt;=Premissas!$B$75,INDEX(Premissas!$C$74:$G$74,V$7),0)+IF(V$4=DATE(YEAR(Premissas!$B$77),MONTH(Premissas!$B$77),1),Premissas!$B$76,0))</f>
        <v>-59880</v>
      </c>
      <c r="W79" s="84" t="n">
        <f aca="false">-(W54*(1-INDEX(Premissas!$C$50:$G$50,W$7))*INDEX(Premissas!$C$48:$G$48,W$7)+IF(W$4&gt;=Premissas!$B$75,INDEX(Premissas!$C$74:$G$74,W$7),0)+IF(W$4=DATE(YEAR(Premissas!$B$77),MONTH(Premissas!$B$77),1),Premissas!$B$76,0))</f>
        <v>-59880</v>
      </c>
      <c r="X79" s="84" t="n">
        <f aca="false">-(X54*(1-INDEX(Premissas!$C$50:$G$50,X$7))*INDEX(Premissas!$C$48:$G$48,X$7)+IF(X$4&gt;=Premissas!$B$75,INDEX(Premissas!$C$74:$G$74,X$7),0)+IF(X$4=DATE(YEAR(Premissas!$B$77),MONTH(Premissas!$B$77),1),Premissas!$B$76,0))</f>
        <v>-59880</v>
      </c>
      <c r="Y79" s="84" t="n">
        <f aca="false">-(Y54*(1-INDEX(Premissas!$C$50:$G$50,Y$7))*INDEX(Premissas!$C$48:$G$48,Y$7)+IF(Y$4&gt;=Premissas!$B$75,INDEX(Premissas!$C$74:$G$74,Y$7),0)+IF(Y$4=DATE(YEAR(Premissas!$B$77),MONTH(Premissas!$B$77),1),Premissas!$B$76,0))</f>
        <v>-59880</v>
      </c>
      <c r="Z79" s="84" t="n">
        <f aca="false">-(Z54*(1-INDEX(Premissas!$C$50:$G$50,Z$7))*INDEX(Premissas!$C$48:$G$48,Z$7)+IF(Z$4&gt;=Premissas!$B$75,INDEX(Premissas!$C$74:$G$74,Z$7),0)+IF(Z$4=DATE(YEAR(Premissas!$B$77),MONTH(Premissas!$B$77),1),Premissas!$B$76,0))</f>
        <v>-162375</v>
      </c>
      <c r="AA79" s="84" t="n">
        <f aca="false">-(AA54*(1-INDEX(Premissas!$C$50:$G$50,AA$7))*INDEX(Premissas!$C$48:$G$48,AA$7)+IF(AA$4&gt;=Premissas!$B$75,INDEX(Premissas!$C$74:$G$74,AA$7),0)+IF(AA$4=DATE(YEAR(Premissas!$B$77),MONTH(Premissas!$B$77),1),Premissas!$B$76,0))</f>
        <v>-162375</v>
      </c>
      <c r="AB79" s="84" t="n">
        <f aca="false">-(AB54*(1-INDEX(Premissas!$C$50:$G$50,AB$7))*INDEX(Premissas!$C$48:$G$48,AB$7)+IF(AB$4&gt;=Premissas!$B$75,INDEX(Premissas!$C$74:$G$74,AB$7),0)+IF(AB$4=DATE(YEAR(Premissas!$B$77),MONTH(Premissas!$B$77),1),Premissas!$B$76,0))</f>
        <v>-162375</v>
      </c>
      <c r="AC79" s="84" t="n">
        <f aca="false">-(AC54*(1-INDEX(Premissas!$C$50:$G$50,AC$7))*INDEX(Premissas!$C$48:$G$48,AC$7)+IF(AC$4&gt;=Premissas!$B$75,INDEX(Premissas!$C$74:$G$74,AC$7),0)+IF(AC$4=DATE(YEAR(Premissas!$B$77),MONTH(Premissas!$B$77),1),Premissas!$B$76,0))</f>
        <v>-162375</v>
      </c>
      <c r="AD79" s="84" t="n">
        <f aca="false">-(AD54*(1-INDEX(Premissas!$C$50:$G$50,AD$7))*INDEX(Premissas!$C$48:$G$48,AD$7)+IF(AD$4&gt;=Premissas!$B$75,INDEX(Premissas!$C$74:$G$74,AD$7),0)+IF(AD$4=DATE(YEAR(Premissas!$B$77),MONTH(Premissas!$B$77),1),Premissas!$B$76,0))</f>
        <v>-162375</v>
      </c>
      <c r="AE79" s="84" t="n">
        <f aca="false">-(AE54*(1-INDEX(Premissas!$C$50:$G$50,AE$7))*INDEX(Premissas!$C$48:$G$48,AE$7)+IF(AE$4&gt;=Premissas!$B$75,INDEX(Premissas!$C$74:$G$74,AE$7),0)+IF(AE$4=DATE(YEAR(Premissas!$B$77),MONTH(Premissas!$B$77),1),Premissas!$B$76,0))</f>
        <v>-162375</v>
      </c>
      <c r="AF79" s="84" t="n">
        <f aca="false">-(AF54*(1-INDEX(Premissas!$C$50:$G$50,AF$7))*INDEX(Premissas!$C$48:$G$48,AF$7)+IF(AF$4&gt;=Premissas!$B$75,INDEX(Premissas!$C$74:$G$74,AF$7),0)+IF(AF$4=DATE(YEAR(Premissas!$B$77),MONTH(Premissas!$B$77),1),Premissas!$B$76,0))</f>
        <v>-162375</v>
      </c>
      <c r="AG79" s="84" t="n">
        <f aca="false">-(AG54*(1-INDEX(Premissas!$C$50:$G$50,AG$7))*INDEX(Premissas!$C$48:$G$48,AG$7)+IF(AG$4&gt;=Premissas!$B$75,INDEX(Premissas!$C$74:$G$74,AG$7),0)+IF(AG$4=DATE(YEAR(Premissas!$B$77),MONTH(Premissas!$B$77),1),Premissas!$B$76,0))</f>
        <v>-162375</v>
      </c>
      <c r="AH79" s="84" t="n">
        <f aca="false">-(AH54*(1-INDEX(Premissas!$C$50:$G$50,AH$7))*INDEX(Premissas!$C$48:$G$48,AH$7)+IF(AH$4&gt;=Premissas!$B$75,INDEX(Premissas!$C$74:$G$74,AH$7),0)+IF(AH$4=DATE(YEAR(Premissas!$B$77),MONTH(Premissas!$B$77),1),Premissas!$B$76,0))</f>
        <v>-162375</v>
      </c>
      <c r="AI79" s="84" t="n">
        <f aca="false">-(AI54*(1-INDEX(Premissas!$C$50:$G$50,AI$7))*INDEX(Premissas!$C$48:$G$48,AI$7)+IF(AI$4&gt;=Premissas!$B$75,INDEX(Premissas!$C$74:$G$74,AI$7),0)+IF(AI$4=DATE(YEAR(Premissas!$B$77),MONTH(Premissas!$B$77),1),Premissas!$B$76,0))</f>
        <v>-162375</v>
      </c>
      <c r="AJ79" s="84" t="n">
        <f aca="false">-(AJ54*(1-INDEX(Premissas!$C$50:$G$50,AJ$7))*INDEX(Premissas!$C$48:$G$48,AJ$7)+IF(AJ$4&gt;=Premissas!$B$75,INDEX(Premissas!$C$74:$G$74,AJ$7),0)+IF(AJ$4=DATE(YEAR(Premissas!$B$77),MONTH(Premissas!$B$77),1),Premissas!$B$76,0))</f>
        <v>-162375</v>
      </c>
      <c r="AK79" s="84" t="n">
        <f aca="false">-(AK54*(1-INDEX(Premissas!$C$50:$G$50,AK$7))*INDEX(Premissas!$C$48:$G$48,AK$7)+IF(AK$4&gt;=Premissas!$B$75,INDEX(Premissas!$C$74:$G$74,AK$7),0)+IF(AK$4=DATE(YEAR(Premissas!$B$77),MONTH(Premissas!$B$77),1),Premissas!$B$76,0))</f>
        <v>-162375</v>
      </c>
      <c r="AL79" s="84" t="n">
        <f aca="false">-(AL54*(1-INDEX(Premissas!$C$50:$G$50,AL$7))*INDEX(Premissas!$C$48:$G$48,AL$7)+IF(AL$4&gt;=Premissas!$B$75,INDEX(Premissas!$C$74:$G$74,AL$7),0)+IF(AL$4=DATE(YEAR(Premissas!$B$77),MONTH(Premissas!$B$77),1),Premissas!$B$76,0))</f>
        <v>-313600</v>
      </c>
      <c r="AM79" s="84" t="n">
        <f aca="false">-(AM54*(1-INDEX(Premissas!$C$50:$G$50,AM$7))*INDEX(Premissas!$C$48:$G$48,AM$7)+IF(AM$4&gt;=Premissas!$B$75,INDEX(Premissas!$C$74:$G$74,AM$7),0)+IF(AM$4=DATE(YEAR(Premissas!$B$77),MONTH(Premissas!$B$77),1),Premissas!$B$76,0))</f>
        <v>-313600</v>
      </c>
      <c r="AN79" s="84" t="n">
        <f aca="false">-(AN54*(1-INDEX(Premissas!$C$50:$G$50,AN$7))*INDEX(Premissas!$C$48:$G$48,AN$7)+IF(AN$4&gt;=Premissas!$B$75,INDEX(Premissas!$C$74:$G$74,AN$7),0)+IF(AN$4=DATE(YEAR(Premissas!$B$77),MONTH(Premissas!$B$77),1),Premissas!$B$76,0))</f>
        <v>-313600</v>
      </c>
      <c r="AO79" s="84" t="n">
        <f aca="false">-(AO54*(1-INDEX(Premissas!$C$50:$G$50,AO$7))*INDEX(Premissas!$C$48:$G$48,AO$7)+IF(AO$4&gt;=Premissas!$B$75,INDEX(Premissas!$C$74:$G$74,AO$7),0)+IF(AO$4=DATE(YEAR(Premissas!$B$77),MONTH(Premissas!$B$77),1),Premissas!$B$76,0))</f>
        <v>-313600</v>
      </c>
      <c r="AP79" s="84" t="n">
        <f aca="false">-(AP54*(1-INDEX(Premissas!$C$50:$G$50,AP$7))*INDEX(Premissas!$C$48:$G$48,AP$7)+IF(AP$4&gt;=Premissas!$B$75,INDEX(Premissas!$C$74:$G$74,AP$7),0)+IF(AP$4=DATE(YEAR(Premissas!$B$77),MONTH(Premissas!$B$77),1),Premissas!$B$76,0))</f>
        <v>-313600</v>
      </c>
      <c r="AQ79" s="84" t="n">
        <f aca="false">-(AQ54*(1-INDEX(Premissas!$C$50:$G$50,AQ$7))*INDEX(Premissas!$C$48:$G$48,AQ$7)+IF(AQ$4&gt;=Premissas!$B$75,INDEX(Premissas!$C$74:$G$74,AQ$7),0)+IF(AQ$4=DATE(YEAR(Premissas!$B$77),MONTH(Premissas!$B$77),1),Premissas!$B$76,0))</f>
        <v>-313600</v>
      </c>
      <c r="AR79" s="84" t="n">
        <f aca="false">-(AR54*(1-INDEX(Premissas!$C$50:$G$50,AR$7))*INDEX(Premissas!$C$48:$G$48,AR$7)+IF(AR$4&gt;=Premissas!$B$75,INDEX(Premissas!$C$74:$G$74,AR$7),0)+IF(AR$4=DATE(YEAR(Premissas!$B$77),MONTH(Premissas!$B$77),1),Premissas!$B$76,0))</f>
        <v>-313600</v>
      </c>
      <c r="AS79" s="84" t="n">
        <f aca="false">-(AS54*(1-INDEX(Premissas!$C$50:$G$50,AS$7))*INDEX(Premissas!$C$48:$G$48,AS$7)+IF(AS$4&gt;=Premissas!$B$75,INDEX(Premissas!$C$74:$G$74,AS$7),0)+IF(AS$4=DATE(YEAR(Premissas!$B$77),MONTH(Premissas!$B$77),1),Premissas!$B$76,0))</f>
        <v>-313600</v>
      </c>
      <c r="AT79" s="84" t="n">
        <f aca="false">-(AT54*(1-INDEX(Premissas!$C$50:$G$50,AT$7))*INDEX(Premissas!$C$48:$G$48,AT$7)+IF(AT$4&gt;=Premissas!$B$75,INDEX(Premissas!$C$74:$G$74,AT$7),0)+IF(AT$4=DATE(YEAR(Premissas!$B$77),MONTH(Premissas!$B$77),1),Premissas!$B$76,0))</f>
        <v>-313600</v>
      </c>
      <c r="AU79" s="84" t="n">
        <f aca="false">-(AU54*(1-INDEX(Premissas!$C$50:$G$50,AU$7))*INDEX(Premissas!$C$48:$G$48,AU$7)+IF(AU$4&gt;=Premissas!$B$75,INDEX(Premissas!$C$74:$G$74,AU$7),0)+IF(AU$4=DATE(YEAR(Premissas!$B$77),MONTH(Premissas!$B$77),1),Premissas!$B$76,0))</f>
        <v>-313600</v>
      </c>
      <c r="AV79" s="84" t="n">
        <f aca="false">-(AV54*(1-INDEX(Premissas!$C$50:$G$50,AV$7))*INDEX(Premissas!$C$48:$G$48,AV$7)+IF(AV$4&gt;=Premissas!$B$75,INDEX(Premissas!$C$74:$G$74,AV$7),0)+IF(AV$4=DATE(YEAR(Premissas!$B$77),MONTH(Premissas!$B$77),1),Premissas!$B$76,0))</f>
        <v>-313600</v>
      </c>
      <c r="AW79" s="84" t="n">
        <f aca="false">-(AW54*(1-INDEX(Premissas!$C$50:$G$50,AW$7))*INDEX(Premissas!$C$48:$G$48,AW$7)+IF(AW$4&gt;=Premissas!$B$75,INDEX(Premissas!$C$74:$G$74,AW$7),0)+IF(AW$4=DATE(YEAR(Premissas!$B$77),MONTH(Premissas!$B$77),1),Premissas!$B$76,0))</f>
        <v>-313600</v>
      </c>
      <c r="AX79" s="84" t="n">
        <f aca="false">-(AX54*(1-INDEX(Premissas!$C$50:$G$50,AX$7))*INDEX(Premissas!$C$48:$G$48,AX$7)+IF(AX$4&gt;=Premissas!$B$75,INDEX(Premissas!$C$74:$G$74,AX$7),0)+IF(AX$4=DATE(YEAR(Premissas!$B$77),MONTH(Premissas!$B$77),1),Premissas!$B$76,0))</f>
        <v>-506500</v>
      </c>
      <c r="AY79" s="84" t="n">
        <f aca="false">-(AY54*(1-INDEX(Premissas!$C$50:$G$50,AY$7))*INDEX(Premissas!$C$48:$G$48,AY$7)+IF(AY$4&gt;=Premissas!$B$75,INDEX(Premissas!$C$74:$G$74,AY$7),0)+IF(AY$4=DATE(YEAR(Premissas!$B$77),MONTH(Premissas!$B$77),1),Premissas!$B$76,0))</f>
        <v>-506500</v>
      </c>
      <c r="AZ79" s="84" t="n">
        <f aca="false">-(AZ54*(1-INDEX(Premissas!$C$50:$G$50,AZ$7))*INDEX(Premissas!$C$48:$G$48,AZ$7)+IF(AZ$4&gt;=Premissas!$B$75,INDEX(Premissas!$C$74:$G$74,AZ$7),0)+IF(AZ$4=DATE(YEAR(Premissas!$B$77),MONTH(Premissas!$B$77),1),Premissas!$B$76,0))</f>
        <v>-506500</v>
      </c>
      <c r="BA79" s="84" t="n">
        <f aca="false">-(BA54*(1-INDEX(Premissas!$C$50:$G$50,BA$7))*INDEX(Premissas!$C$48:$G$48,BA$7)+IF(BA$4&gt;=Premissas!$B$75,INDEX(Premissas!$C$74:$G$74,BA$7),0)+IF(BA$4=DATE(YEAR(Premissas!$B$77),MONTH(Premissas!$B$77),1),Premissas!$B$76,0))</f>
        <v>-506500</v>
      </c>
      <c r="BB79" s="84" t="n">
        <f aca="false">-(BB54*(1-INDEX(Premissas!$C$50:$G$50,BB$7))*INDEX(Premissas!$C$48:$G$48,BB$7)+IF(BB$4&gt;=Premissas!$B$75,INDEX(Premissas!$C$74:$G$74,BB$7),0)+IF(BB$4=DATE(YEAR(Premissas!$B$77),MONTH(Premissas!$B$77),1),Premissas!$B$76,0))</f>
        <v>-506500</v>
      </c>
      <c r="BC79" s="84" t="n">
        <f aca="false">-(BC54*(1-INDEX(Premissas!$C$50:$G$50,BC$7))*INDEX(Premissas!$C$48:$G$48,BC$7)+IF(BC$4&gt;=Premissas!$B$75,INDEX(Premissas!$C$74:$G$74,BC$7),0)+IF(BC$4=DATE(YEAR(Premissas!$B$77),MONTH(Premissas!$B$77),1),Premissas!$B$76,0))</f>
        <v>-506500</v>
      </c>
      <c r="BD79" s="84" t="n">
        <f aca="false">-(BD54*(1-INDEX(Premissas!$C$50:$G$50,BD$7))*INDEX(Premissas!$C$48:$G$48,BD$7)+IF(BD$4&gt;=Premissas!$B$75,INDEX(Premissas!$C$74:$G$74,BD$7),0)+IF(BD$4=DATE(YEAR(Premissas!$B$77),MONTH(Premissas!$B$77),1),Premissas!$B$76,0))</f>
        <v>-506500</v>
      </c>
      <c r="BE79" s="84" t="n">
        <f aca="false">-(BE54*(1-INDEX(Premissas!$C$50:$G$50,BE$7))*INDEX(Premissas!$C$48:$G$48,BE$7)+IF(BE$4&gt;=Premissas!$B$75,INDEX(Premissas!$C$74:$G$74,BE$7),0)+IF(BE$4=DATE(YEAR(Premissas!$B$77),MONTH(Premissas!$B$77),1),Premissas!$B$76,0))</f>
        <v>-506500</v>
      </c>
      <c r="BF79" s="84" t="n">
        <f aca="false">-(BF54*(1-INDEX(Premissas!$C$50:$G$50,BF$7))*INDEX(Premissas!$C$48:$G$48,BF$7)+IF(BF$4&gt;=Premissas!$B$75,INDEX(Premissas!$C$74:$G$74,BF$7),0)+IF(BF$4=DATE(YEAR(Premissas!$B$77),MONTH(Premissas!$B$77),1),Premissas!$B$76,0))</f>
        <v>-506500</v>
      </c>
      <c r="BG79" s="84" t="n">
        <f aca="false">-(BG54*(1-INDEX(Premissas!$C$50:$G$50,BG$7))*INDEX(Premissas!$C$48:$G$48,BG$7)+IF(BG$4&gt;=Premissas!$B$75,INDEX(Premissas!$C$74:$G$74,BG$7),0)+IF(BG$4=DATE(YEAR(Premissas!$B$77),MONTH(Premissas!$B$77),1),Premissas!$B$76,0))</f>
        <v>-506500</v>
      </c>
      <c r="BH79" s="84" t="n">
        <f aca="false">-(BH54*(1-INDEX(Premissas!$C$50:$G$50,BH$7))*INDEX(Premissas!$C$48:$G$48,BH$7)+IF(BH$4&gt;=Premissas!$B$75,INDEX(Premissas!$C$74:$G$74,BH$7),0)+IF(BH$4=DATE(YEAR(Premissas!$B$77),MONTH(Premissas!$B$77),1),Premissas!$B$76,0))</f>
        <v>-506500</v>
      </c>
      <c r="BI79" s="84" t="n">
        <f aca="false">-(BI54*(1-INDEX(Premissas!$C$50:$G$50,BI$7))*INDEX(Premissas!$C$48:$G$48,BI$7)+IF(BI$4&gt;=Premissas!$B$75,INDEX(Premissas!$C$74:$G$74,BI$7),0)+IF(BI$4=DATE(YEAR(Premissas!$B$77),MONTH(Premissas!$B$77),1),Premissas!$B$76,0))</f>
        <v>-506500</v>
      </c>
      <c r="BJ79" s="69" t="n">
        <f aca="false">SUM(B79:BI79)</f>
        <v>-12637285</v>
      </c>
    </row>
    <row r="80" customFormat="false" ht="15" hidden="false" customHeight="false" outlineLevel="0" collapsed="false">
      <c r="A80" s="12" t="s">
        <v>217</v>
      </c>
      <c r="B80" s="84" t="n">
        <f aca="false">-IF(B$4&gt;=Premissas!$B$72,INDEX(Premissas!$C$73:$G$73,B$7),0)</f>
        <v>-0</v>
      </c>
      <c r="C80" s="84" t="n">
        <f aca="false">-IF(C$4&gt;=Premissas!$B$72,INDEX(Premissas!$C$73:$G$73,C$7),0)</f>
        <v>-0</v>
      </c>
      <c r="D80" s="84" t="n">
        <f aca="false">-IF(D$4&gt;=Premissas!$B$72,INDEX(Premissas!$C$73:$G$73,D$7),0)</f>
        <v>-0</v>
      </c>
      <c r="E80" s="84" t="n">
        <f aca="false">-IF(E$4&gt;=Premissas!$B$72,INDEX(Premissas!$C$73:$G$73,E$7),0)</f>
        <v>-1500</v>
      </c>
      <c r="F80" s="84" t="n">
        <f aca="false">-IF(F$4&gt;=Premissas!$B$72,INDEX(Premissas!$C$73:$G$73,F$7),0)</f>
        <v>-1500</v>
      </c>
      <c r="G80" s="84" t="n">
        <f aca="false">-IF(G$4&gt;=Premissas!$B$72,INDEX(Premissas!$C$73:$G$73,G$7),0)</f>
        <v>-1500</v>
      </c>
      <c r="H80" s="84" t="n">
        <f aca="false">-IF(H$4&gt;=Premissas!$B$72,INDEX(Premissas!$C$73:$G$73,H$7),0)</f>
        <v>-1500</v>
      </c>
      <c r="I80" s="84" t="n">
        <f aca="false">-IF(I$4&gt;=Premissas!$B$72,INDEX(Premissas!$C$73:$G$73,I$7),0)</f>
        <v>-1500</v>
      </c>
      <c r="J80" s="84" t="n">
        <f aca="false">-IF(J$4&gt;=Premissas!$B$72,INDEX(Premissas!$C$73:$G$73,J$7),0)</f>
        <v>-1500</v>
      </c>
      <c r="K80" s="84" t="n">
        <f aca="false">-IF(K$4&gt;=Premissas!$B$72,INDEX(Premissas!$C$73:$G$73,K$7),0)</f>
        <v>-1500</v>
      </c>
      <c r="L80" s="84" t="n">
        <f aca="false">-IF(L$4&gt;=Premissas!$B$72,INDEX(Premissas!$C$73:$G$73,L$7),0)</f>
        <v>-1500</v>
      </c>
      <c r="M80" s="84" t="n">
        <f aca="false">-IF(M$4&gt;=Premissas!$B$72,INDEX(Premissas!$C$73:$G$73,M$7),0)</f>
        <v>-1500</v>
      </c>
      <c r="N80" s="84" t="n">
        <f aca="false">-IF(N$4&gt;=Premissas!$B$72,INDEX(Premissas!$C$73:$G$73,N$7),0)</f>
        <v>-6000</v>
      </c>
      <c r="O80" s="84" t="n">
        <f aca="false">-IF(O$4&gt;=Premissas!$B$72,INDEX(Premissas!$C$73:$G$73,O$7),0)</f>
        <v>-6000</v>
      </c>
      <c r="P80" s="84" t="n">
        <f aca="false">-IF(P$4&gt;=Premissas!$B$72,INDEX(Premissas!$C$73:$G$73,P$7),0)</f>
        <v>-6000</v>
      </c>
      <c r="Q80" s="84" t="n">
        <f aca="false">-IF(Q$4&gt;=Premissas!$B$72,INDEX(Premissas!$C$73:$G$73,Q$7),0)</f>
        <v>-6000</v>
      </c>
      <c r="R80" s="84" t="n">
        <f aca="false">-IF(R$4&gt;=Premissas!$B$72,INDEX(Premissas!$C$73:$G$73,R$7),0)</f>
        <v>-6000</v>
      </c>
      <c r="S80" s="84" t="n">
        <f aca="false">-IF(S$4&gt;=Premissas!$B$72,INDEX(Premissas!$C$73:$G$73,S$7),0)</f>
        <v>-6000</v>
      </c>
      <c r="T80" s="84" t="n">
        <f aca="false">-IF(T$4&gt;=Premissas!$B$72,INDEX(Premissas!$C$73:$G$73,T$7),0)</f>
        <v>-6000</v>
      </c>
      <c r="U80" s="84" t="n">
        <f aca="false">-IF(U$4&gt;=Premissas!$B$72,INDEX(Premissas!$C$73:$G$73,U$7),0)</f>
        <v>-6000</v>
      </c>
      <c r="V80" s="84" t="n">
        <f aca="false">-IF(V$4&gt;=Premissas!$B$72,INDEX(Premissas!$C$73:$G$73,V$7),0)</f>
        <v>-6000</v>
      </c>
      <c r="W80" s="84" t="n">
        <f aca="false">-IF(W$4&gt;=Premissas!$B$72,INDEX(Premissas!$C$73:$G$73,W$7),0)</f>
        <v>-6000</v>
      </c>
      <c r="X80" s="84" t="n">
        <f aca="false">-IF(X$4&gt;=Premissas!$B$72,INDEX(Premissas!$C$73:$G$73,X$7),0)</f>
        <v>-6000</v>
      </c>
      <c r="Y80" s="84" t="n">
        <f aca="false">-IF(Y$4&gt;=Premissas!$B$72,INDEX(Premissas!$C$73:$G$73,Y$7),0)</f>
        <v>-6000</v>
      </c>
      <c r="Z80" s="84" t="n">
        <f aca="false">-IF(Z$4&gt;=Premissas!$B$72,INDEX(Premissas!$C$73:$G$73,Z$7),0)</f>
        <v>-25000</v>
      </c>
      <c r="AA80" s="84" t="n">
        <f aca="false">-IF(AA$4&gt;=Premissas!$B$72,INDEX(Premissas!$C$73:$G$73,AA$7),0)</f>
        <v>-25000</v>
      </c>
      <c r="AB80" s="84" t="n">
        <f aca="false">-IF(AB$4&gt;=Premissas!$B$72,INDEX(Premissas!$C$73:$G$73,AB$7),0)</f>
        <v>-25000</v>
      </c>
      <c r="AC80" s="84" t="n">
        <f aca="false">-IF(AC$4&gt;=Premissas!$B$72,INDEX(Premissas!$C$73:$G$73,AC$7),0)</f>
        <v>-25000</v>
      </c>
      <c r="AD80" s="84" t="n">
        <f aca="false">-IF(AD$4&gt;=Premissas!$B$72,INDEX(Premissas!$C$73:$G$73,AD$7),0)</f>
        <v>-25000</v>
      </c>
      <c r="AE80" s="84" t="n">
        <f aca="false">-IF(AE$4&gt;=Premissas!$B$72,INDEX(Premissas!$C$73:$G$73,AE$7),0)</f>
        <v>-25000</v>
      </c>
      <c r="AF80" s="84" t="n">
        <f aca="false">-IF(AF$4&gt;=Premissas!$B$72,INDEX(Premissas!$C$73:$G$73,AF$7),0)</f>
        <v>-25000</v>
      </c>
      <c r="AG80" s="84" t="n">
        <f aca="false">-IF(AG$4&gt;=Premissas!$B$72,INDEX(Premissas!$C$73:$G$73,AG$7),0)</f>
        <v>-25000</v>
      </c>
      <c r="AH80" s="84" t="n">
        <f aca="false">-IF(AH$4&gt;=Premissas!$B$72,INDEX(Premissas!$C$73:$G$73,AH$7),0)</f>
        <v>-25000</v>
      </c>
      <c r="AI80" s="84" t="n">
        <f aca="false">-IF(AI$4&gt;=Premissas!$B$72,INDEX(Premissas!$C$73:$G$73,AI$7),0)</f>
        <v>-25000</v>
      </c>
      <c r="AJ80" s="84" t="n">
        <f aca="false">-IF(AJ$4&gt;=Premissas!$B$72,INDEX(Premissas!$C$73:$G$73,AJ$7),0)</f>
        <v>-25000</v>
      </c>
      <c r="AK80" s="84" t="n">
        <f aca="false">-IF(AK$4&gt;=Premissas!$B$72,INDEX(Premissas!$C$73:$G$73,AK$7),0)</f>
        <v>-25000</v>
      </c>
      <c r="AL80" s="84" t="n">
        <f aca="false">-IF(AL$4&gt;=Premissas!$B$72,INDEX(Premissas!$C$73:$G$73,AL$7),0)</f>
        <v>-60000</v>
      </c>
      <c r="AM80" s="84" t="n">
        <f aca="false">-IF(AM$4&gt;=Premissas!$B$72,INDEX(Premissas!$C$73:$G$73,AM$7),0)</f>
        <v>-60000</v>
      </c>
      <c r="AN80" s="84" t="n">
        <f aca="false">-IF(AN$4&gt;=Premissas!$B$72,INDEX(Premissas!$C$73:$G$73,AN$7),0)</f>
        <v>-60000</v>
      </c>
      <c r="AO80" s="84" t="n">
        <f aca="false">-IF(AO$4&gt;=Premissas!$B$72,INDEX(Premissas!$C$73:$G$73,AO$7),0)</f>
        <v>-60000</v>
      </c>
      <c r="AP80" s="84" t="n">
        <f aca="false">-IF(AP$4&gt;=Premissas!$B$72,INDEX(Premissas!$C$73:$G$73,AP$7),0)</f>
        <v>-60000</v>
      </c>
      <c r="AQ80" s="84" t="n">
        <f aca="false">-IF(AQ$4&gt;=Premissas!$B$72,INDEX(Premissas!$C$73:$G$73,AQ$7),0)</f>
        <v>-60000</v>
      </c>
      <c r="AR80" s="84" t="n">
        <f aca="false">-IF(AR$4&gt;=Premissas!$B$72,INDEX(Premissas!$C$73:$G$73,AR$7),0)</f>
        <v>-60000</v>
      </c>
      <c r="AS80" s="84" t="n">
        <f aca="false">-IF(AS$4&gt;=Premissas!$B$72,INDEX(Premissas!$C$73:$G$73,AS$7),0)</f>
        <v>-60000</v>
      </c>
      <c r="AT80" s="84" t="n">
        <f aca="false">-IF(AT$4&gt;=Premissas!$B$72,INDEX(Premissas!$C$73:$G$73,AT$7),0)</f>
        <v>-60000</v>
      </c>
      <c r="AU80" s="84" t="n">
        <f aca="false">-IF(AU$4&gt;=Premissas!$B$72,INDEX(Premissas!$C$73:$G$73,AU$7),0)</f>
        <v>-60000</v>
      </c>
      <c r="AV80" s="84" t="n">
        <f aca="false">-IF(AV$4&gt;=Premissas!$B$72,INDEX(Premissas!$C$73:$G$73,AV$7),0)</f>
        <v>-60000</v>
      </c>
      <c r="AW80" s="84" t="n">
        <f aca="false">-IF(AW$4&gt;=Premissas!$B$72,INDEX(Premissas!$C$73:$G$73,AW$7),0)</f>
        <v>-60000</v>
      </c>
      <c r="AX80" s="84" t="n">
        <f aca="false">-IF(AX$4&gt;=Premissas!$B$72,INDEX(Premissas!$C$73:$G$73,AX$7),0)</f>
        <v>-110000</v>
      </c>
      <c r="AY80" s="84" t="n">
        <f aca="false">-IF(AY$4&gt;=Premissas!$B$72,INDEX(Premissas!$C$73:$G$73,AY$7),0)</f>
        <v>-110000</v>
      </c>
      <c r="AZ80" s="84" t="n">
        <f aca="false">-IF(AZ$4&gt;=Premissas!$B$72,INDEX(Premissas!$C$73:$G$73,AZ$7),0)</f>
        <v>-110000</v>
      </c>
      <c r="BA80" s="84" t="n">
        <f aca="false">-IF(BA$4&gt;=Premissas!$B$72,INDEX(Premissas!$C$73:$G$73,BA$7),0)</f>
        <v>-110000</v>
      </c>
      <c r="BB80" s="84" t="n">
        <f aca="false">-IF(BB$4&gt;=Premissas!$B$72,INDEX(Premissas!$C$73:$G$73,BB$7),0)</f>
        <v>-110000</v>
      </c>
      <c r="BC80" s="84" t="n">
        <f aca="false">-IF(BC$4&gt;=Premissas!$B$72,INDEX(Premissas!$C$73:$G$73,BC$7),0)</f>
        <v>-110000</v>
      </c>
      <c r="BD80" s="84" t="n">
        <f aca="false">-IF(BD$4&gt;=Premissas!$B$72,INDEX(Premissas!$C$73:$G$73,BD$7),0)</f>
        <v>-110000</v>
      </c>
      <c r="BE80" s="84" t="n">
        <f aca="false">-IF(BE$4&gt;=Premissas!$B$72,INDEX(Premissas!$C$73:$G$73,BE$7),0)</f>
        <v>-110000</v>
      </c>
      <c r="BF80" s="84" t="n">
        <f aca="false">-IF(BF$4&gt;=Premissas!$B$72,INDEX(Premissas!$C$73:$G$73,BF$7),0)</f>
        <v>-110000</v>
      </c>
      <c r="BG80" s="84" t="n">
        <f aca="false">-IF(BG$4&gt;=Premissas!$B$72,INDEX(Premissas!$C$73:$G$73,BG$7),0)</f>
        <v>-110000</v>
      </c>
      <c r="BH80" s="84" t="n">
        <f aca="false">-IF(BH$4&gt;=Premissas!$B$72,INDEX(Premissas!$C$73:$G$73,BH$7),0)</f>
        <v>-110000</v>
      </c>
      <c r="BI80" s="84" t="n">
        <f aca="false">-IF(BI$4&gt;=Premissas!$B$72,INDEX(Premissas!$C$73:$G$73,BI$7),0)</f>
        <v>-110000</v>
      </c>
      <c r="BJ80" s="69" t="n">
        <f aca="false">SUM(B80:BI80)</f>
        <v>-2425500</v>
      </c>
    </row>
    <row r="81" customFormat="false" ht="15" hidden="false" customHeight="false" outlineLevel="0" collapsed="false">
      <c r="A81" s="34" t="s">
        <v>355</v>
      </c>
      <c r="B81" s="69" t="n">
        <f aca="false">SUM(B75:B80)</f>
        <v>0</v>
      </c>
      <c r="C81" s="69" t="n">
        <f aca="false">SUM(C75:C80)</f>
        <v>0</v>
      </c>
      <c r="D81" s="69" t="n">
        <f aca="false">SUM(D75:D80)</f>
        <v>0</v>
      </c>
      <c r="E81" s="69" t="n">
        <f aca="false">SUM(E75:E80)</f>
        <v>-1500</v>
      </c>
      <c r="F81" s="69" t="n">
        <f aca="false">SUM(F75:F80)</f>
        <v>-2100</v>
      </c>
      <c r="G81" s="69" t="n">
        <f aca="false">SUM(G75:G80)</f>
        <v>-2100</v>
      </c>
      <c r="H81" s="69" t="n">
        <f aca="false">SUM(H75:H80)</f>
        <v>-2100</v>
      </c>
      <c r="I81" s="69" t="n">
        <f aca="false">SUM(I75:I80)</f>
        <v>-2100</v>
      </c>
      <c r="J81" s="69" t="n">
        <f aca="false">SUM(J75:J80)</f>
        <v>-2100</v>
      </c>
      <c r="K81" s="69" t="n">
        <f aca="false">SUM(K75:K80)</f>
        <v>-44189.655375</v>
      </c>
      <c r="L81" s="69" t="n">
        <f aca="false">SUM(L75:L80)</f>
        <v>-7017.05935</v>
      </c>
      <c r="M81" s="69" t="n">
        <f aca="false">SUM(M75:M80)</f>
        <v>7908.1834</v>
      </c>
      <c r="N81" s="69" t="n">
        <f aca="false">SUM(N75:N80)</f>
        <v>-27026.94952315</v>
      </c>
      <c r="O81" s="69" t="n">
        <f aca="false">SUM(O75:O80)</f>
        <v>-8244.70560212516</v>
      </c>
      <c r="P81" s="69" t="n">
        <f aca="false">SUM(P75:P80)</f>
        <v>8069.8929661121</v>
      </c>
      <c r="Q81" s="69" t="n">
        <f aca="false">SUM(Q75:Q80)</f>
        <v>22678.0492113196</v>
      </c>
      <c r="R81" s="69" t="n">
        <f aca="false">SUM(R75:R80)</f>
        <v>36249.4697029503</v>
      </c>
      <c r="S81" s="69" t="n">
        <f aca="false">SUM(S75:S80)</f>
        <v>48009.038858845</v>
      </c>
      <c r="T81" s="69" t="n">
        <f aca="false">SUM(T75:T80)</f>
        <v>59111.4088733819</v>
      </c>
      <c r="U81" s="69" t="n">
        <f aca="false">SUM(U75:U80)</f>
        <v>69493.4835982719</v>
      </c>
      <c r="V81" s="69" t="n">
        <f aca="false">SUM(V75:V80)</f>
        <v>79276.5066844774</v>
      </c>
      <c r="W81" s="69" t="n">
        <f aca="false">SUM(W75:W80)</f>
        <v>86808.2429875609</v>
      </c>
      <c r="X81" s="69" t="n">
        <f aca="false">SUM(X75:X80)</f>
        <v>93550.9101039425</v>
      </c>
      <c r="Y81" s="69" t="n">
        <f aca="false">SUM(Y75:Y80)</f>
        <v>100054.911400121</v>
      </c>
      <c r="Z81" s="69" t="n">
        <f aca="false">SUM(Z75:Z80)</f>
        <v>-33630.3611132733</v>
      </c>
      <c r="AA81" s="69" t="n">
        <f aca="false">SUM(AA75:AA80)</f>
        <v>2631.29882572954</v>
      </c>
      <c r="AB81" s="69" t="n">
        <f aca="false">SUM(AB75:AB80)</f>
        <v>35967.4118958319</v>
      </c>
      <c r="AC81" s="69" t="n">
        <f aca="false">SUM(AC75:AC80)</f>
        <v>74451.5765354096</v>
      </c>
      <c r="AD81" s="69" t="n">
        <f aca="false">SUM(AD75:AD80)</f>
        <v>94624.3372791493</v>
      </c>
      <c r="AE81" s="69" t="n">
        <f aca="false">SUM(AE75:AE80)</f>
        <v>136456.572460462</v>
      </c>
      <c r="AF81" s="69" t="n">
        <f aca="false">SUM(AF75:AF80)</f>
        <v>163536.873180623</v>
      </c>
      <c r="AG81" s="69" t="n">
        <f aca="false">SUM(AG75:AG80)</f>
        <v>188742.354036882</v>
      </c>
      <c r="AH81" s="69" t="n">
        <f aca="false">SUM(AH75:AH80)</f>
        <v>212176.507481075</v>
      </c>
      <c r="AI81" s="69" t="n">
        <f aca="false">SUM(AI75:AI80)</f>
        <v>233929.92007177</v>
      </c>
      <c r="AJ81" s="69" t="n">
        <f aca="false">SUM(AJ75:AJ80)</f>
        <v>254156.643350166</v>
      </c>
      <c r="AK81" s="69" t="n">
        <f aca="false">SUM(AK75:AK80)</f>
        <v>273037.035120235</v>
      </c>
      <c r="AL81" s="69" t="n">
        <f aca="false">SUM(AL75:AL80)</f>
        <v>91039.7115739451</v>
      </c>
      <c r="AM81" s="69" t="n">
        <f aca="false">SUM(AM75:AM80)</f>
        <v>153834.326019236</v>
      </c>
      <c r="AN81" s="69" t="n">
        <f aca="false">SUM(AN75:AN80)</f>
        <v>212539.959418507</v>
      </c>
      <c r="AO81" s="69" t="n">
        <f aca="false">SUM(AO75:AO80)</f>
        <v>267433.560971211</v>
      </c>
      <c r="AP81" s="69" t="n">
        <f aca="false">SUM(AP75:AP80)</f>
        <v>318747.443148262</v>
      </c>
      <c r="AQ81" s="69" t="n">
        <f aca="false">SUM(AQ75:AQ80)</f>
        <v>366744.33150064</v>
      </c>
      <c r="AR81" s="69" t="n">
        <f aca="false">SUM(AR75:AR80)</f>
        <v>411634.359338907</v>
      </c>
      <c r="AS81" s="69" t="n">
        <f aca="false">SUM(AS75:AS80)</f>
        <v>453585.897869278</v>
      </c>
      <c r="AT81" s="69" t="n">
        <f aca="false">SUM(AT75:AT80)</f>
        <v>492777.516849346</v>
      </c>
      <c r="AU81" s="69" t="n">
        <f aca="false">SUM(AU75:AU80)</f>
        <v>529489.17981966</v>
      </c>
      <c r="AV81" s="69" t="n">
        <f aca="false">SUM(AV75:AV80)</f>
        <v>563801.368535813</v>
      </c>
      <c r="AW81" s="69" t="n">
        <f aca="false">SUM(AW75:AW80)</f>
        <v>595848.363093709</v>
      </c>
      <c r="AX81" s="69" t="n">
        <f aca="false">SUM(AX75:AX80)</f>
        <v>401360.592464958</v>
      </c>
      <c r="AY81" s="69" t="n">
        <f aca="false">SUM(AY75:AY80)</f>
        <v>489907.563978917</v>
      </c>
      <c r="AZ81" s="69" t="n">
        <f aca="false">SUM(AZ75:AZ80)</f>
        <v>573178.574121103</v>
      </c>
      <c r="BA81" s="69" t="n">
        <f aca="false">SUM(BA75:BA80)</f>
        <v>651423.318470566</v>
      </c>
      <c r="BB81" s="69" t="n">
        <f aca="false">SUM(BB75:BB80)</f>
        <v>724969.857056905</v>
      </c>
      <c r="BC81" s="69" t="n">
        <f aca="false">SUM(BC75:BC80)</f>
        <v>794116.986206983</v>
      </c>
      <c r="BD81" s="69" t="n">
        <f aca="false">SUM(BD75:BD80)</f>
        <v>859107.410529969</v>
      </c>
      <c r="BE81" s="69" t="n">
        <f aca="false">SUM(BE75:BE80)</f>
        <v>920220.775989314</v>
      </c>
      <c r="BF81" s="69" t="n">
        <f aca="false">SUM(BF75:BF80)</f>
        <v>977651.382004738</v>
      </c>
      <c r="BG81" s="69" t="n">
        <f aca="false">SUM(BG75:BG80)</f>
        <v>1031624.48010269</v>
      </c>
      <c r="BH81" s="69" t="n">
        <f aca="false">SUM(BH75:BH80)</f>
        <v>1082332.69107085</v>
      </c>
      <c r="BI81" s="69" t="n">
        <f aca="false">SUM(BI75:BI80)</f>
        <v>1130087.77650079</v>
      </c>
      <c r="BJ81" s="69" t="n">
        <f aca="false">SUM(B81:BI81)</f>
        <v>16242269.3236971</v>
      </c>
    </row>
    <row r="82" customFormat="false" ht="15" hidden="false" customHeight="false" outlineLevel="0" collapsed="false">
      <c r="A82" s="12" t="s">
        <v>356</v>
      </c>
      <c r="B82" s="84" t="n">
        <f aca="false">-Investimentos!B32</f>
        <v>-0</v>
      </c>
      <c r="C82" s="84" t="n">
        <f aca="false">-Investimentos!C32</f>
        <v>-0</v>
      </c>
      <c r="D82" s="84" t="n">
        <f aca="false">-Investimentos!D32</f>
        <v>-0</v>
      </c>
      <c r="E82" s="84" t="n">
        <f aca="false">-Investimentos!E32</f>
        <v>-0</v>
      </c>
      <c r="F82" s="84" t="n">
        <f aca="false">-Investimentos!F32</f>
        <v>-6000</v>
      </c>
      <c r="G82" s="84" t="n">
        <f aca="false">-Investimentos!G32</f>
        <v>-0</v>
      </c>
      <c r="H82" s="84" t="n">
        <f aca="false">-Investimentos!H32</f>
        <v>-0</v>
      </c>
      <c r="I82" s="84" t="n">
        <f aca="false">-Investimentos!I32</f>
        <v>-16127.82</v>
      </c>
      <c r="J82" s="84" t="n">
        <f aca="false">-Investimentos!J32</f>
        <v>-7000</v>
      </c>
      <c r="K82" s="84" t="n">
        <f aca="false">-Investimentos!K32</f>
        <v>-7000</v>
      </c>
      <c r="L82" s="84" t="n">
        <f aca="false">-Investimentos!L32</f>
        <v>-0</v>
      </c>
      <c r="M82" s="84" t="n">
        <f aca="false">-Investimentos!M32</f>
        <v>-0</v>
      </c>
      <c r="N82" s="84" t="n">
        <f aca="false">-Investimentos!N32</f>
        <v>-15000</v>
      </c>
      <c r="O82" s="84" t="n">
        <f aca="false">-Investimentos!O32</f>
        <v>-0</v>
      </c>
      <c r="P82" s="84" t="n">
        <f aca="false">-Investimentos!P32</f>
        <v>-12000</v>
      </c>
      <c r="Q82" s="84" t="n">
        <f aca="false">-Investimentos!Q32</f>
        <v>-0</v>
      </c>
      <c r="R82" s="84" t="n">
        <f aca="false">-Investimentos!R32</f>
        <v>-0</v>
      </c>
      <c r="S82" s="84" t="n">
        <f aca="false">-Investimentos!S32</f>
        <v>-6000</v>
      </c>
      <c r="T82" s="84" t="n">
        <f aca="false">-Investimentos!T32</f>
        <v>-25000</v>
      </c>
      <c r="U82" s="84" t="n">
        <f aca="false">-Investimentos!U32</f>
        <v>-0</v>
      </c>
      <c r="V82" s="84" t="n">
        <f aca="false">-Investimentos!V32</f>
        <v>-0</v>
      </c>
      <c r="W82" s="84" t="n">
        <f aca="false">-Investimentos!W32</f>
        <v>-0</v>
      </c>
      <c r="X82" s="84" t="n">
        <f aca="false">-Investimentos!X32</f>
        <v>-0</v>
      </c>
      <c r="Y82" s="84" t="n">
        <f aca="false">-Investimentos!Y32</f>
        <v>-0</v>
      </c>
      <c r="Z82" s="84" t="n">
        <f aca="false">-Investimentos!Z32</f>
        <v>-45000</v>
      </c>
      <c r="AA82" s="84" t="n">
        <f aca="false">-Investimentos!AA32</f>
        <v>-0</v>
      </c>
      <c r="AB82" s="84" t="n">
        <f aca="false">-Investimentos!AB32</f>
        <v>-0</v>
      </c>
      <c r="AC82" s="84" t="n">
        <f aca="false">-Investimentos!AC32</f>
        <v>-0</v>
      </c>
      <c r="AD82" s="84" t="n">
        <f aca="false">-Investimentos!AD32</f>
        <v>-0</v>
      </c>
      <c r="AE82" s="84" t="n">
        <f aca="false">-Investimentos!AE32</f>
        <v>-15000</v>
      </c>
      <c r="AF82" s="84" t="n">
        <f aca="false">-Investimentos!AF32</f>
        <v>-0</v>
      </c>
      <c r="AG82" s="84" t="n">
        <f aca="false">-Investimentos!AG32</f>
        <v>-0</v>
      </c>
      <c r="AH82" s="84" t="n">
        <f aca="false">-Investimentos!AH32</f>
        <v>-0</v>
      </c>
      <c r="AI82" s="84" t="n">
        <f aca="false">-Investimentos!AI32</f>
        <v>-0</v>
      </c>
      <c r="AJ82" s="84" t="n">
        <f aca="false">-Investimentos!AJ32</f>
        <v>-0</v>
      </c>
      <c r="AK82" s="84" t="n">
        <f aca="false">-Investimentos!AK32</f>
        <v>-0</v>
      </c>
      <c r="AL82" s="84" t="n">
        <f aca="false">-Investimentos!AL32</f>
        <v>-60000</v>
      </c>
      <c r="AM82" s="84" t="n">
        <f aca="false">-Investimentos!AM32</f>
        <v>-0</v>
      </c>
      <c r="AN82" s="84" t="n">
        <f aca="false">-Investimentos!AN32</f>
        <v>-0</v>
      </c>
      <c r="AO82" s="84" t="n">
        <f aca="false">-Investimentos!AO32</f>
        <v>-0</v>
      </c>
      <c r="AP82" s="84" t="n">
        <f aca="false">-Investimentos!AP32</f>
        <v>-0</v>
      </c>
      <c r="AQ82" s="84" t="n">
        <f aca="false">-Investimentos!AQ32</f>
        <v>-25000</v>
      </c>
      <c r="AR82" s="84" t="n">
        <f aca="false">-Investimentos!AR32</f>
        <v>-0</v>
      </c>
      <c r="AS82" s="84" t="n">
        <f aca="false">-Investimentos!AS32</f>
        <v>-0</v>
      </c>
      <c r="AT82" s="84" t="n">
        <f aca="false">-Investimentos!AT32</f>
        <v>-0</v>
      </c>
      <c r="AU82" s="84" t="n">
        <f aca="false">-Investimentos!AU32</f>
        <v>-0</v>
      </c>
      <c r="AV82" s="84" t="n">
        <f aca="false">-Investimentos!AV32</f>
        <v>-0</v>
      </c>
      <c r="AW82" s="84" t="n">
        <f aca="false">-Investimentos!AW32</f>
        <v>-0</v>
      </c>
      <c r="AX82" s="84" t="n">
        <f aca="false">-Investimentos!AX32</f>
        <v>-70000</v>
      </c>
      <c r="AY82" s="84" t="n">
        <f aca="false">-Investimentos!AY32</f>
        <v>-0</v>
      </c>
      <c r="AZ82" s="84" t="n">
        <f aca="false">-Investimentos!AZ32</f>
        <v>-0</v>
      </c>
      <c r="BA82" s="84" t="n">
        <f aca="false">-Investimentos!BA32</f>
        <v>-0</v>
      </c>
      <c r="BB82" s="84" t="n">
        <f aca="false">-Investimentos!BB32</f>
        <v>-0</v>
      </c>
      <c r="BC82" s="84" t="n">
        <f aca="false">-Investimentos!BC32</f>
        <v>-30000</v>
      </c>
      <c r="BD82" s="84" t="n">
        <f aca="false">-Investimentos!BD32</f>
        <v>-0</v>
      </c>
      <c r="BE82" s="84" t="n">
        <f aca="false">-Investimentos!BE32</f>
        <v>-0</v>
      </c>
      <c r="BF82" s="84" t="n">
        <f aca="false">-Investimentos!BF32</f>
        <v>-0</v>
      </c>
      <c r="BG82" s="84" t="n">
        <f aca="false">-Investimentos!BG32</f>
        <v>-0</v>
      </c>
      <c r="BH82" s="84" t="n">
        <f aca="false">-Investimentos!BH32</f>
        <v>-0</v>
      </c>
      <c r="BI82" s="84" t="n">
        <f aca="false">-Investimentos!BI32</f>
        <v>-0</v>
      </c>
      <c r="BJ82" s="69" t="n">
        <f aca="false">SUM(B82:BI82)</f>
        <v>-339127.82</v>
      </c>
    </row>
    <row r="83" customFormat="false" ht="15" hidden="false" customHeight="false" outlineLevel="0" collapsed="false">
      <c r="A83" s="34" t="s">
        <v>266</v>
      </c>
      <c r="B83" s="69" t="n">
        <f aca="false">B81+B82</f>
        <v>0</v>
      </c>
      <c r="C83" s="69" t="n">
        <f aca="false">C81+C82</f>
        <v>0</v>
      </c>
      <c r="D83" s="69" t="n">
        <f aca="false">D81+D82</f>
        <v>0</v>
      </c>
      <c r="E83" s="69" t="n">
        <f aca="false">E81+E82</f>
        <v>-1500</v>
      </c>
      <c r="F83" s="69" t="n">
        <f aca="false">F81+F82</f>
        <v>-8100</v>
      </c>
      <c r="G83" s="69" t="n">
        <f aca="false">G81+G82</f>
        <v>-2100</v>
      </c>
      <c r="H83" s="69" t="n">
        <f aca="false">H81+H82</f>
        <v>-2100</v>
      </c>
      <c r="I83" s="69" t="n">
        <f aca="false">I81+I82</f>
        <v>-18227.82</v>
      </c>
      <c r="J83" s="69" t="n">
        <f aca="false">J81+J82</f>
        <v>-9100</v>
      </c>
      <c r="K83" s="69" t="n">
        <f aca="false">K81+K82</f>
        <v>-51189.655375</v>
      </c>
      <c r="L83" s="69" t="n">
        <f aca="false">L81+L82</f>
        <v>-7017.05935</v>
      </c>
      <c r="M83" s="69" t="n">
        <f aca="false">M81+M82</f>
        <v>7908.1834</v>
      </c>
      <c r="N83" s="69" t="n">
        <f aca="false">N81+N82</f>
        <v>-42026.94952315</v>
      </c>
      <c r="O83" s="69" t="n">
        <f aca="false">O81+O82</f>
        <v>-8244.70560212516</v>
      </c>
      <c r="P83" s="69" t="n">
        <f aca="false">P81+P82</f>
        <v>-3930.1070338879</v>
      </c>
      <c r="Q83" s="69" t="n">
        <f aca="false">Q81+Q82</f>
        <v>22678.0492113196</v>
      </c>
      <c r="R83" s="69" t="n">
        <f aca="false">R81+R82</f>
        <v>36249.4697029503</v>
      </c>
      <c r="S83" s="69" t="n">
        <f aca="false">S81+S82</f>
        <v>42009.038858845</v>
      </c>
      <c r="T83" s="69" t="n">
        <f aca="false">T81+T82</f>
        <v>34111.4088733819</v>
      </c>
      <c r="U83" s="69" t="n">
        <f aca="false">U81+U82</f>
        <v>69493.4835982719</v>
      </c>
      <c r="V83" s="69" t="n">
        <f aca="false">V81+V82</f>
        <v>79276.5066844774</v>
      </c>
      <c r="W83" s="69" t="n">
        <f aca="false">W81+W82</f>
        <v>86808.2429875609</v>
      </c>
      <c r="X83" s="69" t="n">
        <f aca="false">X81+X82</f>
        <v>93550.9101039425</v>
      </c>
      <c r="Y83" s="69" t="n">
        <f aca="false">Y81+Y82</f>
        <v>100054.911400121</v>
      </c>
      <c r="Z83" s="69" t="n">
        <f aca="false">Z81+Z82</f>
        <v>-78630.3611132733</v>
      </c>
      <c r="AA83" s="69" t="n">
        <f aca="false">AA81+AA82</f>
        <v>2631.29882572954</v>
      </c>
      <c r="AB83" s="69" t="n">
        <f aca="false">AB81+AB82</f>
        <v>35967.4118958319</v>
      </c>
      <c r="AC83" s="69" t="n">
        <f aca="false">AC81+AC82</f>
        <v>74451.5765354096</v>
      </c>
      <c r="AD83" s="69" t="n">
        <f aca="false">AD81+AD82</f>
        <v>94624.3372791493</v>
      </c>
      <c r="AE83" s="69" t="n">
        <f aca="false">AE81+AE82</f>
        <v>121456.572460462</v>
      </c>
      <c r="AF83" s="69" t="n">
        <f aca="false">AF81+AF82</f>
        <v>163536.873180623</v>
      </c>
      <c r="AG83" s="69" t="n">
        <f aca="false">AG81+AG82</f>
        <v>188742.354036882</v>
      </c>
      <c r="AH83" s="69" t="n">
        <f aca="false">AH81+AH82</f>
        <v>212176.507481075</v>
      </c>
      <c r="AI83" s="69" t="n">
        <f aca="false">AI81+AI82</f>
        <v>233929.92007177</v>
      </c>
      <c r="AJ83" s="69" t="n">
        <f aca="false">AJ81+AJ82</f>
        <v>254156.643350166</v>
      </c>
      <c r="AK83" s="69" t="n">
        <f aca="false">AK81+AK82</f>
        <v>273037.035120235</v>
      </c>
      <c r="AL83" s="69" t="n">
        <f aca="false">AL81+AL82</f>
        <v>31039.7115739451</v>
      </c>
      <c r="AM83" s="69" t="n">
        <f aca="false">AM81+AM82</f>
        <v>153834.326019236</v>
      </c>
      <c r="AN83" s="69" t="n">
        <f aca="false">AN81+AN82</f>
        <v>212539.959418507</v>
      </c>
      <c r="AO83" s="69" t="n">
        <f aca="false">AO81+AO82</f>
        <v>267433.560971211</v>
      </c>
      <c r="AP83" s="69" t="n">
        <f aca="false">AP81+AP82</f>
        <v>318747.443148262</v>
      </c>
      <c r="AQ83" s="69" t="n">
        <f aca="false">AQ81+AQ82</f>
        <v>341744.33150064</v>
      </c>
      <c r="AR83" s="69" t="n">
        <f aca="false">AR81+AR82</f>
        <v>411634.359338907</v>
      </c>
      <c r="AS83" s="69" t="n">
        <f aca="false">AS81+AS82</f>
        <v>453585.897869278</v>
      </c>
      <c r="AT83" s="69" t="n">
        <f aca="false">AT81+AT82</f>
        <v>492777.516849346</v>
      </c>
      <c r="AU83" s="69" t="n">
        <f aca="false">AU81+AU82</f>
        <v>529489.17981966</v>
      </c>
      <c r="AV83" s="69" t="n">
        <f aca="false">AV81+AV82</f>
        <v>563801.368535813</v>
      </c>
      <c r="AW83" s="69" t="n">
        <f aca="false">AW81+AW82</f>
        <v>595848.363093709</v>
      </c>
      <c r="AX83" s="69" t="n">
        <f aca="false">AX81+AX82</f>
        <v>331360.592464958</v>
      </c>
      <c r="AY83" s="69" t="n">
        <f aca="false">AY81+AY82</f>
        <v>489907.563978917</v>
      </c>
      <c r="AZ83" s="69" t="n">
        <f aca="false">AZ81+AZ82</f>
        <v>573178.574121103</v>
      </c>
      <c r="BA83" s="69" t="n">
        <f aca="false">BA81+BA82</f>
        <v>651423.318470566</v>
      </c>
      <c r="BB83" s="69" t="n">
        <f aca="false">BB81+BB82</f>
        <v>724969.857056905</v>
      </c>
      <c r="BC83" s="69" t="n">
        <f aca="false">BC81+BC82</f>
        <v>764116.986206983</v>
      </c>
      <c r="BD83" s="69" t="n">
        <f aca="false">BD81+BD82</f>
        <v>859107.410529969</v>
      </c>
      <c r="BE83" s="69" t="n">
        <f aca="false">BE81+BE82</f>
        <v>920220.775989314</v>
      </c>
      <c r="BF83" s="69" t="n">
        <f aca="false">BF81+BF82</f>
        <v>977651.382004738</v>
      </c>
      <c r="BG83" s="69" t="n">
        <f aca="false">BG81+BG82</f>
        <v>1031624.48010269</v>
      </c>
      <c r="BH83" s="69" t="n">
        <f aca="false">BH81+BH82</f>
        <v>1082332.69107085</v>
      </c>
      <c r="BI83" s="69" t="n">
        <f aca="false">BI81+BI82</f>
        <v>1130087.77650079</v>
      </c>
      <c r="BJ83" s="69" t="n">
        <f aca="false">SUM(B83:BI83)</f>
        <v>15903141.5036971</v>
      </c>
    </row>
    <row r="84" customFormat="false" ht="15" hidden="false" customHeight="false" outlineLevel="0" collapsed="false">
      <c r="A84" s="12" t="s">
        <v>268</v>
      </c>
      <c r="B84" s="84" t="n">
        <f aca="false">B83/(1+Premissas!$B$12)^B$5</f>
        <v>0</v>
      </c>
      <c r="C84" s="84" t="n">
        <f aca="false">C83/(1+Premissas!$B$12)^C$5</f>
        <v>0</v>
      </c>
      <c r="D84" s="84" t="n">
        <f aca="false">D83/(1+Premissas!$B$12)^D$5</f>
        <v>0</v>
      </c>
      <c r="E84" s="84" t="n">
        <f aca="false">E83/(1+Premissas!$B$12)^E$5</f>
        <v>-1392.47665008383</v>
      </c>
      <c r="F84" s="84" t="n">
        <f aca="false">F83/(1+Premissas!$B$12)^F$5</f>
        <v>-7380.84094984538</v>
      </c>
      <c r="G84" s="84" t="n">
        <f aca="false">G83/(1+Premissas!$B$12)^G$5</f>
        <v>-1878.29710109982</v>
      </c>
      <c r="H84" s="84" t="n">
        <f aca="false">H83/(1+Premissas!$B$12)^H$5</f>
        <v>-1843.69235056949</v>
      </c>
      <c r="I84" s="84" t="n">
        <f aca="false">I83/(1+Premissas!$B$12)^I$5</f>
        <v>-15708.2590926628</v>
      </c>
      <c r="J84" s="84" t="n">
        <f aca="false">J83/(1+Premissas!$B$12)^J$5</f>
        <v>-7697.6627978473</v>
      </c>
      <c r="K84" s="84" t="n">
        <f aca="false">K83/(1+Premissas!$B$12)^K$5</f>
        <v>-42503.4185321602</v>
      </c>
      <c r="L84" s="84" t="n">
        <f aca="false">L83/(1+Premissas!$B$12)^L$5</f>
        <v>-5719.01151785079</v>
      </c>
      <c r="M84" s="84" t="n">
        <f aca="false">M83/(1+Premissas!$B$12)^M$5</f>
        <v>6326.54671999999</v>
      </c>
      <c r="N84" s="84" t="n">
        <f aca="false">N83/(1+Premissas!$B$12)^N$5</f>
        <v>-33002.1338192903</v>
      </c>
      <c r="O84" s="84" t="n">
        <f aca="false">O83/(1+Premissas!$B$12)^O$5</f>
        <v>-6354.9695043456</v>
      </c>
      <c r="P84" s="84" t="n">
        <f aca="false">P83/(1+Premissas!$B$12)^P$5</f>
        <v>-2973.49259982707</v>
      </c>
      <c r="Q84" s="84" t="n">
        <f aca="false">Q83/(1+Premissas!$B$12)^Q$5</f>
        <v>16841.9487979811</v>
      </c>
      <c r="R84" s="84" t="n">
        <f aca="false">R83/(1+Premissas!$B$12)^R$5</f>
        <v>26424.8464586385</v>
      </c>
      <c r="S84" s="84" t="n">
        <f aca="false">S83/(1+Premissas!$B$12)^S$5</f>
        <v>30059.2212984984</v>
      </c>
      <c r="T84" s="84" t="n">
        <f aca="false">T83/(1+Premissas!$B$12)^T$5</f>
        <v>23958.4547074295</v>
      </c>
      <c r="U84" s="84" t="n">
        <f aca="false">U83/(1+Premissas!$B$12)^U$5</f>
        <v>47910.1349744891</v>
      </c>
      <c r="V84" s="84" t="n">
        <f aca="false">V83/(1+Premissas!$B$12)^V$5</f>
        <v>53647.8080218369</v>
      </c>
      <c r="W84" s="84" t="n">
        <f aca="false">W83/(1+Premissas!$B$12)^W$5</f>
        <v>57662.3859912713</v>
      </c>
      <c r="X84" s="84" t="n">
        <f aca="false">X83/(1+Premissas!$B$12)^X$5</f>
        <v>60996.3468403465</v>
      </c>
      <c r="Y84" s="84" t="n">
        <f aca="false">Y83/(1+Premissas!$B$12)^Y$5</f>
        <v>64035.1432960773</v>
      </c>
      <c r="Z84" s="84" t="n">
        <f aca="false">Z83/(1+Premissas!$B$12)^Z$5</f>
        <v>-49396.2988827435</v>
      </c>
      <c r="AA84" s="84" t="n">
        <f aca="false">AA83/(1+Premissas!$B$12)^AA$5</f>
        <v>1622.5514507173</v>
      </c>
      <c r="AB84" s="84" t="n">
        <f aca="false">AB83/(1+Premissas!$B$12)^AB$5</f>
        <v>21770.1619187481</v>
      </c>
      <c r="AC84" s="84" t="n">
        <f aca="false">AC83/(1+Premissas!$B$12)^AC$5</f>
        <v>44233.4216053278</v>
      </c>
      <c r="AD84" s="84" t="n">
        <f aca="false">AD83/(1+Premissas!$B$12)^AD$5</f>
        <v>55182.7898028187</v>
      </c>
      <c r="AE84" s="84" t="n">
        <f aca="false">AE83/(1+Premissas!$B$12)^AE$5</f>
        <v>69525.7989979449</v>
      </c>
      <c r="AF84" s="84" t="n">
        <f aca="false">AF83/(1+Premissas!$B$12)^AF$5</f>
        <v>91889.2745506035</v>
      </c>
      <c r="AG84" s="84" t="n">
        <f aca="false">AG83/(1+Premissas!$B$12)^AG$5</f>
        <v>104098.067203926</v>
      </c>
      <c r="AH84" s="84" t="n">
        <f aca="false">AH83/(1+Premissas!$B$12)^AH$5</f>
        <v>114866.862995287</v>
      </c>
      <c r="AI84" s="84" t="n">
        <f aca="false">AI83/(1+Premissas!$B$12)^AI$5</f>
        <v>124310.38234946</v>
      </c>
      <c r="AJ84" s="84" t="n">
        <f aca="false">AJ83/(1+Premissas!$B$12)^AJ$5</f>
        <v>132570.612107058</v>
      </c>
      <c r="AK84" s="84" t="n">
        <f aca="false">AK83/(1+Premissas!$B$12)^AK$5</f>
        <v>139794.96198156</v>
      </c>
      <c r="AL84" s="84" t="n">
        <f aca="false">AL83/(1+Premissas!$B$12)^AL$5</f>
        <v>15599.5404160179</v>
      </c>
      <c r="AM84" s="84" t="n">
        <f aca="false">AM83/(1+Premissas!$B$12)^AM$5</f>
        <v>75887.7270530994</v>
      </c>
      <c r="AN84" s="84" t="n">
        <f aca="false">AN83/(1+Premissas!$B$12)^AN$5</f>
        <v>102916.036197339</v>
      </c>
      <c r="AO84" s="84" t="n">
        <f aca="false">AO83/(1+Premissas!$B$12)^AO$5</f>
        <v>127110.822946537</v>
      </c>
      <c r="AP84" s="84" t="n">
        <f aca="false">AP83/(1+Premissas!$B$12)^AP$5</f>
        <v>148709.084036563</v>
      </c>
      <c r="AQ84" s="84" t="n">
        <f aca="false">AQ83/(1+Premissas!$B$12)^AQ$5</f>
        <v>156500.696301701</v>
      </c>
      <c r="AR84" s="84" t="n">
        <f aca="false">AR83/(1+Premissas!$B$12)^AR$5</f>
        <v>185033.65962233</v>
      </c>
      <c r="AS84" s="84" t="n">
        <f aca="false">AS83/(1+Premissas!$B$12)^AS$5</f>
        <v>200134.900383504</v>
      </c>
      <c r="AT84" s="84" t="n">
        <f aca="false">AT83/(1+Premissas!$B$12)^AT$5</f>
        <v>213421.582576064</v>
      </c>
      <c r="AU84" s="84" t="n">
        <f aca="false">AU83/(1+Premissas!$B$12)^AU$5</f>
        <v>225096.48145253</v>
      </c>
      <c r="AV84" s="84" t="n">
        <f aca="false">AV83/(1+Premissas!$B$12)^AV$5</f>
        <v>235267.484015709</v>
      </c>
      <c r="AW84" s="84" t="n">
        <f aca="false">AW83/(1+Premissas!$B$12)^AW$5</f>
        <v>244059.489523182</v>
      </c>
      <c r="AX84" s="84" t="n">
        <f aca="false">AX83/(1+Premissas!$B$12)^AX$5</f>
        <v>133224.767688156</v>
      </c>
      <c r="AY84" s="84" t="n">
        <f aca="false">AY83/(1+Premissas!$B$12)^AY$5</f>
        <v>193340.315954357</v>
      </c>
      <c r="AZ84" s="84" t="n">
        <f aca="false">AZ83/(1+Premissas!$B$12)^AZ$5</f>
        <v>222035.487512754</v>
      </c>
      <c r="BA84" s="84" t="n">
        <f aca="false">BA83/(1+Premissas!$B$12)^BA$5</f>
        <v>247696.523343294</v>
      </c>
      <c r="BB84" s="84" t="n">
        <f aca="false">BB83/(1+Premissas!$B$12)^BB$5</f>
        <v>270583.135870123</v>
      </c>
      <c r="BC84" s="84" t="n">
        <f aca="false">BC83/(1+Premissas!$B$12)^BC$5</f>
        <v>279939.895119229</v>
      </c>
      <c r="BD84" s="84" t="n">
        <f aca="false">BD83/(1+Premissas!$B$12)^BD$5</f>
        <v>308941.728643493</v>
      </c>
      <c r="BE84" s="84" t="n">
        <f aca="false">BE83/(1+Premissas!$B$12)^BE$5</f>
        <v>324821.903323862</v>
      </c>
      <c r="BF84" s="84" t="n">
        <f aca="false">BF83/(1+Premissas!$B$12)^BF$5</f>
        <v>338736.079501642</v>
      </c>
      <c r="BG84" s="84" t="n">
        <f aca="false">BG83/(1+Premissas!$B$12)^BG$5</f>
        <v>350851.423601142</v>
      </c>
      <c r="BH84" s="84" t="n">
        <f aca="false">BH83/(1+Premissas!$B$12)^BH$5</f>
        <v>361315.460808449</v>
      </c>
      <c r="BI84" s="84" t="n">
        <f aca="false">BI83/(1+Premissas!$B$12)^BI$5</f>
        <v>370307.162603776</v>
      </c>
      <c r="BJ84" s="69" t="n">
        <f aca="false">SUM(B84:BI84)</f>
        <v>6443408.55676655</v>
      </c>
    </row>
    <row r="85" customFormat="false" ht="15" hidden="false" customHeight="false" outlineLevel="0" collapsed="false">
      <c r="A85" s="12" t="s">
        <v>269</v>
      </c>
      <c r="B85" s="84" t="n">
        <f aca="false">B84</f>
        <v>0</v>
      </c>
      <c r="C85" s="84" t="n">
        <f aca="false">B85+C84</f>
        <v>0</v>
      </c>
      <c r="D85" s="84" t="n">
        <f aca="false">C85+D84</f>
        <v>0</v>
      </c>
      <c r="E85" s="84" t="n">
        <f aca="false">D85+E84</f>
        <v>-1392.47665008383</v>
      </c>
      <c r="F85" s="84" t="n">
        <f aca="false">E85+F84</f>
        <v>-8773.31759992921</v>
      </c>
      <c r="G85" s="84" t="n">
        <f aca="false">F85+G84</f>
        <v>-10651.614701029</v>
      </c>
      <c r="H85" s="84" t="n">
        <f aca="false">G85+H84</f>
        <v>-12495.3070515985</v>
      </c>
      <c r="I85" s="84" t="n">
        <f aca="false">H85+I84</f>
        <v>-28203.5661442613</v>
      </c>
      <c r="J85" s="84" t="n">
        <f aca="false">I85+J84</f>
        <v>-35901.2289421086</v>
      </c>
      <c r="K85" s="84" t="n">
        <f aca="false">J85+K84</f>
        <v>-78404.6474742688</v>
      </c>
      <c r="L85" s="84" t="n">
        <f aca="false">K85+L84</f>
        <v>-84123.6589921196</v>
      </c>
      <c r="M85" s="84" t="n">
        <f aca="false">L85+M84</f>
        <v>-77797.1122721196</v>
      </c>
      <c r="N85" s="84" t="n">
        <f aca="false">M85+N84</f>
        <v>-110799.24609141</v>
      </c>
      <c r="O85" s="84" t="n">
        <f aca="false">N85+O84</f>
        <v>-117154.215595755</v>
      </c>
      <c r="P85" s="84" t="n">
        <f aca="false">O85+P84</f>
        <v>-120127.708195583</v>
      </c>
      <c r="Q85" s="84" t="n">
        <f aca="false">P85+Q84</f>
        <v>-103285.759397601</v>
      </c>
      <c r="R85" s="84" t="n">
        <f aca="false">Q85+R84</f>
        <v>-76860.9129389629</v>
      </c>
      <c r="S85" s="84" t="n">
        <f aca="false">R85+S84</f>
        <v>-46801.6916404645</v>
      </c>
      <c r="T85" s="84" t="n">
        <f aca="false">S85+T84</f>
        <v>-22843.236933035</v>
      </c>
      <c r="U85" s="84" t="n">
        <f aca="false">T85+U84</f>
        <v>25066.8980414541</v>
      </c>
      <c r="V85" s="84" t="n">
        <f aca="false">U85+V84</f>
        <v>78714.7060632909</v>
      </c>
      <c r="W85" s="84" t="n">
        <f aca="false">V85+W84</f>
        <v>136377.092054562</v>
      </c>
      <c r="X85" s="84" t="n">
        <f aca="false">W85+X84</f>
        <v>197373.438894909</v>
      </c>
      <c r="Y85" s="84" t="n">
        <f aca="false">X85+Y84</f>
        <v>261408.582190986</v>
      </c>
      <c r="Z85" s="84" t="n">
        <f aca="false">Y85+Z84</f>
        <v>212012.283308242</v>
      </c>
      <c r="AA85" s="84" t="n">
        <f aca="false">Z85+AA84</f>
        <v>213634.83475896</v>
      </c>
      <c r="AB85" s="84" t="n">
        <f aca="false">AA85+AB84</f>
        <v>235404.996677708</v>
      </c>
      <c r="AC85" s="84" t="n">
        <f aca="false">AB85+AC84</f>
        <v>279638.418283036</v>
      </c>
      <c r="AD85" s="84" t="n">
        <f aca="false">AC85+AD84</f>
        <v>334821.208085854</v>
      </c>
      <c r="AE85" s="84" t="n">
        <f aca="false">AD85+AE84</f>
        <v>404347.007083799</v>
      </c>
      <c r="AF85" s="84" t="n">
        <f aca="false">AE85+AF84</f>
        <v>496236.281634403</v>
      </c>
      <c r="AG85" s="84" t="n">
        <f aca="false">AF85+AG84</f>
        <v>600334.348838329</v>
      </c>
      <c r="AH85" s="84" t="n">
        <f aca="false">AG85+AH84</f>
        <v>715201.211833616</v>
      </c>
      <c r="AI85" s="84" t="n">
        <f aca="false">AH85+AI84</f>
        <v>839511.594183076</v>
      </c>
      <c r="AJ85" s="84" t="n">
        <f aca="false">AI85+AJ84</f>
        <v>972082.206290133</v>
      </c>
      <c r="AK85" s="84" t="n">
        <f aca="false">AJ85+AK84</f>
        <v>1111877.16827169</v>
      </c>
      <c r="AL85" s="84" t="n">
        <f aca="false">AK85+AL84</f>
        <v>1127476.70868771</v>
      </c>
      <c r="AM85" s="84" t="n">
        <f aca="false">AL85+AM84</f>
        <v>1203364.43574081</v>
      </c>
      <c r="AN85" s="84" t="n">
        <f aca="false">AM85+AN84</f>
        <v>1306280.47193815</v>
      </c>
      <c r="AO85" s="84" t="n">
        <f aca="false">AN85+AO84</f>
        <v>1433391.29488469</v>
      </c>
      <c r="AP85" s="84" t="n">
        <f aca="false">AO85+AP84</f>
        <v>1582100.37892125</v>
      </c>
      <c r="AQ85" s="84" t="n">
        <f aca="false">AP85+AQ84</f>
        <v>1738601.07522295</v>
      </c>
      <c r="AR85" s="84" t="n">
        <f aca="false">AQ85+AR84</f>
        <v>1923634.73484528</v>
      </c>
      <c r="AS85" s="84" t="n">
        <f aca="false">AR85+AS84</f>
        <v>2123769.63522878</v>
      </c>
      <c r="AT85" s="84" t="n">
        <f aca="false">AS85+AT84</f>
        <v>2337191.21780485</v>
      </c>
      <c r="AU85" s="84" t="n">
        <f aca="false">AT85+AU84</f>
        <v>2562287.69925738</v>
      </c>
      <c r="AV85" s="84" t="n">
        <f aca="false">AU85+AV84</f>
        <v>2797555.18327309</v>
      </c>
      <c r="AW85" s="84" t="n">
        <f aca="false">AV85+AW84</f>
        <v>3041614.67279627</v>
      </c>
      <c r="AX85" s="84" t="n">
        <f aca="false">AW85+AX84</f>
        <v>3174839.44048443</v>
      </c>
      <c r="AY85" s="84" t="n">
        <f aca="false">AX85+AY84</f>
        <v>3368179.75643878</v>
      </c>
      <c r="AZ85" s="84" t="n">
        <f aca="false">AY85+AZ84</f>
        <v>3590215.24395154</v>
      </c>
      <c r="BA85" s="84" t="n">
        <f aca="false">AZ85+BA84</f>
        <v>3837911.76729483</v>
      </c>
      <c r="BB85" s="84" t="n">
        <f aca="false">BA85+BB84</f>
        <v>4108494.90316495</v>
      </c>
      <c r="BC85" s="84" t="n">
        <f aca="false">BB85+BC84</f>
        <v>4388434.79828418</v>
      </c>
      <c r="BD85" s="84" t="n">
        <f aca="false">BC85+BD84</f>
        <v>4697376.52692768</v>
      </c>
      <c r="BE85" s="84" t="n">
        <f aca="false">BD85+BE84</f>
        <v>5022198.43025154</v>
      </c>
      <c r="BF85" s="84" t="n">
        <f aca="false">BE85+BF84</f>
        <v>5360934.50975318</v>
      </c>
      <c r="BG85" s="84" t="n">
        <f aca="false">BF85+BG84</f>
        <v>5711785.93335432</v>
      </c>
      <c r="BH85" s="84" t="n">
        <f aca="false">BG85+BH84</f>
        <v>6073101.39416277</v>
      </c>
      <c r="BI85" s="84" t="n">
        <f aca="false">BH85+BI84</f>
        <v>6443408.55676655</v>
      </c>
      <c r="BJ85" s="69" t="n">
        <f aca="false">BI85</f>
        <v>6443408.55676655</v>
      </c>
      <c r="BK85" s="14" t="s">
        <v>344</v>
      </c>
    </row>
    <row r="86" customFormat="false" ht="15" hidden="false" customHeight="false" outlineLevel="0" collapsed="false">
      <c r="A86" s="12" t="s">
        <v>270</v>
      </c>
      <c r="B86" s="84" t="n">
        <f aca="false">B83</f>
        <v>0</v>
      </c>
      <c r="C86" s="84" t="n">
        <f aca="false">B86+C83</f>
        <v>0</v>
      </c>
      <c r="D86" s="84" t="n">
        <f aca="false">C86+D83</f>
        <v>0</v>
      </c>
      <c r="E86" s="84" t="n">
        <f aca="false">D86+E83</f>
        <v>-1500</v>
      </c>
      <c r="F86" s="84" t="n">
        <f aca="false">E86+F83</f>
        <v>-9600</v>
      </c>
      <c r="G86" s="84" t="n">
        <f aca="false">F86+G83</f>
        <v>-11700</v>
      </c>
      <c r="H86" s="84" t="n">
        <f aca="false">G86+H83</f>
        <v>-13800</v>
      </c>
      <c r="I86" s="84" t="n">
        <f aca="false">H86+I83</f>
        <v>-32027.82</v>
      </c>
      <c r="J86" s="84" t="n">
        <f aca="false">I86+J83</f>
        <v>-41127.82</v>
      </c>
      <c r="K86" s="84" t="n">
        <f aca="false">J86+K83</f>
        <v>-92317.475375</v>
      </c>
      <c r="L86" s="84" t="n">
        <f aca="false">K86+L83</f>
        <v>-99334.534725</v>
      </c>
      <c r="M86" s="84" t="n">
        <f aca="false">L86+M83</f>
        <v>-91426.351325</v>
      </c>
      <c r="N86" s="84" t="n">
        <f aca="false">M86+N83</f>
        <v>-133453.30084815</v>
      </c>
      <c r="O86" s="84" t="n">
        <f aca="false">N86+O83</f>
        <v>-141698.006450275</v>
      </c>
      <c r="P86" s="84" t="n">
        <f aca="false">O86+P83</f>
        <v>-145628.113484163</v>
      </c>
      <c r="Q86" s="84" t="n">
        <f aca="false">P86+Q83</f>
        <v>-122950.064272843</v>
      </c>
      <c r="R86" s="84" t="n">
        <f aca="false">Q86+R83</f>
        <v>-86700.5945698932</v>
      </c>
      <c r="S86" s="84" t="n">
        <f aca="false">R86+S83</f>
        <v>-44691.5557110482</v>
      </c>
      <c r="T86" s="84" t="n">
        <f aca="false">S86+T83</f>
        <v>-10580.1468376663</v>
      </c>
      <c r="U86" s="84" t="n">
        <f aca="false">T86+U83</f>
        <v>58913.3367606056</v>
      </c>
      <c r="V86" s="84" t="n">
        <f aca="false">U86+V83</f>
        <v>138189.843445083</v>
      </c>
      <c r="W86" s="84" t="n">
        <f aca="false">V86+W83</f>
        <v>224998.086432644</v>
      </c>
      <c r="X86" s="84" t="n">
        <f aca="false">W86+X83</f>
        <v>318548.996536586</v>
      </c>
      <c r="Y86" s="84" t="n">
        <f aca="false">X86+Y83</f>
        <v>418603.907936707</v>
      </c>
      <c r="Z86" s="84" t="n">
        <f aca="false">Y86+Z83</f>
        <v>339973.546823434</v>
      </c>
      <c r="AA86" s="84" t="n">
        <f aca="false">Z86+AA83</f>
        <v>342604.845649164</v>
      </c>
      <c r="AB86" s="84" t="n">
        <f aca="false">AA86+AB83</f>
        <v>378572.257544995</v>
      </c>
      <c r="AC86" s="84" t="n">
        <f aca="false">AB86+AC83</f>
        <v>453023.834080405</v>
      </c>
      <c r="AD86" s="84" t="n">
        <f aca="false">AC86+AD83</f>
        <v>547648.171359554</v>
      </c>
      <c r="AE86" s="84" t="n">
        <f aca="false">AD86+AE83</f>
        <v>669104.743820017</v>
      </c>
      <c r="AF86" s="84" t="n">
        <f aca="false">AE86+AF83</f>
        <v>832641.61700064</v>
      </c>
      <c r="AG86" s="84" t="n">
        <f aca="false">AF86+AG83</f>
        <v>1021383.97103752</v>
      </c>
      <c r="AH86" s="84" t="n">
        <f aca="false">AG86+AH83</f>
        <v>1233560.4785186</v>
      </c>
      <c r="AI86" s="84" t="n">
        <f aca="false">AH86+AI83</f>
        <v>1467490.39859037</v>
      </c>
      <c r="AJ86" s="84" t="n">
        <f aca="false">AI86+AJ83</f>
        <v>1721647.04194053</v>
      </c>
      <c r="AK86" s="84" t="n">
        <f aca="false">AJ86+AK83</f>
        <v>1994684.07706077</v>
      </c>
      <c r="AL86" s="84" t="n">
        <f aca="false">AK86+AL83</f>
        <v>2025723.78863471</v>
      </c>
      <c r="AM86" s="84" t="n">
        <f aca="false">AL86+AM83</f>
        <v>2179558.11465395</v>
      </c>
      <c r="AN86" s="84" t="n">
        <f aca="false">AM86+AN83</f>
        <v>2392098.07407246</v>
      </c>
      <c r="AO86" s="84" t="n">
        <f aca="false">AN86+AO83</f>
        <v>2659531.63504367</v>
      </c>
      <c r="AP86" s="84" t="n">
        <f aca="false">AO86+AP83</f>
        <v>2978279.07819193</v>
      </c>
      <c r="AQ86" s="84" t="n">
        <f aca="false">AP86+AQ83</f>
        <v>3320023.40969257</v>
      </c>
      <c r="AR86" s="84" t="n">
        <f aca="false">AQ86+AR83</f>
        <v>3731657.76903148</v>
      </c>
      <c r="AS86" s="84" t="n">
        <f aca="false">AR86+AS83</f>
        <v>4185243.66690075</v>
      </c>
      <c r="AT86" s="84" t="n">
        <f aca="false">AS86+AT83</f>
        <v>4678021.1837501</v>
      </c>
      <c r="AU86" s="84" t="n">
        <f aca="false">AT86+AU83</f>
        <v>5207510.36356976</v>
      </c>
      <c r="AV86" s="84" t="n">
        <f aca="false">AU86+AV83</f>
        <v>5771311.73210557</v>
      </c>
      <c r="AW86" s="84" t="n">
        <f aca="false">AV86+AW83</f>
        <v>6367160.09519928</v>
      </c>
      <c r="AX86" s="84" t="n">
        <f aca="false">AW86+AX83</f>
        <v>6698520.68766424</v>
      </c>
      <c r="AY86" s="84" t="n">
        <f aca="false">AX86+AY83</f>
        <v>7188428.25164316</v>
      </c>
      <c r="AZ86" s="84" t="n">
        <f aca="false">AY86+AZ83</f>
        <v>7761606.82576426</v>
      </c>
      <c r="BA86" s="84" t="n">
        <f aca="false">AZ86+BA83</f>
        <v>8413030.14423483</v>
      </c>
      <c r="BB86" s="84" t="n">
        <f aca="false">BA86+BB83</f>
        <v>9138000.00129173</v>
      </c>
      <c r="BC86" s="84" t="n">
        <f aca="false">BB86+BC83</f>
        <v>9902116.98749872</v>
      </c>
      <c r="BD86" s="84" t="n">
        <f aca="false">BC86+BD83</f>
        <v>10761224.3980287</v>
      </c>
      <c r="BE86" s="84" t="n">
        <f aca="false">BD86+BE83</f>
        <v>11681445.174018</v>
      </c>
      <c r="BF86" s="84" t="n">
        <f aca="false">BE86+BF83</f>
        <v>12659096.5560227</v>
      </c>
      <c r="BG86" s="84" t="n">
        <f aca="false">BF86+BG83</f>
        <v>13690721.0361254</v>
      </c>
      <c r="BH86" s="84" t="n">
        <f aca="false">BG86+BH83</f>
        <v>14773053.7271963</v>
      </c>
      <c r="BI86" s="84" t="n">
        <f aca="false">BH86+BI83</f>
        <v>15903141.5036971</v>
      </c>
      <c r="BJ86" s="69" t="n">
        <f aca="false">BI86</f>
        <v>15903141.5036971</v>
      </c>
      <c r="BK86" s="14" t="s">
        <v>344</v>
      </c>
    </row>
    <row r="87" customFormat="false" ht="15" hidden="false" customHeight="false" outlineLevel="0" collapsed="false">
      <c r="A87" s="73" t="s">
        <v>357</v>
      </c>
      <c r="B87" s="110" t="n">
        <f aca="false">IF(B81&gt;0,1,0)</f>
        <v>0</v>
      </c>
      <c r="C87" s="110" t="n">
        <f aca="false">IF(B87=1,1,IF(C81&gt;0,1,0))</f>
        <v>0</v>
      </c>
      <c r="D87" s="110" t="n">
        <f aca="false">IF(C87=1,1,IF(D81&gt;0,1,0))</f>
        <v>0</v>
      </c>
      <c r="E87" s="110" t="n">
        <f aca="false">IF(D87=1,1,IF(E81&gt;0,1,0))</f>
        <v>0</v>
      </c>
      <c r="F87" s="110" t="n">
        <f aca="false">IF(E87=1,1,IF(F81&gt;0,1,0))</f>
        <v>0</v>
      </c>
      <c r="G87" s="110" t="n">
        <f aca="false">IF(F87=1,1,IF(G81&gt;0,1,0))</f>
        <v>0</v>
      </c>
      <c r="H87" s="110" t="n">
        <f aca="false">IF(G87=1,1,IF(H81&gt;0,1,0))</f>
        <v>0</v>
      </c>
      <c r="I87" s="110" t="n">
        <f aca="false">IF(H87=1,1,IF(I81&gt;0,1,0))</f>
        <v>0</v>
      </c>
      <c r="J87" s="110" t="n">
        <f aca="false">IF(I87=1,1,IF(J81&gt;0,1,0))</f>
        <v>0</v>
      </c>
      <c r="K87" s="110" t="n">
        <f aca="false">IF(J87=1,1,IF(K81&gt;0,1,0))</f>
        <v>0</v>
      </c>
      <c r="L87" s="110" t="n">
        <f aca="false">IF(K87=1,1,IF(L81&gt;0,1,0))</f>
        <v>0</v>
      </c>
      <c r="M87" s="110" t="n">
        <f aca="false">IF(L87=1,1,IF(M81&gt;0,1,0))</f>
        <v>1</v>
      </c>
      <c r="N87" s="110" t="n">
        <f aca="false">IF(M87=1,1,IF(N81&gt;0,1,0))</f>
        <v>1</v>
      </c>
      <c r="O87" s="110" t="n">
        <f aca="false">IF(N87=1,1,IF(O81&gt;0,1,0))</f>
        <v>1</v>
      </c>
      <c r="P87" s="110" t="n">
        <f aca="false">IF(O87=1,1,IF(P81&gt;0,1,0))</f>
        <v>1</v>
      </c>
      <c r="Q87" s="110" t="n">
        <f aca="false">IF(P87=1,1,IF(Q81&gt;0,1,0))</f>
        <v>1</v>
      </c>
      <c r="R87" s="110" t="n">
        <f aca="false">IF(Q87=1,1,IF(R81&gt;0,1,0))</f>
        <v>1</v>
      </c>
      <c r="S87" s="110" t="n">
        <f aca="false">IF(R87=1,1,IF(S81&gt;0,1,0))</f>
        <v>1</v>
      </c>
      <c r="T87" s="110" t="n">
        <f aca="false">IF(S87=1,1,IF(T81&gt;0,1,0))</f>
        <v>1</v>
      </c>
      <c r="U87" s="110" t="n">
        <f aca="false">IF(T87=1,1,IF(U81&gt;0,1,0))</f>
        <v>1</v>
      </c>
      <c r="V87" s="110" t="n">
        <f aca="false">IF(U87=1,1,IF(V81&gt;0,1,0))</f>
        <v>1</v>
      </c>
      <c r="W87" s="110" t="n">
        <f aca="false">IF(V87=1,1,IF(W81&gt;0,1,0))</f>
        <v>1</v>
      </c>
      <c r="X87" s="110" t="n">
        <f aca="false">IF(W87=1,1,IF(X81&gt;0,1,0))</f>
        <v>1</v>
      </c>
      <c r="Y87" s="110" t="n">
        <f aca="false">IF(X87=1,1,IF(Y81&gt;0,1,0))</f>
        <v>1</v>
      </c>
      <c r="Z87" s="110" t="n">
        <f aca="false">IF(Y87=1,1,IF(Z81&gt;0,1,0))</f>
        <v>1</v>
      </c>
      <c r="AA87" s="110" t="n">
        <f aca="false">IF(Z87=1,1,IF(AA81&gt;0,1,0))</f>
        <v>1</v>
      </c>
      <c r="AB87" s="110" t="n">
        <f aca="false">IF(AA87=1,1,IF(AB81&gt;0,1,0))</f>
        <v>1</v>
      </c>
      <c r="AC87" s="110" t="n">
        <f aca="false">IF(AB87=1,1,IF(AC81&gt;0,1,0))</f>
        <v>1</v>
      </c>
      <c r="AD87" s="110" t="n">
        <f aca="false">IF(AC87=1,1,IF(AD81&gt;0,1,0))</f>
        <v>1</v>
      </c>
      <c r="AE87" s="110" t="n">
        <f aca="false">IF(AD87=1,1,IF(AE81&gt;0,1,0))</f>
        <v>1</v>
      </c>
      <c r="AF87" s="110" t="n">
        <f aca="false">IF(AE87=1,1,IF(AF81&gt;0,1,0))</f>
        <v>1</v>
      </c>
      <c r="AG87" s="110" t="n">
        <f aca="false">IF(AF87=1,1,IF(AG81&gt;0,1,0))</f>
        <v>1</v>
      </c>
      <c r="AH87" s="110" t="n">
        <f aca="false">IF(AG87=1,1,IF(AH81&gt;0,1,0))</f>
        <v>1</v>
      </c>
      <c r="AI87" s="110" t="n">
        <f aca="false">IF(AH87=1,1,IF(AI81&gt;0,1,0))</f>
        <v>1</v>
      </c>
      <c r="AJ87" s="110" t="n">
        <f aca="false">IF(AI87=1,1,IF(AJ81&gt;0,1,0))</f>
        <v>1</v>
      </c>
      <c r="AK87" s="110" t="n">
        <f aca="false">IF(AJ87=1,1,IF(AK81&gt;0,1,0))</f>
        <v>1</v>
      </c>
      <c r="AL87" s="110" t="n">
        <f aca="false">IF(AK87=1,1,IF(AL81&gt;0,1,0))</f>
        <v>1</v>
      </c>
      <c r="AM87" s="110" t="n">
        <f aca="false">IF(AL87=1,1,IF(AM81&gt;0,1,0))</f>
        <v>1</v>
      </c>
      <c r="AN87" s="110" t="n">
        <f aca="false">IF(AM87=1,1,IF(AN81&gt;0,1,0))</f>
        <v>1</v>
      </c>
      <c r="AO87" s="110" t="n">
        <f aca="false">IF(AN87=1,1,IF(AO81&gt;0,1,0))</f>
        <v>1</v>
      </c>
      <c r="AP87" s="110" t="n">
        <f aca="false">IF(AO87=1,1,IF(AP81&gt;0,1,0))</f>
        <v>1</v>
      </c>
      <c r="AQ87" s="110" t="n">
        <f aca="false">IF(AP87=1,1,IF(AQ81&gt;0,1,0))</f>
        <v>1</v>
      </c>
      <c r="AR87" s="110" t="n">
        <f aca="false">IF(AQ87=1,1,IF(AR81&gt;0,1,0))</f>
        <v>1</v>
      </c>
      <c r="AS87" s="110" t="n">
        <f aca="false">IF(AR87=1,1,IF(AS81&gt;0,1,0))</f>
        <v>1</v>
      </c>
      <c r="AT87" s="110" t="n">
        <f aca="false">IF(AS87=1,1,IF(AT81&gt;0,1,0))</f>
        <v>1</v>
      </c>
      <c r="AU87" s="110" t="n">
        <f aca="false">IF(AT87=1,1,IF(AU81&gt;0,1,0))</f>
        <v>1</v>
      </c>
      <c r="AV87" s="110" t="n">
        <f aca="false">IF(AU87=1,1,IF(AV81&gt;0,1,0))</f>
        <v>1</v>
      </c>
      <c r="AW87" s="110" t="n">
        <f aca="false">IF(AV87=1,1,IF(AW81&gt;0,1,0))</f>
        <v>1</v>
      </c>
      <c r="AX87" s="110" t="n">
        <f aca="false">IF(AW87=1,1,IF(AX81&gt;0,1,0))</f>
        <v>1</v>
      </c>
      <c r="AY87" s="110" t="n">
        <f aca="false">IF(AX87=1,1,IF(AY81&gt;0,1,0))</f>
        <v>1</v>
      </c>
      <c r="AZ87" s="110" t="n">
        <f aca="false">IF(AY87=1,1,IF(AZ81&gt;0,1,0))</f>
        <v>1</v>
      </c>
      <c r="BA87" s="110" t="n">
        <f aca="false">IF(AZ87=1,1,IF(BA81&gt;0,1,0))</f>
        <v>1</v>
      </c>
      <c r="BB87" s="110" t="n">
        <f aca="false">IF(BA87=1,1,IF(BB81&gt;0,1,0))</f>
        <v>1</v>
      </c>
      <c r="BC87" s="110" t="n">
        <f aca="false">IF(BB87=1,1,IF(BC81&gt;0,1,0))</f>
        <v>1</v>
      </c>
      <c r="BD87" s="110" t="n">
        <f aca="false">IF(BC87=1,1,IF(BD81&gt;0,1,0))</f>
        <v>1</v>
      </c>
      <c r="BE87" s="110" t="n">
        <f aca="false">IF(BD87=1,1,IF(BE81&gt;0,1,0))</f>
        <v>1</v>
      </c>
      <c r="BF87" s="110" t="n">
        <f aca="false">IF(BE87=1,1,IF(BF81&gt;0,1,0))</f>
        <v>1</v>
      </c>
      <c r="BG87" s="110" t="n">
        <f aca="false">IF(BF87=1,1,IF(BG81&gt;0,1,0))</f>
        <v>1</v>
      </c>
      <c r="BH87" s="110" t="n">
        <f aca="false">IF(BG87=1,1,IF(BH81&gt;0,1,0))</f>
        <v>1</v>
      </c>
      <c r="BI87" s="110" t="n">
        <f aca="false">IF(BH87=1,1,IF(BI81&gt;0,1,0))</f>
        <v>1</v>
      </c>
      <c r="BJ87" s="95" t="n">
        <f aca="false">BI87</f>
        <v>1</v>
      </c>
    </row>
    <row r="88" customFormat="false" ht="15" hidden="false" customHeight="false" outlineLevel="0" collapsed="false">
      <c r="A88" s="12" t="s">
        <v>271</v>
      </c>
      <c r="B88" s="84" t="n">
        <f aca="false">Aportes!B48</f>
        <v>0</v>
      </c>
      <c r="C88" s="84" t="n">
        <f aca="false">Aportes!C48</f>
        <v>0</v>
      </c>
      <c r="D88" s="84" t="n">
        <f aca="false">Aportes!D48</f>
        <v>0</v>
      </c>
      <c r="E88" s="84" t="n">
        <f aca="false">Aportes!E48</f>
        <v>10000</v>
      </c>
      <c r="F88" s="84" t="n">
        <f aca="false">Aportes!F48</f>
        <v>0</v>
      </c>
      <c r="G88" s="84" t="n">
        <f aca="false">Aportes!G48</f>
        <v>0</v>
      </c>
      <c r="H88" s="84" t="n">
        <f aca="false">Aportes!H48</f>
        <v>5000</v>
      </c>
      <c r="I88" s="84" t="n">
        <f aca="false">Aportes!I48</f>
        <v>18000</v>
      </c>
      <c r="J88" s="84" t="n">
        <f aca="false">Aportes!J48</f>
        <v>0</v>
      </c>
      <c r="K88" s="84" t="n">
        <f aca="false">Aportes!K48</f>
        <v>80000</v>
      </c>
      <c r="L88" s="84" t="n">
        <f aca="false">Aportes!L48</f>
        <v>40000</v>
      </c>
      <c r="M88" s="84" t="n">
        <f aca="false">Aportes!M48</f>
        <v>17000</v>
      </c>
      <c r="N88" s="84" t="n">
        <f aca="false">Aportes!N48</f>
        <v>0</v>
      </c>
      <c r="O88" s="84" t="n">
        <f aca="false">Aportes!O48</f>
        <v>0</v>
      </c>
      <c r="P88" s="84" t="n">
        <f aca="false">Aportes!P48</f>
        <v>0</v>
      </c>
      <c r="Q88" s="84" t="n">
        <f aca="false">Aportes!Q48</f>
        <v>0</v>
      </c>
      <c r="R88" s="84" t="n">
        <f aca="false">Aportes!R48</f>
        <v>0</v>
      </c>
      <c r="S88" s="84" t="n">
        <f aca="false">Aportes!S48</f>
        <v>15000</v>
      </c>
      <c r="T88" s="84" t="n">
        <f aca="false">Aportes!T48</f>
        <v>0</v>
      </c>
      <c r="U88" s="84" t="n">
        <f aca="false">Aportes!U48</f>
        <v>0</v>
      </c>
      <c r="V88" s="84" t="n">
        <f aca="false">Aportes!V48</f>
        <v>0</v>
      </c>
      <c r="W88" s="84" t="n">
        <f aca="false">Aportes!W48</f>
        <v>0</v>
      </c>
      <c r="X88" s="84" t="n">
        <f aca="false">Aportes!X48</f>
        <v>0</v>
      </c>
      <c r="Y88" s="84" t="n">
        <f aca="false">Aportes!Y48</f>
        <v>15000</v>
      </c>
      <c r="Z88" s="84" t="n">
        <f aca="false">Aportes!Z48</f>
        <v>0</v>
      </c>
      <c r="AA88" s="84" t="n">
        <f aca="false">Aportes!AA48</f>
        <v>0</v>
      </c>
      <c r="AB88" s="84" t="n">
        <f aca="false">Aportes!AB48</f>
        <v>0</v>
      </c>
      <c r="AC88" s="84" t="n">
        <f aca="false">Aportes!AC48</f>
        <v>0</v>
      </c>
      <c r="AD88" s="84" t="n">
        <f aca="false">Aportes!AD48</f>
        <v>0</v>
      </c>
      <c r="AE88" s="84" t="n">
        <f aca="false">Aportes!AE48</f>
        <v>0</v>
      </c>
      <c r="AF88" s="84" t="n">
        <f aca="false">Aportes!AF48</f>
        <v>0</v>
      </c>
      <c r="AG88" s="84" t="n">
        <f aca="false">Aportes!AG48</f>
        <v>0</v>
      </c>
      <c r="AH88" s="84" t="n">
        <f aca="false">Aportes!AH48</f>
        <v>0</v>
      </c>
      <c r="AI88" s="84" t="n">
        <f aca="false">Aportes!AI48</f>
        <v>0</v>
      </c>
      <c r="AJ88" s="84" t="n">
        <f aca="false">Aportes!AJ48</f>
        <v>0</v>
      </c>
      <c r="AK88" s="84" t="n">
        <f aca="false">Aportes!AK48</f>
        <v>0</v>
      </c>
      <c r="AL88" s="84" t="n">
        <f aca="false">Aportes!AL48</f>
        <v>0</v>
      </c>
      <c r="AM88" s="84" t="n">
        <f aca="false">Aportes!AM48</f>
        <v>0</v>
      </c>
      <c r="AN88" s="84" t="n">
        <f aca="false">Aportes!AN48</f>
        <v>0</v>
      </c>
      <c r="AO88" s="84" t="n">
        <f aca="false">Aportes!AO48</f>
        <v>0</v>
      </c>
      <c r="AP88" s="84" t="n">
        <f aca="false">Aportes!AP48</f>
        <v>0</v>
      </c>
      <c r="AQ88" s="84" t="n">
        <f aca="false">Aportes!AQ48</f>
        <v>0</v>
      </c>
      <c r="AR88" s="84" t="n">
        <f aca="false">Aportes!AR48</f>
        <v>0</v>
      </c>
      <c r="AS88" s="84" t="n">
        <f aca="false">Aportes!AS48</f>
        <v>0</v>
      </c>
      <c r="AT88" s="84" t="n">
        <f aca="false">Aportes!AT48</f>
        <v>0</v>
      </c>
      <c r="AU88" s="84" t="n">
        <f aca="false">Aportes!AU48</f>
        <v>0</v>
      </c>
      <c r="AV88" s="84" t="n">
        <f aca="false">Aportes!AV48</f>
        <v>0</v>
      </c>
      <c r="AW88" s="84" t="n">
        <f aca="false">Aportes!AW48</f>
        <v>0</v>
      </c>
      <c r="AX88" s="84" t="n">
        <f aca="false">Aportes!AX48</f>
        <v>0</v>
      </c>
      <c r="AY88" s="84" t="n">
        <f aca="false">Aportes!AY48</f>
        <v>0</v>
      </c>
      <c r="AZ88" s="84" t="n">
        <f aca="false">Aportes!AZ48</f>
        <v>0</v>
      </c>
      <c r="BA88" s="84" t="n">
        <f aca="false">Aportes!BA48</f>
        <v>0</v>
      </c>
      <c r="BB88" s="84" t="n">
        <f aca="false">Aportes!BB48</f>
        <v>0</v>
      </c>
      <c r="BC88" s="84" t="n">
        <f aca="false">Aportes!BC48</f>
        <v>0</v>
      </c>
      <c r="BD88" s="84" t="n">
        <f aca="false">Aportes!BD48</f>
        <v>0</v>
      </c>
      <c r="BE88" s="84" t="n">
        <f aca="false">Aportes!BE48</f>
        <v>0</v>
      </c>
      <c r="BF88" s="84" t="n">
        <f aca="false">Aportes!BF48</f>
        <v>0</v>
      </c>
      <c r="BG88" s="84" t="n">
        <f aca="false">Aportes!BG48</f>
        <v>0</v>
      </c>
      <c r="BH88" s="84" t="n">
        <f aca="false">Aportes!BH48</f>
        <v>0</v>
      </c>
      <c r="BI88" s="84" t="n">
        <f aca="false">Aportes!BI48</f>
        <v>0</v>
      </c>
      <c r="BJ88" s="69" t="n">
        <f aca="false">SUM(B88:BI88)</f>
        <v>200000</v>
      </c>
    </row>
    <row r="89" customFormat="false" ht="15" hidden="false" customHeight="false" outlineLevel="0" collapsed="false">
      <c r="A89" s="12" t="s">
        <v>358</v>
      </c>
      <c r="B89" s="84" t="n">
        <f aca="false">B83+B88</f>
        <v>0</v>
      </c>
      <c r="C89" s="84" t="n">
        <f aca="false">C83+C88</f>
        <v>0</v>
      </c>
      <c r="D89" s="84" t="n">
        <f aca="false">D83+D88</f>
        <v>0</v>
      </c>
      <c r="E89" s="84" t="n">
        <f aca="false">E83+E88</f>
        <v>8500</v>
      </c>
      <c r="F89" s="84" t="n">
        <f aca="false">F83+F88</f>
        <v>-8100</v>
      </c>
      <c r="G89" s="84" t="n">
        <f aca="false">G83+G88</f>
        <v>-2100</v>
      </c>
      <c r="H89" s="84" t="n">
        <f aca="false">H83+H88</f>
        <v>2900</v>
      </c>
      <c r="I89" s="84" t="n">
        <f aca="false">I83+I88</f>
        <v>-227.82</v>
      </c>
      <c r="J89" s="84" t="n">
        <f aca="false">J83+J88</f>
        <v>-9100</v>
      </c>
      <c r="K89" s="84" t="n">
        <f aca="false">K83+K88</f>
        <v>28810.344625</v>
      </c>
      <c r="L89" s="84" t="n">
        <f aca="false">L83+L88</f>
        <v>32982.94065</v>
      </c>
      <c r="M89" s="84" t="n">
        <f aca="false">M83+M88</f>
        <v>24908.1834</v>
      </c>
      <c r="N89" s="84" t="n">
        <f aca="false">N83+N88</f>
        <v>-42026.94952315</v>
      </c>
      <c r="O89" s="84" t="n">
        <f aca="false">O83+O88</f>
        <v>-8244.70560212516</v>
      </c>
      <c r="P89" s="84" t="n">
        <f aca="false">P83+P88</f>
        <v>-3930.1070338879</v>
      </c>
      <c r="Q89" s="84" t="n">
        <f aca="false">Q83+Q88</f>
        <v>22678.0492113196</v>
      </c>
      <c r="R89" s="84" t="n">
        <f aca="false">R83+R88</f>
        <v>36249.4697029503</v>
      </c>
      <c r="S89" s="84" t="n">
        <f aca="false">S83+S88</f>
        <v>57009.038858845</v>
      </c>
      <c r="T89" s="84" t="n">
        <f aca="false">T83+T88</f>
        <v>34111.4088733819</v>
      </c>
      <c r="U89" s="84" t="n">
        <f aca="false">U83+U88</f>
        <v>69493.4835982719</v>
      </c>
      <c r="V89" s="84" t="n">
        <f aca="false">V83+V88</f>
        <v>79276.5066844774</v>
      </c>
      <c r="W89" s="84" t="n">
        <f aca="false">W83+W88</f>
        <v>86808.2429875609</v>
      </c>
      <c r="X89" s="84" t="n">
        <f aca="false">X83+X88</f>
        <v>93550.9101039425</v>
      </c>
      <c r="Y89" s="84" t="n">
        <f aca="false">Y83+Y88</f>
        <v>115054.911400121</v>
      </c>
      <c r="Z89" s="84" t="n">
        <f aca="false">Z83+Z88</f>
        <v>-78630.3611132733</v>
      </c>
      <c r="AA89" s="84" t="n">
        <f aca="false">AA83+AA88</f>
        <v>2631.29882572954</v>
      </c>
      <c r="AB89" s="84" t="n">
        <f aca="false">AB83+AB88</f>
        <v>35967.4118958319</v>
      </c>
      <c r="AC89" s="84" t="n">
        <f aca="false">AC83+AC88</f>
        <v>74451.5765354096</v>
      </c>
      <c r="AD89" s="84" t="n">
        <f aca="false">AD83+AD88</f>
        <v>94624.3372791493</v>
      </c>
      <c r="AE89" s="84" t="n">
        <f aca="false">AE83+AE88</f>
        <v>121456.572460462</v>
      </c>
      <c r="AF89" s="84" t="n">
        <f aca="false">AF83+AF88</f>
        <v>163536.873180623</v>
      </c>
      <c r="AG89" s="84" t="n">
        <f aca="false">AG83+AG88</f>
        <v>188742.354036882</v>
      </c>
      <c r="AH89" s="84" t="n">
        <f aca="false">AH83+AH88</f>
        <v>212176.507481075</v>
      </c>
      <c r="AI89" s="84" t="n">
        <f aca="false">AI83+AI88</f>
        <v>233929.92007177</v>
      </c>
      <c r="AJ89" s="84" t="n">
        <f aca="false">AJ83+AJ88</f>
        <v>254156.643350166</v>
      </c>
      <c r="AK89" s="84" t="n">
        <f aca="false">AK83+AK88</f>
        <v>273037.035120235</v>
      </c>
      <c r="AL89" s="84" t="n">
        <f aca="false">AL83+AL88</f>
        <v>31039.7115739451</v>
      </c>
      <c r="AM89" s="84" t="n">
        <f aca="false">AM83+AM88</f>
        <v>153834.326019236</v>
      </c>
      <c r="AN89" s="84" t="n">
        <f aca="false">AN83+AN88</f>
        <v>212539.959418507</v>
      </c>
      <c r="AO89" s="84" t="n">
        <f aca="false">AO83+AO88</f>
        <v>267433.560971211</v>
      </c>
      <c r="AP89" s="84" t="n">
        <f aca="false">AP83+AP88</f>
        <v>318747.443148262</v>
      </c>
      <c r="AQ89" s="84" t="n">
        <f aca="false">AQ83+AQ88</f>
        <v>341744.33150064</v>
      </c>
      <c r="AR89" s="84" t="n">
        <f aca="false">AR83+AR88</f>
        <v>411634.359338907</v>
      </c>
      <c r="AS89" s="84" t="n">
        <f aca="false">AS83+AS88</f>
        <v>453585.897869278</v>
      </c>
      <c r="AT89" s="84" t="n">
        <f aca="false">AT83+AT88</f>
        <v>492777.516849346</v>
      </c>
      <c r="AU89" s="84" t="n">
        <f aca="false">AU83+AU88</f>
        <v>529489.17981966</v>
      </c>
      <c r="AV89" s="84" t="n">
        <f aca="false">AV83+AV88</f>
        <v>563801.368535813</v>
      </c>
      <c r="AW89" s="84" t="n">
        <f aca="false">AW83+AW88</f>
        <v>595848.363093709</v>
      </c>
      <c r="AX89" s="84" t="n">
        <f aca="false">AX83+AX88</f>
        <v>331360.592464958</v>
      </c>
      <c r="AY89" s="84" t="n">
        <f aca="false">AY83+AY88</f>
        <v>489907.563978917</v>
      </c>
      <c r="AZ89" s="84" t="n">
        <f aca="false">AZ83+AZ88</f>
        <v>573178.574121103</v>
      </c>
      <c r="BA89" s="84" t="n">
        <f aca="false">BA83+BA88</f>
        <v>651423.318470566</v>
      </c>
      <c r="BB89" s="84" t="n">
        <f aca="false">BB83+BB88</f>
        <v>724969.857056905</v>
      </c>
      <c r="BC89" s="84" t="n">
        <f aca="false">BC83+BC88</f>
        <v>764116.986206983</v>
      </c>
      <c r="BD89" s="84" t="n">
        <f aca="false">BD83+BD88</f>
        <v>859107.410529969</v>
      </c>
      <c r="BE89" s="84" t="n">
        <f aca="false">BE83+BE88</f>
        <v>920220.775989314</v>
      </c>
      <c r="BF89" s="84" t="n">
        <f aca="false">BF83+BF88</f>
        <v>977651.382004738</v>
      </c>
      <c r="BG89" s="84" t="n">
        <f aca="false">BG83+BG88</f>
        <v>1031624.48010269</v>
      </c>
      <c r="BH89" s="84" t="n">
        <f aca="false">BH83+BH88</f>
        <v>1082332.69107085</v>
      </c>
      <c r="BI89" s="84" t="n">
        <f aca="false">BI83+BI88</f>
        <v>1130087.77650079</v>
      </c>
      <c r="BJ89" s="69" t="n">
        <f aca="false">SUM(B89:BI89)</f>
        <v>16103141.5036971</v>
      </c>
    </row>
    <row r="90" customFormat="false" ht="15" hidden="false" customHeight="false" outlineLevel="0" collapsed="false">
      <c r="A90" s="34" t="s">
        <v>273</v>
      </c>
      <c r="B90" s="69" t="n">
        <f aca="false">B89</f>
        <v>0</v>
      </c>
      <c r="C90" s="69" t="n">
        <f aca="false">B90+C89</f>
        <v>0</v>
      </c>
      <c r="D90" s="69" t="n">
        <f aca="false">C90+D89</f>
        <v>0</v>
      </c>
      <c r="E90" s="69" t="n">
        <f aca="false">D90+E89</f>
        <v>8500</v>
      </c>
      <c r="F90" s="69" t="n">
        <f aca="false">E90+F89</f>
        <v>400</v>
      </c>
      <c r="G90" s="69" t="n">
        <f aca="false">F90+G89</f>
        <v>-1700</v>
      </c>
      <c r="H90" s="69" t="n">
        <f aca="false">G90+H89</f>
        <v>1200</v>
      </c>
      <c r="I90" s="69" t="n">
        <f aca="false">H90+I89</f>
        <v>972.18</v>
      </c>
      <c r="J90" s="69" t="n">
        <f aca="false">I90+J89</f>
        <v>-8127.82</v>
      </c>
      <c r="K90" s="69" t="n">
        <f aca="false">J90+K89</f>
        <v>20682.524625</v>
      </c>
      <c r="L90" s="69" t="n">
        <f aca="false">K90+L89</f>
        <v>53665.465275</v>
      </c>
      <c r="M90" s="69" t="n">
        <f aca="false">L90+M89</f>
        <v>78573.648675</v>
      </c>
      <c r="N90" s="69" t="n">
        <f aca="false">M90+N89</f>
        <v>36546.69915185</v>
      </c>
      <c r="O90" s="69" t="n">
        <f aca="false">N90+O89</f>
        <v>28301.9935497248</v>
      </c>
      <c r="P90" s="69" t="n">
        <f aca="false">O90+P89</f>
        <v>24371.8865158369</v>
      </c>
      <c r="Q90" s="69" t="n">
        <f aca="false">P90+Q89</f>
        <v>47049.9357271566</v>
      </c>
      <c r="R90" s="69" t="n">
        <f aca="false">Q90+R89</f>
        <v>83299.4054301068</v>
      </c>
      <c r="S90" s="69" t="n">
        <f aca="false">R90+S89</f>
        <v>140308.444288952</v>
      </c>
      <c r="T90" s="69" t="n">
        <f aca="false">S90+T89</f>
        <v>174419.853162334</v>
      </c>
      <c r="U90" s="69" t="n">
        <f aca="false">T90+U89</f>
        <v>243913.336760606</v>
      </c>
      <c r="V90" s="69" t="n">
        <f aca="false">U90+V89</f>
        <v>323189.843445083</v>
      </c>
      <c r="W90" s="69" t="n">
        <f aca="false">V90+W89</f>
        <v>409998.086432644</v>
      </c>
      <c r="X90" s="69" t="n">
        <f aca="false">W90+X89</f>
        <v>503548.996536586</v>
      </c>
      <c r="Y90" s="69" t="n">
        <f aca="false">X90+Y89</f>
        <v>618603.907936707</v>
      </c>
      <c r="Z90" s="69" t="n">
        <f aca="false">Y90+Z89</f>
        <v>539973.546823434</v>
      </c>
      <c r="AA90" s="69" t="n">
        <f aca="false">Z90+AA89</f>
        <v>542604.845649164</v>
      </c>
      <c r="AB90" s="69" t="n">
        <f aca="false">AA90+AB89</f>
        <v>578572.257544996</v>
      </c>
      <c r="AC90" s="69" t="n">
        <f aca="false">AB90+AC89</f>
        <v>653023.834080405</v>
      </c>
      <c r="AD90" s="69" t="n">
        <f aca="false">AC90+AD89</f>
        <v>747648.171359554</v>
      </c>
      <c r="AE90" s="69" t="n">
        <f aca="false">AD90+AE89</f>
        <v>869104.743820017</v>
      </c>
      <c r="AF90" s="69" t="n">
        <f aca="false">AE90+AF89</f>
        <v>1032641.61700064</v>
      </c>
      <c r="AG90" s="69" t="n">
        <f aca="false">AF90+AG89</f>
        <v>1221383.97103752</v>
      </c>
      <c r="AH90" s="69" t="n">
        <f aca="false">AG90+AH89</f>
        <v>1433560.4785186</v>
      </c>
      <c r="AI90" s="69" t="n">
        <f aca="false">AH90+AI89</f>
        <v>1667490.39859037</v>
      </c>
      <c r="AJ90" s="69" t="n">
        <f aca="false">AI90+AJ89</f>
        <v>1921647.04194053</v>
      </c>
      <c r="AK90" s="69" t="n">
        <f aca="false">AJ90+AK89</f>
        <v>2194684.07706077</v>
      </c>
      <c r="AL90" s="69" t="n">
        <f aca="false">AK90+AL89</f>
        <v>2225723.78863471</v>
      </c>
      <c r="AM90" s="69" t="n">
        <f aca="false">AL90+AM89</f>
        <v>2379558.11465395</v>
      </c>
      <c r="AN90" s="69" t="n">
        <f aca="false">AM90+AN89</f>
        <v>2592098.07407246</v>
      </c>
      <c r="AO90" s="69" t="n">
        <f aca="false">AN90+AO89</f>
        <v>2859531.63504367</v>
      </c>
      <c r="AP90" s="69" t="n">
        <f aca="false">AO90+AP89</f>
        <v>3178279.07819193</v>
      </c>
      <c r="AQ90" s="69" t="n">
        <f aca="false">AP90+AQ89</f>
        <v>3520023.40969257</v>
      </c>
      <c r="AR90" s="69" t="n">
        <f aca="false">AQ90+AR89</f>
        <v>3931657.76903148</v>
      </c>
      <c r="AS90" s="69" t="n">
        <f aca="false">AR90+AS89</f>
        <v>4385243.66690075</v>
      </c>
      <c r="AT90" s="69" t="n">
        <f aca="false">AS90+AT89</f>
        <v>4878021.1837501</v>
      </c>
      <c r="AU90" s="69" t="n">
        <f aca="false">AT90+AU89</f>
        <v>5407510.36356976</v>
      </c>
      <c r="AV90" s="69" t="n">
        <f aca="false">AU90+AV89</f>
        <v>5971311.73210557</v>
      </c>
      <c r="AW90" s="69" t="n">
        <f aca="false">AV90+AW89</f>
        <v>6567160.09519928</v>
      </c>
      <c r="AX90" s="69" t="n">
        <f aca="false">AW90+AX89</f>
        <v>6898520.68766424</v>
      </c>
      <c r="AY90" s="69" t="n">
        <f aca="false">AX90+AY89</f>
        <v>7388428.25164316</v>
      </c>
      <c r="AZ90" s="69" t="n">
        <f aca="false">AY90+AZ89</f>
        <v>7961606.82576426</v>
      </c>
      <c r="BA90" s="69" t="n">
        <f aca="false">AZ90+BA89</f>
        <v>8613030.14423483</v>
      </c>
      <c r="BB90" s="69" t="n">
        <f aca="false">BA90+BB89</f>
        <v>9338000.00129173</v>
      </c>
      <c r="BC90" s="69" t="n">
        <f aca="false">BB90+BC89</f>
        <v>10102116.9874987</v>
      </c>
      <c r="BD90" s="69" t="n">
        <f aca="false">BC90+BD89</f>
        <v>10961224.3980287</v>
      </c>
      <c r="BE90" s="69" t="n">
        <f aca="false">BD90+BE89</f>
        <v>11881445.174018</v>
      </c>
      <c r="BF90" s="69" t="n">
        <f aca="false">BE90+BF89</f>
        <v>12859096.5560227</v>
      </c>
      <c r="BG90" s="69" t="n">
        <f aca="false">BF90+BG89</f>
        <v>13890721.0361254</v>
      </c>
      <c r="BH90" s="69" t="n">
        <f aca="false">BG90+BH89</f>
        <v>14973053.7271963</v>
      </c>
      <c r="BI90" s="69" t="n">
        <f aca="false">BH90+BI89</f>
        <v>16103141.5036971</v>
      </c>
      <c r="BJ90" s="69" t="n">
        <f aca="false">BI90</f>
        <v>16103141.5036971</v>
      </c>
      <c r="BK90" s="14" t="s">
        <v>344</v>
      </c>
    </row>
    <row r="97" customFormat="false" ht="19.5" hidden="false" customHeight="true" outlineLevel="0" collapsed="false">
      <c r="A97" s="112" t="s">
        <v>360</v>
      </c>
      <c r="B97" s="113"/>
      <c r="C97" s="113"/>
      <c r="D97" s="113"/>
      <c r="E97" s="113"/>
      <c r="F97" s="113"/>
      <c r="G97" s="113"/>
      <c r="H97" s="113"/>
      <c r="I97" s="113"/>
      <c r="J97" s="113"/>
      <c r="K97" s="113"/>
      <c r="L97" s="113"/>
      <c r="M97" s="113"/>
      <c r="N97" s="113"/>
      <c r="O97" s="113"/>
      <c r="P97" s="113"/>
      <c r="Q97" s="113"/>
      <c r="R97" s="113"/>
      <c r="S97" s="113"/>
      <c r="T97" s="113"/>
      <c r="U97" s="113"/>
      <c r="V97" s="113"/>
      <c r="W97" s="113"/>
      <c r="X97" s="113"/>
      <c r="Y97" s="113"/>
      <c r="Z97" s="113"/>
      <c r="AA97" s="113"/>
      <c r="AB97" s="113"/>
      <c r="AC97" s="113"/>
      <c r="AD97" s="113"/>
      <c r="AE97" s="113"/>
      <c r="AF97" s="113"/>
      <c r="AG97" s="113"/>
      <c r="AH97" s="113"/>
      <c r="AI97" s="113"/>
      <c r="AJ97" s="113"/>
      <c r="AK97" s="113"/>
      <c r="AL97" s="113"/>
      <c r="AM97" s="113"/>
      <c r="AN97" s="113"/>
      <c r="AO97" s="113"/>
      <c r="AP97" s="113"/>
      <c r="AQ97" s="113"/>
      <c r="AR97" s="113"/>
      <c r="AS97" s="113"/>
      <c r="AT97" s="113"/>
      <c r="AU97" s="113"/>
      <c r="AV97" s="113"/>
      <c r="AW97" s="113"/>
      <c r="AX97" s="113"/>
      <c r="AY97" s="113"/>
      <c r="AZ97" s="113"/>
      <c r="BA97" s="113"/>
      <c r="BB97" s="113"/>
      <c r="BC97" s="113"/>
      <c r="BD97" s="113"/>
      <c r="BE97" s="113"/>
      <c r="BF97" s="113"/>
      <c r="BG97" s="113"/>
      <c r="BH97" s="113"/>
      <c r="BI97" s="113"/>
      <c r="BJ97" s="113"/>
      <c r="BK97" s="113"/>
    </row>
    <row r="98" customFormat="false" ht="15" hidden="false" customHeight="false" outlineLevel="0" collapsed="false">
      <c r="A98" s="12" t="s">
        <v>310</v>
      </c>
      <c r="B98" s="98" t="n">
        <f aca="false">IF(B$4&lt;Premissas!$B$10,0,INDEX(Premissas!$C$37:$G$37,B$7))</f>
        <v>0</v>
      </c>
      <c r="C98" s="98" t="n">
        <f aca="false">IF(C$4&lt;Premissas!$B$10,0,INDEX(Premissas!$C$37:$G$37,C$7))</f>
        <v>0</v>
      </c>
      <c r="D98" s="98" t="n">
        <f aca="false">IF(D$4&lt;Premissas!$B$10,0,INDEX(Premissas!$C$37:$G$37,D$7))</f>
        <v>0</v>
      </c>
      <c r="E98" s="98" t="n">
        <f aca="false">IF(E$4&lt;Premissas!$B$10,0,INDEX(Premissas!$C$37:$G$37,E$7))</f>
        <v>0</v>
      </c>
      <c r="F98" s="98" t="n">
        <f aca="false">IF(F$4&lt;Premissas!$B$10,0,INDEX(Premissas!$C$37:$G$37,F$7))</f>
        <v>0</v>
      </c>
      <c r="G98" s="98" t="n">
        <f aca="false">IF(G$4&lt;Premissas!$B$10,0,INDEX(Premissas!$C$37:$G$37,G$7))</f>
        <v>0</v>
      </c>
      <c r="H98" s="98" t="n">
        <f aca="false">IF(H$4&lt;Premissas!$B$10,0,INDEX(Premissas!$C$37:$G$37,H$7))</f>
        <v>0</v>
      </c>
      <c r="I98" s="98" t="n">
        <f aca="false">IF(I$4&lt;Premissas!$B$10,0,INDEX(Premissas!$C$37:$G$37,I$7))</f>
        <v>0</v>
      </c>
      <c r="J98" s="98" t="n">
        <f aca="false">IF(J$4&lt;Premissas!$B$10,0,INDEX(Premissas!$C$37:$G$37,J$7))</f>
        <v>0</v>
      </c>
      <c r="K98" s="98" t="n">
        <f aca="false">IF(K$4&lt;Premissas!$B$10,0,INDEX(Premissas!$C$37:$G$37,K$7))</f>
        <v>25340</v>
      </c>
      <c r="L98" s="98" t="n">
        <f aca="false">IF(L$4&lt;Premissas!$B$10,0,INDEX(Premissas!$C$37:$G$37,L$7))</f>
        <v>25340</v>
      </c>
      <c r="M98" s="98" t="n">
        <f aca="false">IF(M$4&lt;Premissas!$B$10,0,INDEX(Premissas!$C$37:$G$37,M$7))</f>
        <v>25340</v>
      </c>
      <c r="N98" s="98" t="n">
        <f aca="false">IF(N$4&lt;Premissas!$B$10,0,INDEX(Premissas!$C$37:$G$37,N$7))</f>
        <v>33000</v>
      </c>
      <c r="O98" s="98" t="n">
        <f aca="false">IF(O$4&lt;Premissas!$B$10,0,INDEX(Premissas!$C$37:$G$37,O$7))</f>
        <v>33000</v>
      </c>
      <c r="P98" s="98" t="n">
        <f aca="false">IF(P$4&lt;Premissas!$B$10,0,INDEX(Premissas!$C$37:$G$37,P$7))</f>
        <v>33000</v>
      </c>
      <c r="Q98" s="98" t="n">
        <f aca="false">IF(Q$4&lt;Premissas!$B$10,0,INDEX(Premissas!$C$37:$G$37,Q$7))</f>
        <v>33000</v>
      </c>
      <c r="R98" s="98" t="n">
        <f aca="false">IF(R$4&lt;Premissas!$B$10,0,INDEX(Premissas!$C$37:$G$37,R$7))</f>
        <v>33000</v>
      </c>
      <c r="S98" s="98" t="n">
        <f aca="false">IF(S$4&lt;Premissas!$B$10,0,INDEX(Premissas!$C$37:$G$37,S$7))</f>
        <v>33000</v>
      </c>
      <c r="T98" s="98" t="n">
        <f aca="false">IF(T$4&lt;Premissas!$B$10,0,INDEX(Premissas!$C$37:$G$37,T$7))</f>
        <v>33000</v>
      </c>
      <c r="U98" s="98" t="n">
        <f aca="false">IF(U$4&lt;Premissas!$B$10,0,INDEX(Premissas!$C$37:$G$37,U$7))</f>
        <v>33000</v>
      </c>
      <c r="V98" s="98" t="n">
        <f aca="false">IF(V$4&lt;Premissas!$B$10,0,INDEX(Premissas!$C$37:$G$37,V$7))</f>
        <v>33000</v>
      </c>
      <c r="W98" s="98" t="n">
        <f aca="false">IF(W$4&lt;Premissas!$B$10,0,INDEX(Premissas!$C$37:$G$37,W$7))</f>
        <v>33000</v>
      </c>
      <c r="X98" s="98" t="n">
        <f aca="false">IF(X$4&lt;Premissas!$B$10,0,INDEX(Premissas!$C$37:$G$37,X$7))</f>
        <v>33000</v>
      </c>
      <c r="Y98" s="98" t="n">
        <f aca="false">IF(Y$4&lt;Premissas!$B$10,0,INDEX(Premissas!$C$37:$G$37,Y$7))</f>
        <v>33000</v>
      </c>
      <c r="Z98" s="98" t="n">
        <f aca="false">IF(Z$4&lt;Premissas!$B$10,0,INDEX(Premissas!$C$37:$G$37,Z$7))</f>
        <v>68000</v>
      </c>
      <c r="AA98" s="98" t="n">
        <f aca="false">IF(AA$4&lt;Premissas!$B$10,0,INDEX(Premissas!$C$37:$G$37,AA$7))</f>
        <v>68000</v>
      </c>
      <c r="AB98" s="98" t="n">
        <f aca="false">IF(AB$4&lt;Premissas!$B$10,0,INDEX(Premissas!$C$37:$G$37,AB$7))</f>
        <v>68000</v>
      </c>
      <c r="AC98" s="98" t="n">
        <f aca="false">IF(AC$4&lt;Premissas!$B$10,0,INDEX(Premissas!$C$37:$G$37,AC$7))</f>
        <v>68000</v>
      </c>
      <c r="AD98" s="98" t="n">
        <f aca="false">IF(AD$4&lt;Premissas!$B$10,0,INDEX(Premissas!$C$37:$G$37,AD$7))</f>
        <v>68000</v>
      </c>
      <c r="AE98" s="98" t="n">
        <f aca="false">IF(AE$4&lt;Premissas!$B$10,0,INDEX(Premissas!$C$37:$G$37,AE$7))</f>
        <v>68000</v>
      </c>
      <c r="AF98" s="98" t="n">
        <f aca="false">IF(AF$4&lt;Premissas!$B$10,0,INDEX(Premissas!$C$37:$G$37,AF$7))</f>
        <v>68000</v>
      </c>
      <c r="AG98" s="98" t="n">
        <f aca="false">IF(AG$4&lt;Premissas!$B$10,0,INDEX(Premissas!$C$37:$G$37,AG$7))</f>
        <v>68000</v>
      </c>
      <c r="AH98" s="98" t="n">
        <f aca="false">IF(AH$4&lt;Premissas!$B$10,0,INDEX(Premissas!$C$37:$G$37,AH$7))</f>
        <v>68000</v>
      </c>
      <c r="AI98" s="98" t="n">
        <f aca="false">IF(AI$4&lt;Premissas!$B$10,0,INDEX(Premissas!$C$37:$G$37,AI$7))</f>
        <v>68000</v>
      </c>
      <c r="AJ98" s="98" t="n">
        <f aca="false">IF(AJ$4&lt;Premissas!$B$10,0,INDEX(Premissas!$C$37:$G$37,AJ$7))</f>
        <v>68000</v>
      </c>
      <c r="AK98" s="98" t="n">
        <f aca="false">IF(AK$4&lt;Premissas!$B$10,0,INDEX(Premissas!$C$37:$G$37,AK$7))</f>
        <v>68000</v>
      </c>
      <c r="AL98" s="98" t="n">
        <f aca="false">IF(AL$4&lt;Premissas!$B$10,0,INDEX(Premissas!$C$37:$G$37,AL$7))</f>
        <v>105000</v>
      </c>
      <c r="AM98" s="98" t="n">
        <f aca="false">IF(AM$4&lt;Premissas!$B$10,0,INDEX(Premissas!$C$37:$G$37,AM$7))</f>
        <v>105000</v>
      </c>
      <c r="AN98" s="98" t="n">
        <f aca="false">IF(AN$4&lt;Premissas!$B$10,0,INDEX(Premissas!$C$37:$G$37,AN$7))</f>
        <v>105000</v>
      </c>
      <c r="AO98" s="98" t="n">
        <f aca="false">IF(AO$4&lt;Premissas!$B$10,0,INDEX(Premissas!$C$37:$G$37,AO$7))</f>
        <v>105000</v>
      </c>
      <c r="AP98" s="98" t="n">
        <f aca="false">IF(AP$4&lt;Premissas!$B$10,0,INDEX(Premissas!$C$37:$G$37,AP$7))</f>
        <v>105000</v>
      </c>
      <c r="AQ98" s="98" t="n">
        <f aca="false">IF(AQ$4&lt;Premissas!$B$10,0,INDEX(Premissas!$C$37:$G$37,AQ$7))</f>
        <v>105000</v>
      </c>
      <c r="AR98" s="98" t="n">
        <f aca="false">IF(AR$4&lt;Premissas!$B$10,0,INDEX(Premissas!$C$37:$G$37,AR$7))</f>
        <v>105000</v>
      </c>
      <c r="AS98" s="98" t="n">
        <f aca="false">IF(AS$4&lt;Premissas!$B$10,0,INDEX(Premissas!$C$37:$G$37,AS$7))</f>
        <v>105000</v>
      </c>
      <c r="AT98" s="98" t="n">
        <f aca="false">IF(AT$4&lt;Premissas!$B$10,0,INDEX(Premissas!$C$37:$G$37,AT$7))</f>
        <v>105000</v>
      </c>
      <c r="AU98" s="98" t="n">
        <f aca="false">IF(AU$4&lt;Premissas!$B$10,0,INDEX(Premissas!$C$37:$G$37,AU$7))</f>
        <v>105000</v>
      </c>
      <c r="AV98" s="98" t="n">
        <f aca="false">IF(AV$4&lt;Premissas!$B$10,0,INDEX(Premissas!$C$37:$G$37,AV$7))</f>
        <v>105000</v>
      </c>
      <c r="AW98" s="98" t="n">
        <f aca="false">IF(AW$4&lt;Premissas!$B$10,0,INDEX(Premissas!$C$37:$G$37,AW$7))</f>
        <v>105000</v>
      </c>
      <c r="AX98" s="98" t="n">
        <f aca="false">IF(AX$4&lt;Premissas!$B$10,0,INDEX(Premissas!$C$37:$G$37,AX$7))</f>
        <v>143000</v>
      </c>
      <c r="AY98" s="98" t="n">
        <f aca="false">IF(AY$4&lt;Premissas!$B$10,0,INDEX(Premissas!$C$37:$G$37,AY$7))</f>
        <v>143000</v>
      </c>
      <c r="AZ98" s="98" t="n">
        <f aca="false">IF(AZ$4&lt;Premissas!$B$10,0,INDEX(Premissas!$C$37:$G$37,AZ$7))</f>
        <v>143000</v>
      </c>
      <c r="BA98" s="98" t="n">
        <f aca="false">IF(BA$4&lt;Premissas!$B$10,0,INDEX(Premissas!$C$37:$G$37,BA$7))</f>
        <v>143000</v>
      </c>
      <c r="BB98" s="98" t="n">
        <f aca="false">IF(BB$4&lt;Premissas!$B$10,0,INDEX(Premissas!$C$37:$G$37,BB$7))</f>
        <v>143000</v>
      </c>
      <c r="BC98" s="98" t="n">
        <f aca="false">IF(BC$4&lt;Premissas!$B$10,0,INDEX(Premissas!$C$37:$G$37,BC$7))</f>
        <v>143000</v>
      </c>
      <c r="BD98" s="98" t="n">
        <f aca="false">IF(BD$4&lt;Premissas!$B$10,0,INDEX(Premissas!$C$37:$G$37,BD$7))</f>
        <v>143000</v>
      </c>
      <c r="BE98" s="98" t="n">
        <f aca="false">IF(BE$4&lt;Premissas!$B$10,0,INDEX(Premissas!$C$37:$G$37,BE$7))</f>
        <v>143000</v>
      </c>
      <c r="BF98" s="98" t="n">
        <f aca="false">IF(BF$4&lt;Premissas!$B$10,0,INDEX(Premissas!$C$37:$G$37,BF$7))</f>
        <v>143000</v>
      </c>
      <c r="BG98" s="98" t="n">
        <f aca="false">IF(BG$4&lt;Premissas!$B$10,0,INDEX(Premissas!$C$37:$G$37,BG$7))</f>
        <v>143000</v>
      </c>
      <c r="BH98" s="98" t="n">
        <f aca="false">IF(BH$4&lt;Premissas!$B$10,0,INDEX(Premissas!$C$37:$G$37,BH$7))</f>
        <v>143000</v>
      </c>
      <c r="BI98" s="98" t="n">
        <f aca="false">IF(BI$4&lt;Premissas!$B$10,0,INDEX(Premissas!$C$37:$G$37,BI$7))</f>
        <v>143000</v>
      </c>
      <c r="BJ98" s="95" t="n">
        <f aca="false">SUM(B98:BI98)</f>
        <v>4264020</v>
      </c>
    </row>
    <row r="99" customFormat="false" ht="15" hidden="false" customHeight="false" outlineLevel="0" collapsed="false">
      <c r="A99" s="12" t="s">
        <v>311</v>
      </c>
      <c r="B99" s="98" t="n">
        <f aca="false">0</f>
        <v>0</v>
      </c>
      <c r="C99" s="98" t="n">
        <f aca="false">B101</f>
        <v>0</v>
      </c>
      <c r="D99" s="98" t="n">
        <f aca="false">C101</f>
        <v>0</v>
      </c>
      <c r="E99" s="98" t="n">
        <f aca="false">D101</f>
        <v>0</v>
      </c>
      <c r="F99" s="98" t="n">
        <f aca="false">E101</f>
        <v>0</v>
      </c>
      <c r="G99" s="98" t="n">
        <f aca="false">F101</f>
        <v>0</v>
      </c>
      <c r="H99" s="98" t="n">
        <f aca="false">G101</f>
        <v>0</v>
      </c>
      <c r="I99" s="98" t="n">
        <f aca="false">H101</f>
        <v>0</v>
      </c>
      <c r="J99" s="98" t="n">
        <f aca="false">I101</f>
        <v>0</v>
      </c>
      <c r="K99" s="98" t="n">
        <f aca="false">J101</f>
        <v>0</v>
      </c>
      <c r="L99" s="98" t="n">
        <f aca="false">K101</f>
        <v>25340</v>
      </c>
      <c r="M99" s="98" t="n">
        <f aca="false">L101</f>
        <v>49159.6</v>
      </c>
      <c r="N99" s="98" t="n">
        <f aca="false">M101</f>
        <v>71550.024</v>
      </c>
      <c r="O99" s="98" t="n">
        <f aca="false">N101</f>
        <v>100614.77268</v>
      </c>
      <c r="P99" s="98" t="n">
        <f aca="false">O101</f>
        <v>128080.9601826</v>
      </c>
      <c r="Q99" s="98" t="n">
        <f aca="false">P101</f>
        <v>154036.507372557</v>
      </c>
      <c r="R99" s="98" t="n">
        <f aca="false">Q101</f>
        <v>178564.499467066</v>
      </c>
      <c r="S99" s="98" t="n">
        <f aca="false">R101</f>
        <v>201743.451996378</v>
      </c>
      <c r="T99" s="98" t="n">
        <f aca="false">S101</f>
        <v>223647.562136577</v>
      </c>
      <c r="U99" s="98" t="n">
        <f aca="false">T101</f>
        <v>244346.946219065</v>
      </c>
      <c r="V99" s="98" t="n">
        <f aca="false">U101</f>
        <v>263907.864177017</v>
      </c>
      <c r="W99" s="98" t="n">
        <f aca="false">V101</f>
        <v>282392.931647281</v>
      </c>
      <c r="X99" s="98" t="n">
        <f aca="false">W101</f>
        <v>299861.32040668</v>
      </c>
      <c r="Y99" s="98" t="n">
        <f aca="false">X101</f>
        <v>316368.947784313</v>
      </c>
      <c r="Z99" s="98" t="n">
        <f aca="false">Y101</f>
        <v>331968.655656176</v>
      </c>
      <c r="AA99" s="98" t="n">
        <f aca="false">Z101</f>
        <v>383370.222873367</v>
      </c>
      <c r="AB99" s="98" t="n">
        <f aca="false">AA101</f>
        <v>432201.711729699</v>
      </c>
      <c r="AC99" s="98" t="n">
        <f aca="false">AB101</f>
        <v>478591.626143214</v>
      </c>
      <c r="AD99" s="98" t="n">
        <f aca="false">AC101</f>
        <v>522662.044836053</v>
      </c>
      <c r="AE99" s="98" t="n">
        <f aca="false">AD101</f>
        <v>564528.94259425</v>
      </c>
      <c r="AF99" s="98" t="n">
        <f aca="false">AE101</f>
        <v>604302.495464538</v>
      </c>
      <c r="AG99" s="98" t="n">
        <f aca="false">AF101</f>
        <v>642087.370691311</v>
      </c>
      <c r="AH99" s="98" t="n">
        <f aca="false">AG101</f>
        <v>677983.002156745</v>
      </c>
      <c r="AI99" s="98" t="n">
        <f aca="false">AH101</f>
        <v>712083.852048908</v>
      </c>
      <c r="AJ99" s="98" t="n">
        <f aca="false">AI101</f>
        <v>744479.659446463</v>
      </c>
      <c r="AK99" s="98" t="n">
        <f aca="false">AJ101</f>
        <v>775255.67647414</v>
      </c>
      <c r="AL99" s="98" t="n">
        <f aca="false">AK101</f>
        <v>804492.892650433</v>
      </c>
      <c r="AM99" s="98" t="n">
        <f aca="false">AL101</f>
        <v>870877.233803212</v>
      </c>
      <c r="AN99" s="98" t="n">
        <f aca="false">AM101</f>
        <v>934075.126580658</v>
      </c>
      <c r="AO99" s="98" t="n">
        <f aca="false">AN101</f>
        <v>994239.520504786</v>
      </c>
      <c r="AP99" s="98" t="n">
        <f aca="false">AO101</f>
        <v>1051516.02352056</v>
      </c>
      <c r="AQ99" s="98" t="n">
        <f aca="false">AP101</f>
        <v>1106043.25439157</v>
      </c>
      <c r="AR99" s="98" t="n">
        <f aca="false">AQ101</f>
        <v>1157953.17818077</v>
      </c>
      <c r="AS99" s="98" t="n">
        <f aca="false">AR101</f>
        <v>1207371.4256281</v>
      </c>
      <c r="AT99" s="98" t="n">
        <f aca="false">AS101</f>
        <v>1254417.59719795</v>
      </c>
      <c r="AU99" s="98" t="n">
        <f aca="false">AT101</f>
        <v>1299205.55253245</v>
      </c>
      <c r="AV99" s="98" t="n">
        <f aca="false">AU101</f>
        <v>1341843.68601089</v>
      </c>
      <c r="AW99" s="98" t="n">
        <f aca="false">AV101</f>
        <v>1382435.18908237</v>
      </c>
      <c r="AX99" s="98" t="n">
        <f aca="false">AW101</f>
        <v>1421078.30000641</v>
      </c>
      <c r="AY99" s="98" t="n">
        <f aca="false">AX101</f>
        <v>1500129.77650612</v>
      </c>
      <c r="AZ99" s="98" t="n">
        <f aca="false">AY101</f>
        <v>1575623.93656335</v>
      </c>
      <c r="BA99" s="98" t="n">
        <f aca="false">AZ101</f>
        <v>1647720.859418</v>
      </c>
      <c r="BB99" s="98" t="n">
        <f aca="false">BA101</f>
        <v>1716573.42074419</v>
      </c>
      <c r="BC99" s="98" t="n">
        <f aca="false">BB101</f>
        <v>1782327.6168107</v>
      </c>
      <c r="BD99" s="98" t="n">
        <f aca="false">BC101</f>
        <v>1845122.87405422</v>
      </c>
      <c r="BE99" s="98" t="n">
        <f aca="false">BD101</f>
        <v>1905092.34472178</v>
      </c>
      <c r="BF99" s="98" t="n">
        <f aca="false">BE101</f>
        <v>1962363.1892093</v>
      </c>
      <c r="BG99" s="98" t="n">
        <f aca="false">BF101</f>
        <v>2017056.84569488</v>
      </c>
      <c r="BH99" s="98" t="n">
        <f aca="false">BG101</f>
        <v>2069289.28763861</v>
      </c>
      <c r="BI99" s="98" t="n">
        <f aca="false">BH101</f>
        <v>2119171.26969487</v>
      </c>
      <c r="BJ99" s="95" t="n">
        <f aca="false">BI99</f>
        <v>2119171.26969487</v>
      </c>
      <c r="BK99" s="14" t="s">
        <v>344</v>
      </c>
    </row>
    <row r="100" customFormat="false" ht="15" hidden="false" customHeight="false" outlineLevel="0" collapsed="false">
      <c r="A100" s="12" t="s">
        <v>313</v>
      </c>
      <c r="B100" s="98" t="n">
        <f aca="false">-B99*INDEX(Premissas!$C$41:$G$41,B$7)</f>
        <v>-0</v>
      </c>
      <c r="C100" s="98" t="n">
        <f aca="false">-C99*INDEX(Premissas!$C$41:$G$41,C$7)</f>
        <v>-0</v>
      </c>
      <c r="D100" s="98" t="n">
        <f aca="false">-D99*INDEX(Premissas!$C$41:$G$41,D$7)</f>
        <v>-0</v>
      </c>
      <c r="E100" s="98" t="n">
        <f aca="false">-E99*INDEX(Premissas!$C$41:$G$41,E$7)</f>
        <v>-0</v>
      </c>
      <c r="F100" s="98" t="n">
        <f aca="false">-F99*INDEX(Premissas!$C$41:$G$41,F$7)</f>
        <v>-0</v>
      </c>
      <c r="G100" s="98" t="n">
        <f aca="false">-G99*INDEX(Premissas!$C$41:$G$41,G$7)</f>
        <v>-0</v>
      </c>
      <c r="H100" s="98" t="n">
        <f aca="false">-H99*INDEX(Premissas!$C$41:$G$41,H$7)</f>
        <v>-0</v>
      </c>
      <c r="I100" s="98" t="n">
        <f aca="false">-I99*INDEX(Premissas!$C$41:$G$41,I$7)</f>
        <v>-0</v>
      </c>
      <c r="J100" s="98" t="n">
        <f aca="false">-J99*INDEX(Premissas!$C$41:$G$41,J$7)</f>
        <v>-0</v>
      </c>
      <c r="K100" s="98" t="n">
        <f aca="false">-K99*INDEX(Premissas!$C$41:$G$41,K$7)</f>
        <v>-0</v>
      </c>
      <c r="L100" s="98" t="n">
        <f aca="false">-L99*INDEX(Premissas!$C$41:$G$41,L$7)</f>
        <v>-1520.4</v>
      </c>
      <c r="M100" s="98" t="n">
        <f aca="false">-M99*INDEX(Premissas!$C$41:$G$41,M$7)</f>
        <v>-2949.576</v>
      </c>
      <c r="N100" s="98" t="n">
        <f aca="false">-N99*INDEX(Premissas!$C$41:$G$41,N$7)</f>
        <v>-3935.25132</v>
      </c>
      <c r="O100" s="98" t="n">
        <f aca="false">-O99*INDEX(Premissas!$C$41:$G$41,O$7)</f>
        <v>-5533.8124974</v>
      </c>
      <c r="P100" s="98" t="n">
        <f aca="false">-P99*INDEX(Premissas!$C$41:$G$41,P$7)</f>
        <v>-7044.452810043</v>
      </c>
      <c r="Q100" s="98" t="n">
        <f aca="false">-Q99*INDEX(Premissas!$C$41:$G$41,Q$7)</f>
        <v>-8472.00790549064</v>
      </c>
      <c r="R100" s="98" t="n">
        <f aca="false">-R99*INDEX(Premissas!$C$41:$G$41,R$7)</f>
        <v>-9821.04747068865</v>
      </c>
      <c r="S100" s="98" t="n">
        <f aca="false">-S99*INDEX(Premissas!$C$41:$G$41,S$7)</f>
        <v>-11095.8898598008</v>
      </c>
      <c r="T100" s="98" t="n">
        <f aca="false">-T99*INDEX(Premissas!$C$41:$G$41,T$7)</f>
        <v>-12300.6159175117</v>
      </c>
      <c r="U100" s="98" t="n">
        <f aca="false">-U99*INDEX(Premissas!$C$41:$G$41,U$7)</f>
        <v>-13439.0820420486</v>
      </c>
      <c r="V100" s="98" t="n">
        <f aca="false">-V99*INDEX(Premissas!$C$41:$G$41,V$7)</f>
        <v>-14514.9325297359</v>
      </c>
      <c r="W100" s="98" t="n">
        <f aca="false">-W99*INDEX(Premissas!$C$41:$G$41,W$7)</f>
        <v>-15531.6112406004</v>
      </c>
      <c r="X100" s="98" t="n">
        <f aca="false">-X99*INDEX(Premissas!$C$41:$G$41,X$7)</f>
        <v>-16492.3726223674</v>
      </c>
      <c r="Y100" s="98" t="n">
        <f aca="false">-Y99*INDEX(Premissas!$C$41:$G$41,Y$7)</f>
        <v>-17400.2921281372</v>
      </c>
      <c r="Z100" s="98" t="n">
        <f aca="false">-Z99*INDEX(Premissas!$C$41:$G$41,Z$7)</f>
        <v>-16598.4327828088</v>
      </c>
      <c r="AA100" s="98" t="n">
        <f aca="false">-AA99*INDEX(Premissas!$C$41:$G$41,AA$7)</f>
        <v>-19168.5111436683</v>
      </c>
      <c r="AB100" s="98" t="n">
        <f aca="false">-AB99*INDEX(Premissas!$C$41:$G$41,AB$7)</f>
        <v>-21610.0855864849</v>
      </c>
      <c r="AC100" s="98" t="n">
        <f aca="false">-AC99*INDEX(Premissas!$C$41:$G$41,AC$7)</f>
        <v>-23929.5813071607</v>
      </c>
      <c r="AD100" s="98" t="n">
        <f aca="false">-AD99*INDEX(Premissas!$C$41:$G$41,AD$7)</f>
        <v>-26133.1022418027</v>
      </c>
      <c r="AE100" s="98" t="n">
        <f aca="false">-AE99*INDEX(Premissas!$C$41:$G$41,AE$7)</f>
        <v>-28226.4471297125</v>
      </c>
      <c r="AF100" s="98" t="n">
        <f aca="false">-AF99*INDEX(Premissas!$C$41:$G$41,AF$7)</f>
        <v>-30215.1247732269</v>
      </c>
      <c r="AG100" s="98" t="n">
        <f aca="false">-AG99*INDEX(Premissas!$C$41:$G$41,AG$7)</f>
        <v>-32104.3685345655</v>
      </c>
      <c r="AH100" s="98" t="n">
        <f aca="false">-AH99*INDEX(Premissas!$C$41:$G$41,AH$7)</f>
        <v>-33899.1501078373</v>
      </c>
      <c r="AI100" s="98" t="n">
        <f aca="false">-AI99*INDEX(Premissas!$C$41:$G$41,AI$7)</f>
        <v>-35604.1926024454</v>
      </c>
      <c r="AJ100" s="98" t="n">
        <f aca="false">-AJ99*INDEX(Premissas!$C$41:$G$41,AJ$7)</f>
        <v>-37223.9829723231</v>
      </c>
      <c r="AK100" s="98" t="n">
        <f aca="false">-AK99*INDEX(Premissas!$C$41:$G$41,AK$7)</f>
        <v>-38762.783823707</v>
      </c>
      <c r="AL100" s="98" t="n">
        <f aca="false">-AL99*INDEX(Premissas!$C$41:$G$41,AL$7)</f>
        <v>-38615.6588472208</v>
      </c>
      <c r="AM100" s="98" t="n">
        <f aca="false">-AM99*INDEX(Premissas!$C$41:$G$41,AM$7)</f>
        <v>-41802.1072225542</v>
      </c>
      <c r="AN100" s="98" t="n">
        <f aca="false">-AN99*INDEX(Premissas!$C$41:$G$41,AN$7)</f>
        <v>-44835.6060758716</v>
      </c>
      <c r="AO100" s="98" t="n">
        <f aca="false">-AO99*INDEX(Premissas!$C$41:$G$41,AO$7)</f>
        <v>-47723.4969842297</v>
      </c>
      <c r="AP100" s="98" t="n">
        <f aca="false">-AP99*INDEX(Premissas!$C$41:$G$41,AP$7)</f>
        <v>-50472.7691289867</v>
      </c>
      <c r="AQ100" s="98" t="n">
        <f aca="false">-AQ99*INDEX(Premissas!$C$41:$G$41,AQ$7)</f>
        <v>-53090.0762107953</v>
      </c>
      <c r="AR100" s="98" t="n">
        <f aca="false">-AR99*INDEX(Premissas!$C$41:$G$41,AR$7)</f>
        <v>-55581.7525526772</v>
      </c>
      <c r="AS100" s="98" t="n">
        <f aca="false">-AS99*INDEX(Premissas!$C$41:$G$41,AS$7)</f>
        <v>-57953.8284301487</v>
      </c>
      <c r="AT100" s="98" t="n">
        <f aca="false">-AT99*INDEX(Premissas!$C$41:$G$41,AT$7)</f>
        <v>-60212.0446655015</v>
      </c>
      <c r="AU100" s="98" t="n">
        <f aca="false">-AU99*INDEX(Premissas!$C$41:$G$41,AU$7)</f>
        <v>-62361.8665215575</v>
      </c>
      <c r="AV100" s="98" t="n">
        <f aca="false">-AV99*INDEX(Premissas!$C$41:$G$41,AV$7)</f>
        <v>-64408.4969285227</v>
      </c>
      <c r="AW100" s="98" t="n">
        <f aca="false">-AW99*INDEX(Premissas!$C$41:$G$41,AW$7)</f>
        <v>-66356.8890759536</v>
      </c>
      <c r="AX100" s="98" t="n">
        <f aca="false">-AX99*INDEX(Premissas!$C$41:$G$41,AX$7)</f>
        <v>-63948.5235002886</v>
      </c>
      <c r="AY100" s="98" t="n">
        <f aca="false">-AY99*INDEX(Premissas!$C$41:$G$41,AY$7)</f>
        <v>-67505.8399427756</v>
      </c>
      <c r="AZ100" s="98" t="n">
        <f aca="false">-AZ99*INDEX(Premissas!$C$41:$G$41,AZ$7)</f>
        <v>-70903.0771453507</v>
      </c>
      <c r="BA100" s="98" t="n">
        <f aca="false">-BA99*INDEX(Premissas!$C$41:$G$41,BA$7)</f>
        <v>-74147.4386738099</v>
      </c>
      <c r="BB100" s="98" t="n">
        <f aca="false">-BB99*INDEX(Premissas!$C$41:$G$41,BB$7)</f>
        <v>-77245.8039334885</v>
      </c>
      <c r="BC100" s="98" t="n">
        <f aca="false">-BC99*INDEX(Premissas!$C$41:$G$41,BC$7)</f>
        <v>-80204.7427564815</v>
      </c>
      <c r="BD100" s="98" t="n">
        <f aca="false">-BD99*INDEX(Premissas!$C$41:$G$41,BD$7)</f>
        <v>-83030.5293324398</v>
      </c>
      <c r="BE100" s="98" t="n">
        <f aca="false">-BE99*INDEX(Premissas!$C$41:$G$41,BE$7)</f>
        <v>-85729.15551248</v>
      </c>
      <c r="BF100" s="98" t="n">
        <f aca="false">-BF99*INDEX(Premissas!$C$41:$G$41,BF$7)</f>
        <v>-88306.3435144184</v>
      </c>
      <c r="BG100" s="98" t="n">
        <f aca="false">-BG99*INDEX(Premissas!$C$41:$G$41,BG$7)</f>
        <v>-90767.5580562696</v>
      </c>
      <c r="BH100" s="98" t="n">
        <f aca="false">-BH99*INDEX(Premissas!$C$41:$G$41,BH$7)</f>
        <v>-93118.0179437375</v>
      </c>
      <c r="BI100" s="98" t="n">
        <f aca="false">-BI99*INDEX(Premissas!$C$41:$G$41,BI$7)</f>
        <v>-95362.7071362693</v>
      </c>
      <c r="BJ100" s="95" t="n">
        <f aca="false">SUM(B100:BI100)</f>
        <v>-2097211.4374414</v>
      </c>
    </row>
    <row r="101" customFormat="false" ht="15" hidden="false" customHeight="false" outlineLevel="0" collapsed="false">
      <c r="A101" s="34" t="s">
        <v>314</v>
      </c>
      <c r="B101" s="96" t="n">
        <f aca="false">B99+B100+B98</f>
        <v>0</v>
      </c>
      <c r="C101" s="96" t="n">
        <f aca="false">C99+C100+C98</f>
        <v>0</v>
      </c>
      <c r="D101" s="96" t="n">
        <f aca="false">D99+D100+D98</f>
        <v>0</v>
      </c>
      <c r="E101" s="96" t="n">
        <f aca="false">E99+E100+E98</f>
        <v>0</v>
      </c>
      <c r="F101" s="96" t="n">
        <f aca="false">F99+F100+F98</f>
        <v>0</v>
      </c>
      <c r="G101" s="96" t="n">
        <f aca="false">G99+G100+G98</f>
        <v>0</v>
      </c>
      <c r="H101" s="96" t="n">
        <f aca="false">H99+H100+H98</f>
        <v>0</v>
      </c>
      <c r="I101" s="96" t="n">
        <f aca="false">I99+I100+I98</f>
        <v>0</v>
      </c>
      <c r="J101" s="96" t="n">
        <f aca="false">J99+J100+J98</f>
        <v>0</v>
      </c>
      <c r="K101" s="96" t="n">
        <f aca="false">K99+K100+K98</f>
        <v>25340</v>
      </c>
      <c r="L101" s="96" t="n">
        <f aca="false">L99+L100+L98</f>
        <v>49159.6</v>
      </c>
      <c r="M101" s="96" t="n">
        <f aca="false">M99+M100+M98</f>
        <v>71550.024</v>
      </c>
      <c r="N101" s="96" t="n">
        <f aca="false">N99+N100+N98</f>
        <v>100614.77268</v>
      </c>
      <c r="O101" s="96" t="n">
        <f aca="false">O99+O100+O98</f>
        <v>128080.9601826</v>
      </c>
      <c r="P101" s="96" t="n">
        <f aca="false">P99+P100+P98</f>
        <v>154036.507372557</v>
      </c>
      <c r="Q101" s="96" t="n">
        <f aca="false">Q99+Q100+Q98</f>
        <v>178564.499467066</v>
      </c>
      <c r="R101" s="96" t="n">
        <f aca="false">R99+R100+R98</f>
        <v>201743.451996378</v>
      </c>
      <c r="S101" s="96" t="n">
        <f aca="false">S99+S100+S98</f>
        <v>223647.562136577</v>
      </c>
      <c r="T101" s="96" t="n">
        <f aca="false">T99+T100+T98</f>
        <v>244346.946219065</v>
      </c>
      <c r="U101" s="96" t="n">
        <f aca="false">U99+U100+U98</f>
        <v>263907.864177017</v>
      </c>
      <c r="V101" s="96" t="n">
        <f aca="false">V99+V100+V98</f>
        <v>282392.931647281</v>
      </c>
      <c r="W101" s="96" t="n">
        <f aca="false">W99+W100+W98</f>
        <v>299861.32040668</v>
      </c>
      <c r="X101" s="96" t="n">
        <f aca="false">X99+X100+X98</f>
        <v>316368.947784313</v>
      </c>
      <c r="Y101" s="96" t="n">
        <f aca="false">Y99+Y100+Y98</f>
        <v>331968.655656176</v>
      </c>
      <c r="Z101" s="96" t="n">
        <f aca="false">Z99+Z100+Z98</f>
        <v>383370.222873367</v>
      </c>
      <c r="AA101" s="96" t="n">
        <f aca="false">AA99+AA100+AA98</f>
        <v>432201.711729699</v>
      </c>
      <c r="AB101" s="96" t="n">
        <f aca="false">AB99+AB100+AB98</f>
        <v>478591.626143214</v>
      </c>
      <c r="AC101" s="96" t="n">
        <f aca="false">AC99+AC100+AC98</f>
        <v>522662.044836053</v>
      </c>
      <c r="AD101" s="96" t="n">
        <f aca="false">AD99+AD100+AD98</f>
        <v>564528.94259425</v>
      </c>
      <c r="AE101" s="96" t="n">
        <f aca="false">AE99+AE100+AE98</f>
        <v>604302.495464538</v>
      </c>
      <c r="AF101" s="96" t="n">
        <f aca="false">AF99+AF100+AF98</f>
        <v>642087.370691311</v>
      </c>
      <c r="AG101" s="96" t="n">
        <f aca="false">AG99+AG100+AG98</f>
        <v>677983.002156745</v>
      </c>
      <c r="AH101" s="96" t="n">
        <f aca="false">AH99+AH100+AH98</f>
        <v>712083.852048908</v>
      </c>
      <c r="AI101" s="96" t="n">
        <f aca="false">AI99+AI100+AI98</f>
        <v>744479.659446463</v>
      </c>
      <c r="AJ101" s="96" t="n">
        <f aca="false">AJ99+AJ100+AJ98</f>
        <v>775255.67647414</v>
      </c>
      <c r="AK101" s="96" t="n">
        <f aca="false">AK99+AK100+AK98</f>
        <v>804492.892650433</v>
      </c>
      <c r="AL101" s="96" t="n">
        <f aca="false">AL99+AL100+AL98</f>
        <v>870877.233803212</v>
      </c>
      <c r="AM101" s="96" t="n">
        <f aca="false">AM99+AM100+AM98</f>
        <v>934075.126580658</v>
      </c>
      <c r="AN101" s="96" t="n">
        <f aca="false">AN99+AN100+AN98</f>
        <v>994239.520504786</v>
      </c>
      <c r="AO101" s="96" t="n">
        <f aca="false">AO99+AO100+AO98</f>
        <v>1051516.02352056</v>
      </c>
      <c r="AP101" s="96" t="n">
        <f aca="false">AP99+AP100+AP98</f>
        <v>1106043.25439157</v>
      </c>
      <c r="AQ101" s="96" t="n">
        <f aca="false">AQ99+AQ100+AQ98</f>
        <v>1157953.17818077</v>
      </c>
      <c r="AR101" s="96" t="n">
        <f aca="false">AR99+AR100+AR98</f>
        <v>1207371.4256281</v>
      </c>
      <c r="AS101" s="96" t="n">
        <f aca="false">AS99+AS100+AS98</f>
        <v>1254417.59719795</v>
      </c>
      <c r="AT101" s="96" t="n">
        <f aca="false">AT99+AT100+AT98</f>
        <v>1299205.55253245</v>
      </c>
      <c r="AU101" s="96" t="n">
        <f aca="false">AU99+AU100+AU98</f>
        <v>1341843.68601089</v>
      </c>
      <c r="AV101" s="96" t="n">
        <f aca="false">AV99+AV100+AV98</f>
        <v>1382435.18908237</v>
      </c>
      <c r="AW101" s="96" t="n">
        <f aca="false">AW99+AW100+AW98</f>
        <v>1421078.30000641</v>
      </c>
      <c r="AX101" s="96" t="n">
        <f aca="false">AX99+AX100+AX98</f>
        <v>1500129.77650612</v>
      </c>
      <c r="AY101" s="96" t="n">
        <f aca="false">AY99+AY100+AY98</f>
        <v>1575623.93656335</v>
      </c>
      <c r="AZ101" s="96" t="n">
        <f aca="false">AZ99+AZ100+AZ98</f>
        <v>1647720.859418</v>
      </c>
      <c r="BA101" s="96" t="n">
        <f aca="false">BA99+BA100+BA98</f>
        <v>1716573.42074419</v>
      </c>
      <c r="BB101" s="96" t="n">
        <f aca="false">BB99+BB100+BB98</f>
        <v>1782327.6168107</v>
      </c>
      <c r="BC101" s="96" t="n">
        <f aca="false">BC99+BC100+BC98</f>
        <v>1845122.87405422</v>
      </c>
      <c r="BD101" s="96" t="n">
        <f aca="false">BD99+BD100+BD98</f>
        <v>1905092.34472178</v>
      </c>
      <c r="BE101" s="96" t="n">
        <f aca="false">BE99+BE100+BE98</f>
        <v>1962363.1892093</v>
      </c>
      <c r="BF101" s="96" t="n">
        <f aca="false">BF99+BF100+BF98</f>
        <v>2017056.84569488</v>
      </c>
      <c r="BG101" s="96" t="n">
        <f aca="false">BG99+BG100+BG98</f>
        <v>2069289.28763861</v>
      </c>
      <c r="BH101" s="96" t="n">
        <f aca="false">BH99+BH100+BH98</f>
        <v>2119171.26969487</v>
      </c>
      <c r="BI101" s="96" t="n">
        <f aca="false">BI99+BI100+BI98</f>
        <v>2166808.5625586</v>
      </c>
      <c r="BJ101" s="95" t="n">
        <f aca="false">BI101</f>
        <v>2166808.5625586</v>
      </c>
      <c r="BK101" s="14" t="s">
        <v>344</v>
      </c>
    </row>
    <row r="102" customFormat="false" ht="15" hidden="false" customHeight="false" outlineLevel="0" collapsed="false">
      <c r="A102" s="12" t="s">
        <v>345</v>
      </c>
      <c r="B102" s="107" t="n">
        <f aca="false">IF(B$4&lt;Premissas!$B$10,0,INDEX(Premissas!$C$45:$G$45,B$7))</f>
        <v>0</v>
      </c>
      <c r="C102" s="107" t="n">
        <f aca="false">IF(C$4&lt;Premissas!$B$10,0,INDEX(Premissas!$C$45:$G$45,C$7))</f>
        <v>0</v>
      </c>
      <c r="D102" s="107" t="n">
        <f aca="false">IF(D$4&lt;Premissas!$B$10,0,INDEX(Premissas!$C$45:$G$45,D$7))</f>
        <v>0</v>
      </c>
      <c r="E102" s="107" t="n">
        <f aca="false">IF(E$4&lt;Premissas!$B$10,0,INDEX(Premissas!$C$45:$G$45,E$7))</f>
        <v>0</v>
      </c>
      <c r="F102" s="107" t="n">
        <f aca="false">IF(F$4&lt;Premissas!$B$10,0,INDEX(Premissas!$C$45:$G$45,F$7))</f>
        <v>0</v>
      </c>
      <c r="G102" s="107" t="n">
        <f aca="false">IF(G$4&lt;Premissas!$B$10,0,INDEX(Premissas!$C$45:$G$45,G$7))</f>
        <v>0</v>
      </c>
      <c r="H102" s="107" t="n">
        <f aca="false">IF(H$4&lt;Premissas!$B$10,0,INDEX(Premissas!$C$45:$G$45,H$7))</f>
        <v>0</v>
      </c>
      <c r="I102" s="107" t="n">
        <f aca="false">IF(I$4&lt;Premissas!$B$10,0,INDEX(Premissas!$C$45:$G$45,I$7))</f>
        <v>0</v>
      </c>
      <c r="J102" s="107" t="n">
        <f aca="false">IF(J$4&lt;Premissas!$B$10,0,INDEX(Premissas!$C$45:$G$45,J$7))</f>
        <v>0</v>
      </c>
      <c r="K102" s="107" t="n">
        <f aca="false">IF(K$4&lt;Premissas!$B$10,0,INDEX(Premissas!$C$45:$G$45,K$7))</f>
        <v>0.07</v>
      </c>
      <c r="L102" s="107" t="n">
        <f aca="false">IF(L$4&lt;Premissas!$B$10,0,INDEX(Premissas!$C$45:$G$45,L$7))</f>
        <v>0.07</v>
      </c>
      <c r="M102" s="107" t="n">
        <f aca="false">IF(M$4&lt;Premissas!$B$10,0,INDEX(Premissas!$C$45:$G$45,M$7))</f>
        <v>0.07</v>
      </c>
      <c r="N102" s="107" t="n">
        <f aca="false">IF(N$4&lt;Premissas!$B$10,0,INDEX(Premissas!$C$45:$G$45,N$7))</f>
        <v>0.08</v>
      </c>
      <c r="O102" s="107" t="n">
        <f aca="false">IF(O$4&lt;Premissas!$B$10,0,INDEX(Premissas!$C$45:$G$45,O$7))</f>
        <v>0.08</v>
      </c>
      <c r="P102" s="107" t="n">
        <f aca="false">IF(P$4&lt;Premissas!$B$10,0,INDEX(Premissas!$C$45:$G$45,P$7))</f>
        <v>0.08</v>
      </c>
      <c r="Q102" s="107" t="n">
        <f aca="false">IF(Q$4&lt;Premissas!$B$10,0,INDEX(Premissas!$C$45:$G$45,Q$7))</f>
        <v>0.08</v>
      </c>
      <c r="R102" s="107" t="n">
        <f aca="false">IF(R$4&lt;Premissas!$B$10,0,INDEX(Premissas!$C$45:$G$45,R$7))</f>
        <v>0.08</v>
      </c>
      <c r="S102" s="107" t="n">
        <f aca="false">IF(S$4&lt;Premissas!$B$10,0,INDEX(Premissas!$C$45:$G$45,S$7))</f>
        <v>0.08</v>
      </c>
      <c r="T102" s="107" t="n">
        <f aca="false">IF(T$4&lt;Premissas!$B$10,0,INDEX(Premissas!$C$45:$G$45,T$7))</f>
        <v>0.08</v>
      </c>
      <c r="U102" s="107" t="n">
        <f aca="false">IF(U$4&lt;Premissas!$B$10,0,INDEX(Premissas!$C$45:$G$45,U$7))</f>
        <v>0.08</v>
      </c>
      <c r="V102" s="107" t="n">
        <f aca="false">IF(V$4&lt;Premissas!$B$10,0,INDEX(Premissas!$C$45:$G$45,V$7))</f>
        <v>0.08</v>
      </c>
      <c r="W102" s="107" t="n">
        <f aca="false">IF(W$4&lt;Premissas!$B$10,0,INDEX(Premissas!$C$45:$G$45,W$7))</f>
        <v>0.08</v>
      </c>
      <c r="X102" s="107" t="n">
        <f aca="false">IF(X$4&lt;Premissas!$B$10,0,INDEX(Premissas!$C$45:$G$45,X$7))</f>
        <v>0.08</v>
      </c>
      <c r="Y102" s="107" t="n">
        <f aca="false">IF(Y$4&lt;Premissas!$B$10,0,INDEX(Premissas!$C$45:$G$45,Y$7))</f>
        <v>0.08</v>
      </c>
      <c r="Z102" s="107" t="n">
        <f aca="false">IF(Z$4&lt;Premissas!$B$10,0,INDEX(Premissas!$C$45:$G$45,Z$7))</f>
        <v>0.085</v>
      </c>
      <c r="AA102" s="107" t="n">
        <f aca="false">IF(AA$4&lt;Premissas!$B$10,0,INDEX(Premissas!$C$45:$G$45,AA$7))</f>
        <v>0.085</v>
      </c>
      <c r="AB102" s="107" t="n">
        <f aca="false">IF(AB$4&lt;Premissas!$B$10,0,INDEX(Premissas!$C$45:$G$45,AB$7))</f>
        <v>0.085</v>
      </c>
      <c r="AC102" s="107" t="n">
        <f aca="false">IF(AC$4&lt;Premissas!$B$10,0,INDEX(Premissas!$C$45:$G$45,AC$7))</f>
        <v>0.085</v>
      </c>
      <c r="AD102" s="107" t="n">
        <f aca="false">IF(AD$4&lt;Premissas!$B$10,0,INDEX(Premissas!$C$45:$G$45,AD$7))</f>
        <v>0.085</v>
      </c>
      <c r="AE102" s="107" t="n">
        <f aca="false">IF(AE$4&lt;Premissas!$B$10,0,INDEX(Premissas!$C$45:$G$45,AE$7))</f>
        <v>0.085</v>
      </c>
      <c r="AF102" s="107" t="n">
        <f aca="false">IF(AF$4&lt;Premissas!$B$10,0,INDEX(Premissas!$C$45:$G$45,AF$7))</f>
        <v>0.085</v>
      </c>
      <c r="AG102" s="107" t="n">
        <f aca="false">IF(AG$4&lt;Premissas!$B$10,0,INDEX(Premissas!$C$45:$G$45,AG$7))</f>
        <v>0.085</v>
      </c>
      <c r="AH102" s="107" t="n">
        <f aca="false">IF(AH$4&lt;Premissas!$B$10,0,INDEX(Premissas!$C$45:$G$45,AH$7))</f>
        <v>0.085</v>
      </c>
      <c r="AI102" s="107" t="n">
        <f aca="false">IF(AI$4&lt;Premissas!$B$10,0,INDEX(Premissas!$C$45:$G$45,AI$7))</f>
        <v>0.085</v>
      </c>
      <c r="AJ102" s="107" t="n">
        <f aca="false">IF(AJ$4&lt;Premissas!$B$10,0,INDEX(Premissas!$C$45:$G$45,AJ$7))</f>
        <v>0.085</v>
      </c>
      <c r="AK102" s="107" t="n">
        <f aca="false">IF(AK$4&lt;Premissas!$B$10,0,INDEX(Premissas!$C$45:$G$45,AK$7))</f>
        <v>0.085</v>
      </c>
      <c r="AL102" s="107" t="n">
        <f aca="false">IF(AL$4&lt;Premissas!$B$10,0,INDEX(Premissas!$C$45:$G$45,AL$7))</f>
        <v>0.09</v>
      </c>
      <c r="AM102" s="107" t="n">
        <f aca="false">IF(AM$4&lt;Premissas!$B$10,0,INDEX(Premissas!$C$45:$G$45,AM$7))</f>
        <v>0.09</v>
      </c>
      <c r="AN102" s="107" t="n">
        <f aca="false">IF(AN$4&lt;Premissas!$B$10,0,INDEX(Premissas!$C$45:$G$45,AN$7))</f>
        <v>0.09</v>
      </c>
      <c r="AO102" s="107" t="n">
        <f aca="false">IF(AO$4&lt;Premissas!$B$10,0,INDEX(Premissas!$C$45:$G$45,AO$7))</f>
        <v>0.09</v>
      </c>
      <c r="AP102" s="107" t="n">
        <f aca="false">IF(AP$4&lt;Premissas!$B$10,0,INDEX(Premissas!$C$45:$G$45,AP$7))</f>
        <v>0.09</v>
      </c>
      <c r="AQ102" s="107" t="n">
        <f aca="false">IF(AQ$4&lt;Premissas!$B$10,0,INDEX(Premissas!$C$45:$G$45,AQ$7))</f>
        <v>0.09</v>
      </c>
      <c r="AR102" s="107" t="n">
        <f aca="false">IF(AR$4&lt;Premissas!$B$10,0,INDEX(Premissas!$C$45:$G$45,AR$7))</f>
        <v>0.09</v>
      </c>
      <c r="AS102" s="107" t="n">
        <f aca="false">IF(AS$4&lt;Premissas!$B$10,0,INDEX(Premissas!$C$45:$G$45,AS$7))</f>
        <v>0.09</v>
      </c>
      <c r="AT102" s="107" t="n">
        <f aca="false">IF(AT$4&lt;Premissas!$B$10,0,INDEX(Premissas!$C$45:$G$45,AT$7))</f>
        <v>0.09</v>
      </c>
      <c r="AU102" s="107" t="n">
        <f aca="false">IF(AU$4&lt;Premissas!$B$10,0,INDEX(Premissas!$C$45:$G$45,AU$7))</f>
        <v>0.09</v>
      </c>
      <c r="AV102" s="107" t="n">
        <f aca="false">IF(AV$4&lt;Premissas!$B$10,0,INDEX(Premissas!$C$45:$G$45,AV$7))</f>
        <v>0.09</v>
      </c>
      <c r="AW102" s="107" t="n">
        <f aca="false">IF(AW$4&lt;Premissas!$B$10,0,INDEX(Premissas!$C$45:$G$45,AW$7))</f>
        <v>0.09</v>
      </c>
      <c r="AX102" s="107" t="n">
        <f aca="false">IF(AX$4&lt;Premissas!$B$10,0,INDEX(Premissas!$C$45:$G$45,AX$7))</f>
        <v>0.1</v>
      </c>
      <c r="AY102" s="107" t="n">
        <f aca="false">IF(AY$4&lt;Premissas!$B$10,0,INDEX(Premissas!$C$45:$G$45,AY$7))</f>
        <v>0.1</v>
      </c>
      <c r="AZ102" s="107" t="n">
        <f aca="false">IF(AZ$4&lt;Premissas!$B$10,0,INDEX(Premissas!$C$45:$G$45,AZ$7))</f>
        <v>0.1</v>
      </c>
      <c r="BA102" s="107" t="n">
        <f aca="false">IF(BA$4&lt;Premissas!$B$10,0,INDEX(Premissas!$C$45:$G$45,BA$7))</f>
        <v>0.1</v>
      </c>
      <c r="BB102" s="107" t="n">
        <f aca="false">IF(BB$4&lt;Premissas!$B$10,0,INDEX(Premissas!$C$45:$G$45,BB$7))</f>
        <v>0.1</v>
      </c>
      <c r="BC102" s="107" t="n">
        <f aca="false">IF(BC$4&lt;Premissas!$B$10,0,INDEX(Premissas!$C$45:$G$45,BC$7))</f>
        <v>0.1</v>
      </c>
      <c r="BD102" s="107" t="n">
        <f aca="false">IF(BD$4&lt;Premissas!$B$10,0,INDEX(Premissas!$C$45:$G$45,BD$7))</f>
        <v>0.1</v>
      </c>
      <c r="BE102" s="107" t="n">
        <f aca="false">IF(BE$4&lt;Premissas!$B$10,0,INDEX(Premissas!$C$45:$G$45,BE$7))</f>
        <v>0.1</v>
      </c>
      <c r="BF102" s="107" t="n">
        <f aca="false">IF(BF$4&lt;Premissas!$B$10,0,INDEX(Premissas!$C$45:$G$45,BF$7))</f>
        <v>0.1</v>
      </c>
      <c r="BG102" s="107" t="n">
        <f aca="false">IF(BG$4&lt;Premissas!$B$10,0,INDEX(Premissas!$C$45:$G$45,BG$7))</f>
        <v>0.1</v>
      </c>
      <c r="BH102" s="107" t="n">
        <f aca="false">IF(BH$4&lt;Premissas!$B$10,0,INDEX(Premissas!$C$45:$G$45,BH$7))</f>
        <v>0.1</v>
      </c>
      <c r="BI102" s="107" t="n">
        <f aca="false">IF(BI$4&lt;Premissas!$B$10,0,INDEX(Premissas!$C$45:$G$45,BI$7))</f>
        <v>0.1</v>
      </c>
      <c r="BJ102" s="72" t="n">
        <f aca="false">BI102</f>
        <v>0.1</v>
      </c>
    </row>
    <row r="103" customFormat="false" ht="15" hidden="false" customHeight="false" outlineLevel="0" collapsed="false">
      <c r="A103" s="34" t="s">
        <v>316</v>
      </c>
      <c r="B103" s="96" t="n">
        <f aca="false">ROUND(B101*B102,0)</f>
        <v>0</v>
      </c>
      <c r="C103" s="96" t="n">
        <f aca="false">ROUND(C101*C102,0)</f>
        <v>0</v>
      </c>
      <c r="D103" s="96" t="n">
        <f aca="false">ROUND(D101*D102,0)</f>
        <v>0</v>
      </c>
      <c r="E103" s="96" t="n">
        <f aca="false">ROUND(E101*E102,0)</f>
        <v>0</v>
      </c>
      <c r="F103" s="96" t="n">
        <f aca="false">ROUND(F101*F102,0)</f>
        <v>0</v>
      </c>
      <c r="G103" s="96" t="n">
        <f aca="false">ROUND(G101*G102,0)</f>
        <v>0</v>
      </c>
      <c r="H103" s="96" t="n">
        <f aca="false">ROUND(H101*H102,0)</f>
        <v>0</v>
      </c>
      <c r="I103" s="96" t="n">
        <f aca="false">ROUND(I101*I102,0)</f>
        <v>0</v>
      </c>
      <c r="J103" s="96" t="n">
        <f aca="false">ROUND(J101*J102,0)</f>
        <v>0</v>
      </c>
      <c r="K103" s="96" t="n">
        <f aca="false">ROUND(K101*K102,0)</f>
        <v>1774</v>
      </c>
      <c r="L103" s="96" t="n">
        <f aca="false">ROUND(L101*L102,0)</f>
        <v>3441</v>
      </c>
      <c r="M103" s="96" t="n">
        <f aca="false">ROUND(M101*M102,0)</f>
        <v>5009</v>
      </c>
      <c r="N103" s="96" t="n">
        <f aca="false">ROUND(N101*N102,0)</f>
        <v>8049</v>
      </c>
      <c r="O103" s="96" t="n">
        <f aca="false">ROUND(O101*O102,0)</f>
        <v>10246</v>
      </c>
      <c r="P103" s="96" t="n">
        <f aca="false">ROUND(P101*P102,0)</f>
        <v>12323</v>
      </c>
      <c r="Q103" s="96" t="n">
        <f aca="false">ROUND(Q101*Q102,0)</f>
        <v>14285</v>
      </c>
      <c r="R103" s="96" t="n">
        <f aca="false">ROUND(R101*R102,0)</f>
        <v>16139</v>
      </c>
      <c r="S103" s="96" t="n">
        <f aca="false">ROUND(S101*S102,0)</f>
        <v>17892</v>
      </c>
      <c r="T103" s="96" t="n">
        <f aca="false">ROUND(T101*T102,0)</f>
        <v>19548</v>
      </c>
      <c r="U103" s="96" t="n">
        <f aca="false">ROUND(U101*U102,0)</f>
        <v>21113</v>
      </c>
      <c r="V103" s="96" t="n">
        <f aca="false">ROUND(V101*V102,0)</f>
        <v>22591</v>
      </c>
      <c r="W103" s="96" t="n">
        <f aca="false">ROUND(W101*W102,0)</f>
        <v>23989</v>
      </c>
      <c r="X103" s="96" t="n">
        <f aca="false">ROUND(X101*X102,0)</f>
        <v>25310</v>
      </c>
      <c r="Y103" s="96" t="n">
        <f aca="false">ROUND(Y101*Y102,0)</f>
        <v>26557</v>
      </c>
      <c r="Z103" s="96" t="n">
        <f aca="false">ROUND(Z101*Z102,0)</f>
        <v>32586</v>
      </c>
      <c r="AA103" s="96" t="n">
        <f aca="false">ROUND(AA101*AA102,0)</f>
        <v>36737</v>
      </c>
      <c r="AB103" s="96" t="n">
        <f aca="false">ROUND(AB101*AB102,0)</f>
        <v>40680</v>
      </c>
      <c r="AC103" s="96" t="n">
        <f aca="false">ROUND(AC101*AC102,0)</f>
        <v>44426</v>
      </c>
      <c r="AD103" s="96" t="n">
        <f aca="false">ROUND(AD101*AD102,0)</f>
        <v>47985</v>
      </c>
      <c r="AE103" s="96" t="n">
        <f aca="false">ROUND(AE101*AE102,0)</f>
        <v>51366</v>
      </c>
      <c r="AF103" s="96" t="n">
        <f aca="false">ROUND(AF101*AF102,0)</f>
        <v>54577</v>
      </c>
      <c r="AG103" s="96" t="n">
        <f aca="false">ROUND(AG101*AG102,0)</f>
        <v>57629</v>
      </c>
      <c r="AH103" s="96" t="n">
        <f aca="false">ROUND(AH101*AH102,0)</f>
        <v>60527</v>
      </c>
      <c r="AI103" s="96" t="n">
        <f aca="false">ROUND(AI101*AI102,0)</f>
        <v>63281</v>
      </c>
      <c r="AJ103" s="96" t="n">
        <f aca="false">ROUND(AJ101*AJ102,0)</f>
        <v>65897</v>
      </c>
      <c r="AK103" s="96" t="n">
        <f aca="false">ROUND(AK101*AK102,0)</f>
        <v>68382</v>
      </c>
      <c r="AL103" s="96" t="n">
        <f aca="false">ROUND(AL101*AL102,0)</f>
        <v>78379</v>
      </c>
      <c r="AM103" s="96" t="n">
        <f aca="false">ROUND(AM101*AM102,0)</f>
        <v>84067</v>
      </c>
      <c r="AN103" s="96" t="n">
        <f aca="false">ROUND(AN101*AN102,0)</f>
        <v>89482</v>
      </c>
      <c r="AO103" s="96" t="n">
        <f aca="false">ROUND(AO101*AO102,0)</f>
        <v>94636</v>
      </c>
      <c r="AP103" s="96" t="n">
        <f aca="false">ROUND(AP101*AP102,0)</f>
        <v>99544</v>
      </c>
      <c r="AQ103" s="96" t="n">
        <f aca="false">ROUND(AQ101*AQ102,0)</f>
        <v>104216</v>
      </c>
      <c r="AR103" s="96" t="n">
        <f aca="false">ROUND(AR101*AR102,0)</f>
        <v>108663</v>
      </c>
      <c r="AS103" s="96" t="n">
        <f aca="false">ROUND(AS101*AS102,0)</f>
        <v>112898</v>
      </c>
      <c r="AT103" s="96" t="n">
        <f aca="false">ROUND(AT101*AT102,0)</f>
        <v>116928</v>
      </c>
      <c r="AU103" s="96" t="n">
        <f aca="false">ROUND(AU101*AU102,0)</f>
        <v>120766</v>
      </c>
      <c r="AV103" s="96" t="n">
        <f aca="false">ROUND(AV101*AV102,0)</f>
        <v>124419</v>
      </c>
      <c r="AW103" s="96" t="n">
        <f aca="false">ROUND(AW101*AW102,0)</f>
        <v>127897</v>
      </c>
      <c r="AX103" s="96" t="n">
        <f aca="false">ROUND(AX101*AX102,0)</f>
        <v>150013</v>
      </c>
      <c r="AY103" s="96" t="n">
        <f aca="false">ROUND(AY101*AY102,0)</f>
        <v>157562</v>
      </c>
      <c r="AZ103" s="96" t="n">
        <f aca="false">ROUND(AZ101*AZ102,0)</f>
        <v>164772</v>
      </c>
      <c r="BA103" s="96" t="n">
        <f aca="false">ROUND(BA101*BA102,0)</f>
        <v>171657</v>
      </c>
      <c r="BB103" s="96" t="n">
        <f aca="false">ROUND(BB101*BB102,0)</f>
        <v>178233</v>
      </c>
      <c r="BC103" s="96" t="n">
        <f aca="false">ROUND(BC101*BC102,0)</f>
        <v>184512</v>
      </c>
      <c r="BD103" s="96" t="n">
        <f aca="false">ROUND(BD101*BD102,0)</f>
        <v>190509</v>
      </c>
      <c r="BE103" s="96" t="n">
        <f aca="false">ROUND(BE101*BE102,0)</f>
        <v>196236</v>
      </c>
      <c r="BF103" s="96" t="n">
        <f aca="false">ROUND(BF101*BF102,0)</f>
        <v>201706</v>
      </c>
      <c r="BG103" s="96" t="n">
        <f aca="false">ROUND(BG101*BG102,0)</f>
        <v>206929</v>
      </c>
      <c r="BH103" s="96" t="n">
        <f aca="false">ROUND(BH101*BH102,0)</f>
        <v>211917</v>
      </c>
      <c r="BI103" s="96" t="n">
        <f aca="false">ROUND(BI101*BI102,0)</f>
        <v>216681</v>
      </c>
      <c r="BJ103" s="95" t="n">
        <f aca="false">BI103</f>
        <v>216681</v>
      </c>
      <c r="BK103" s="14" t="s">
        <v>344</v>
      </c>
    </row>
    <row r="104" customFormat="false" ht="15" hidden="false" customHeight="false" outlineLevel="0" collapsed="false">
      <c r="A104" s="12" t="s">
        <v>317</v>
      </c>
      <c r="B104" s="98" t="n">
        <f aca="false">ROUND(B103*INDEX(Premissas!$C$26:$G$26,B$7),0)</f>
        <v>0</v>
      </c>
      <c r="C104" s="98" t="n">
        <f aca="false">ROUND(C103*INDEX(Premissas!$C$26:$G$26,C$7),0)</f>
        <v>0</v>
      </c>
      <c r="D104" s="98" t="n">
        <f aca="false">ROUND(D103*INDEX(Premissas!$C$26:$G$26,D$7),0)</f>
        <v>0</v>
      </c>
      <c r="E104" s="98" t="n">
        <f aca="false">ROUND(E103*INDEX(Premissas!$C$26:$G$26,E$7),0)</f>
        <v>0</v>
      </c>
      <c r="F104" s="98" t="n">
        <f aca="false">ROUND(F103*INDEX(Premissas!$C$26:$G$26,F$7),0)</f>
        <v>0</v>
      </c>
      <c r="G104" s="98" t="n">
        <f aca="false">ROUND(G103*INDEX(Premissas!$C$26:$G$26,G$7),0)</f>
        <v>0</v>
      </c>
      <c r="H104" s="98" t="n">
        <f aca="false">ROUND(H103*INDEX(Premissas!$C$26:$G$26,H$7),0)</f>
        <v>0</v>
      </c>
      <c r="I104" s="98" t="n">
        <f aca="false">ROUND(I103*INDEX(Premissas!$C$26:$G$26,I$7),0)</f>
        <v>0</v>
      </c>
      <c r="J104" s="98" t="n">
        <f aca="false">ROUND(J103*INDEX(Premissas!$C$26:$G$26,J$7),0)</f>
        <v>0</v>
      </c>
      <c r="K104" s="98" t="n">
        <f aca="false">ROUND(K103*INDEX(Premissas!$C$26:$G$26,K$7),0)</f>
        <v>1331</v>
      </c>
      <c r="L104" s="98" t="n">
        <f aca="false">ROUND(L103*INDEX(Premissas!$C$26:$G$26,L$7),0)</f>
        <v>2581</v>
      </c>
      <c r="M104" s="98" t="n">
        <f aca="false">ROUND(M103*INDEX(Premissas!$C$26:$G$26,M$7),0)</f>
        <v>3757</v>
      </c>
      <c r="N104" s="98" t="n">
        <f aca="false">ROUND(N103*INDEX(Premissas!$C$26:$G$26,N$7),0)</f>
        <v>5795</v>
      </c>
      <c r="O104" s="98" t="n">
        <f aca="false">ROUND(O103*INDEX(Premissas!$C$26:$G$26,O$7),0)</f>
        <v>7377</v>
      </c>
      <c r="P104" s="98" t="n">
        <f aca="false">ROUND(P103*INDEX(Premissas!$C$26:$G$26,P$7),0)</f>
        <v>8873</v>
      </c>
      <c r="Q104" s="98" t="n">
        <f aca="false">ROUND(Q103*INDEX(Premissas!$C$26:$G$26,Q$7),0)</f>
        <v>10285</v>
      </c>
      <c r="R104" s="98" t="n">
        <f aca="false">ROUND(R103*INDEX(Premissas!$C$26:$G$26,R$7),0)</f>
        <v>11620</v>
      </c>
      <c r="S104" s="98" t="n">
        <f aca="false">ROUND(S103*INDEX(Premissas!$C$26:$G$26,S$7),0)</f>
        <v>12882</v>
      </c>
      <c r="T104" s="98" t="n">
        <f aca="false">ROUND(T103*INDEX(Premissas!$C$26:$G$26,T$7),0)</f>
        <v>14075</v>
      </c>
      <c r="U104" s="98" t="n">
        <f aca="false">ROUND(U103*INDEX(Premissas!$C$26:$G$26,U$7),0)</f>
        <v>15201</v>
      </c>
      <c r="V104" s="98" t="n">
        <f aca="false">ROUND(V103*INDEX(Premissas!$C$26:$G$26,V$7),0)</f>
        <v>16266</v>
      </c>
      <c r="W104" s="98" t="n">
        <f aca="false">ROUND(W103*INDEX(Premissas!$C$26:$G$26,W$7),0)</f>
        <v>17272</v>
      </c>
      <c r="X104" s="98" t="n">
        <f aca="false">ROUND(X103*INDEX(Premissas!$C$26:$G$26,X$7),0)</f>
        <v>18223</v>
      </c>
      <c r="Y104" s="98" t="n">
        <f aca="false">ROUND(Y103*INDEX(Premissas!$C$26:$G$26,Y$7),0)</f>
        <v>19121</v>
      </c>
      <c r="Z104" s="98" t="n">
        <f aca="false">ROUND(Z103*INDEX(Premissas!$C$26:$G$26,Z$7),0)</f>
        <v>22158</v>
      </c>
      <c r="AA104" s="98" t="n">
        <f aca="false">ROUND(AA103*INDEX(Premissas!$C$26:$G$26,AA$7),0)</f>
        <v>24981</v>
      </c>
      <c r="AB104" s="98" t="n">
        <f aca="false">ROUND(AB103*INDEX(Premissas!$C$26:$G$26,AB$7),0)</f>
        <v>27662</v>
      </c>
      <c r="AC104" s="98" t="n">
        <f aca="false">ROUND(AC103*INDEX(Premissas!$C$26:$G$26,AC$7),0)</f>
        <v>30210</v>
      </c>
      <c r="AD104" s="98" t="n">
        <f aca="false">ROUND(AD103*INDEX(Premissas!$C$26:$G$26,AD$7),0)</f>
        <v>32630</v>
      </c>
      <c r="AE104" s="98" t="n">
        <f aca="false">ROUND(AE103*INDEX(Premissas!$C$26:$G$26,AE$7),0)</f>
        <v>34929</v>
      </c>
      <c r="AF104" s="98" t="n">
        <f aca="false">ROUND(AF103*INDEX(Premissas!$C$26:$G$26,AF$7),0)</f>
        <v>37112</v>
      </c>
      <c r="AG104" s="98" t="n">
        <f aca="false">ROUND(AG103*INDEX(Premissas!$C$26:$G$26,AG$7),0)</f>
        <v>39188</v>
      </c>
      <c r="AH104" s="98" t="n">
        <f aca="false">ROUND(AH103*INDEX(Premissas!$C$26:$G$26,AH$7),0)</f>
        <v>41158</v>
      </c>
      <c r="AI104" s="98" t="n">
        <f aca="false">ROUND(AI103*INDEX(Premissas!$C$26:$G$26,AI$7),0)</f>
        <v>43031</v>
      </c>
      <c r="AJ104" s="98" t="n">
        <f aca="false">ROUND(AJ103*INDEX(Premissas!$C$26:$G$26,AJ$7),0)</f>
        <v>44810</v>
      </c>
      <c r="AK104" s="98" t="n">
        <f aca="false">ROUND(AK103*INDEX(Premissas!$C$26:$G$26,AK$7),0)</f>
        <v>46500</v>
      </c>
      <c r="AL104" s="98" t="n">
        <f aca="false">ROUND(AL103*INDEX(Premissas!$C$26:$G$26,AL$7),0)</f>
        <v>50163</v>
      </c>
      <c r="AM104" s="98" t="n">
        <f aca="false">ROUND(AM103*INDEX(Premissas!$C$26:$G$26,AM$7),0)</f>
        <v>53803</v>
      </c>
      <c r="AN104" s="98" t="n">
        <f aca="false">ROUND(AN103*INDEX(Premissas!$C$26:$G$26,AN$7),0)</f>
        <v>57268</v>
      </c>
      <c r="AO104" s="98" t="n">
        <f aca="false">ROUND(AO103*INDEX(Premissas!$C$26:$G$26,AO$7),0)</f>
        <v>60567</v>
      </c>
      <c r="AP104" s="98" t="n">
        <f aca="false">ROUND(AP103*INDEX(Premissas!$C$26:$G$26,AP$7),0)</f>
        <v>63708</v>
      </c>
      <c r="AQ104" s="98" t="n">
        <f aca="false">ROUND(AQ103*INDEX(Premissas!$C$26:$G$26,AQ$7),0)</f>
        <v>66698</v>
      </c>
      <c r="AR104" s="98" t="n">
        <f aca="false">ROUND(AR103*INDEX(Premissas!$C$26:$G$26,AR$7),0)</f>
        <v>69544</v>
      </c>
      <c r="AS104" s="98" t="n">
        <f aca="false">ROUND(AS103*INDEX(Premissas!$C$26:$G$26,AS$7),0)</f>
        <v>72255</v>
      </c>
      <c r="AT104" s="98" t="n">
        <f aca="false">ROUND(AT103*INDEX(Premissas!$C$26:$G$26,AT$7),0)</f>
        <v>74834</v>
      </c>
      <c r="AU104" s="98" t="n">
        <f aca="false">ROUND(AU103*INDEX(Premissas!$C$26:$G$26,AU$7),0)</f>
        <v>77290</v>
      </c>
      <c r="AV104" s="98" t="n">
        <f aca="false">ROUND(AV103*INDEX(Premissas!$C$26:$G$26,AV$7),0)</f>
        <v>79628</v>
      </c>
      <c r="AW104" s="98" t="n">
        <f aca="false">ROUND(AW103*INDEX(Premissas!$C$26:$G$26,AW$7),0)</f>
        <v>81854</v>
      </c>
      <c r="AX104" s="98" t="n">
        <f aca="false">ROUND(AX103*INDEX(Premissas!$C$26:$G$26,AX$7),0)</f>
        <v>90008</v>
      </c>
      <c r="AY104" s="98" t="n">
        <f aca="false">ROUND(AY103*INDEX(Premissas!$C$26:$G$26,AY$7),0)</f>
        <v>94537</v>
      </c>
      <c r="AZ104" s="98" t="n">
        <f aca="false">ROUND(AZ103*INDEX(Premissas!$C$26:$G$26,AZ$7),0)</f>
        <v>98863</v>
      </c>
      <c r="BA104" s="98" t="n">
        <f aca="false">ROUND(BA103*INDEX(Premissas!$C$26:$G$26,BA$7),0)</f>
        <v>102994</v>
      </c>
      <c r="BB104" s="98" t="n">
        <f aca="false">ROUND(BB103*INDEX(Premissas!$C$26:$G$26,BB$7),0)</f>
        <v>106940</v>
      </c>
      <c r="BC104" s="98" t="n">
        <f aca="false">ROUND(BC103*INDEX(Premissas!$C$26:$G$26,BC$7),0)</f>
        <v>110707</v>
      </c>
      <c r="BD104" s="98" t="n">
        <f aca="false">ROUND(BD103*INDEX(Premissas!$C$26:$G$26,BD$7),0)</f>
        <v>114305</v>
      </c>
      <c r="BE104" s="98" t="n">
        <f aca="false">ROUND(BE103*INDEX(Premissas!$C$26:$G$26,BE$7),0)</f>
        <v>117742</v>
      </c>
      <c r="BF104" s="98" t="n">
        <f aca="false">ROUND(BF103*INDEX(Premissas!$C$26:$G$26,BF$7),0)</f>
        <v>121024</v>
      </c>
      <c r="BG104" s="98" t="n">
        <f aca="false">ROUND(BG103*INDEX(Premissas!$C$26:$G$26,BG$7),0)</f>
        <v>124157</v>
      </c>
      <c r="BH104" s="98" t="n">
        <f aca="false">ROUND(BH103*INDEX(Premissas!$C$26:$G$26,BH$7),0)</f>
        <v>127150</v>
      </c>
      <c r="BI104" s="98" t="n">
        <f aca="false">ROUND(BI103*INDEX(Premissas!$C$26:$G$26,BI$7),0)</f>
        <v>130009</v>
      </c>
      <c r="BJ104" s="95" t="n">
        <f aca="false">BI104</f>
        <v>130009</v>
      </c>
      <c r="BK104" s="14" t="s">
        <v>344</v>
      </c>
    </row>
    <row r="105" customFormat="false" ht="15" hidden="false" customHeight="false" outlineLevel="0" collapsed="false">
      <c r="A105" s="12" t="s">
        <v>318</v>
      </c>
      <c r="B105" s="98" t="n">
        <f aca="false">ROUND(B103*INDEX(Premissas!$C$27:$G$27,B$7),0)</f>
        <v>0</v>
      </c>
      <c r="C105" s="98" t="n">
        <f aca="false">ROUND(C103*INDEX(Premissas!$C$27:$G$27,C$7),0)</f>
        <v>0</v>
      </c>
      <c r="D105" s="98" t="n">
        <f aca="false">ROUND(D103*INDEX(Premissas!$C$27:$G$27,D$7),0)</f>
        <v>0</v>
      </c>
      <c r="E105" s="98" t="n">
        <f aca="false">ROUND(E103*INDEX(Premissas!$C$27:$G$27,E$7),0)</f>
        <v>0</v>
      </c>
      <c r="F105" s="98" t="n">
        <f aca="false">ROUND(F103*INDEX(Premissas!$C$27:$G$27,F$7),0)</f>
        <v>0</v>
      </c>
      <c r="G105" s="98" t="n">
        <f aca="false">ROUND(G103*INDEX(Premissas!$C$27:$G$27,G$7),0)</f>
        <v>0</v>
      </c>
      <c r="H105" s="98" t="n">
        <f aca="false">ROUND(H103*INDEX(Premissas!$C$27:$G$27,H$7),0)</f>
        <v>0</v>
      </c>
      <c r="I105" s="98" t="n">
        <f aca="false">ROUND(I103*INDEX(Premissas!$C$27:$G$27,I$7),0)</f>
        <v>0</v>
      </c>
      <c r="J105" s="98" t="n">
        <f aca="false">ROUND(J103*INDEX(Premissas!$C$27:$G$27,J$7),0)</f>
        <v>0</v>
      </c>
      <c r="K105" s="98" t="n">
        <f aca="false">ROUND(K103*INDEX(Premissas!$C$27:$G$27,K$7),0)</f>
        <v>355</v>
      </c>
      <c r="L105" s="98" t="n">
        <f aca="false">ROUND(L103*INDEX(Premissas!$C$27:$G$27,L$7),0)</f>
        <v>688</v>
      </c>
      <c r="M105" s="98" t="n">
        <f aca="false">ROUND(M103*INDEX(Premissas!$C$27:$G$27,M$7),0)</f>
        <v>1002</v>
      </c>
      <c r="N105" s="98" t="n">
        <f aca="false">ROUND(N103*INDEX(Premissas!$C$27:$G$27,N$7),0)</f>
        <v>1771</v>
      </c>
      <c r="O105" s="98" t="n">
        <f aca="false">ROUND(O103*INDEX(Premissas!$C$27:$G$27,O$7),0)</f>
        <v>2254</v>
      </c>
      <c r="P105" s="98" t="n">
        <f aca="false">ROUND(P103*INDEX(Premissas!$C$27:$G$27,P$7),0)</f>
        <v>2711</v>
      </c>
      <c r="Q105" s="98" t="n">
        <f aca="false">ROUND(Q103*INDEX(Premissas!$C$27:$G$27,Q$7),0)</f>
        <v>3143</v>
      </c>
      <c r="R105" s="98" t="n">
        <f aca="false">ROUND(R103*INDEX(Premissas!$C$27:$G$27,R$7),0)</f>
        <v>3551</v>
      </c>
      <c r="S105" s="98" t="n">
        <f aca="false">ROUND(S103*INDEX(Premissas!$C$27:$G$27,S$7),0)</f>
        <v>3936</v>
      </c>
      <c r="T105" s="98" t="n">
        <f aca="false">ROUND(T103*INDEX(Premissas!$C$27:$G$27,T$7),0)</f>
        <v>4301</v>
      </c>
      <c r="U105" s="98" t="n">
        <f aca="false">ROUND(U103*INDEX(Premissas!$C$27:$G$27,U$7),0)</f>
        <v>4645</v>
      </c>
      <c r="V105" s="98" t="n">
        <f aca="false">ROUND(V103*INDEX(Premissas!$C$27:$G$27,V$7),0)</f>
        <v>4970</v>
      </c>
      <c r="W105" s="98" t="n">
        <f aca="false">ROUND(W103*INDEX(Premissas!$C$27:$G$27,W$7),0)</f>
        <v>5278</v>
      </c>
      <c r="X105" s="98" t="n">
        <f aca="false">ROUND(X103*INDEX(Premissas!$C$27:$G$27,X$7),0)</f>
        <v>5568</v>
      </c>
      <c r="Y105" s="98" t="n">
        <f aca="false">ROUND(Y103*INDEX(Premissas!$C$27:$G$27,Y$7),0)</f>
        <v>5843</v>
      </c>
      <c r="Z105" s="98" t="n">
        <f aca="false">ROUND(Z103*INDEX(Premissas!$C$27:$G$27,Z$7),0)</f>
        <v>7821</v>
      </c>
      <c r="AA105" s="98" t="n">
        <f aca="false">ROUND(AA103*INDEX(Premissas!$C$27:$G$27,AA$7),0)</f>
        <v>8817</v>
      </c>
      <c r="AB105" s="98" t="n">
        <f aca="false">ROUND(AB103*INDEX(Premissas!$C$27:$G$27,AB$7),0)</f>
        <v>9763</v>
      </c>
      <c r="AC105" s="98" t="n">
        <f aca="false">ROUND(AC103*INDEX(Premissas!$C$27:$G$27,AC$7),0)</f>
        <v>10662</v>
      </c>
      <c r="AD105" s="98" t="n">
        <f aca="false">ROUND(AD103*INDEX(Premissas!$C$27:$G$27,AD$7),0)</f>
        <v>11516</v>
      </c>
      <c r="AE105" s="98" t="n">
        <f aca="false">ROUND(AE103*INDEX(Premissas!$C$27:$G$27,AE$7),0)</f>
        <v>12328</v>
      </c>
      <c r="AF105" s="98" t="n">
        <f aca="false">ROUND(AF103*INDEX(Premissas!$C$27:$G$27,AF$7),0)</f>
        <v>13098</v>
      </c>
      <c r="AG105" s="98" t="n">
        <f aca="false">ROUND(AG103*INDEX(Premissas!$C$27:$G$27,AG$7),0)</f>
        <v>13831</v>
      </c>
      <c r="AH105" s="98" t="n">
        <f aca="false">ROUND(AH103*INDEX(Premissas!$C$27:$G$27,AH$7),0)</f>
        <v>14526</v>
      </c>
      <c r="AI105" s="98" t="n">
        <f aca="false">ROUND(AI103*INDEX(Premissas!$C$27:$G$27,AI$7),0)</f>
        <v>15187</v>
      </c>
      <c r="AJ105" s="98" t="n">
        <f aca="false">ROUND(AJ103*INDEX(Premissas!$C$27:$G$27,AJ$7),0)</f>
        <v>15815</v>
      </c>
      <c r="AK105" s="98" t="n">
        <f aca="false">ROUND(AK103*INDEX(Premissas!$C$27:$G$27,AK$7),0)</f>
        <v>16412</v>
      </c>
      <c r="AL105" s="98" t="n">
        <f aca="false">ROUND(AL103*INDEX(Premissas!$C$27:$G$27,AL$7),0)</f>
        <v>20379</v>
      </c>
      <c r="AM105" s="98" t="n">
        <f aca="false">ROUND(AM103*INDEX(Premissas!$C$27:$G$27,AM$7),0)</f>
        <v>21857</v>
      </c>
      <c r="AN105" s="98" t="n">
        <f aca="false">ROUND(AN103*INDEX(Premissas!$C$27:$G$27,AN$7),0)</f>
        <v>23265</v>
      </c>
      <c r="AO105" s="98" t="n">
        <f aca="false">ROUND(AO103*INDEX(Premissas!$C$27:$G$27,AO$7),0)</f>
        <v>24605</v>
      </c>
      <c r="AP105" s="98" t="n">
        <f aca="false">ROUND(AP103*INDEX(Premissas!$C$27:$G$27,AP$7),0)</f>
        <v>25881</v>
      </c>
      <c r="AQ105" s="98" t="n">
        <f aca="false">ROUND(AQ103*INDEX(Premissas!$C$27:$G$27,AQ$7),0)</f>
        <v>27096</v>
      </c>
      <c r="AR105" s="98" t="n">
        <f aca="false">ROUND(AR103*INDEX(Premissas!$C$27:$G$27,AR$7),0)</f>
        <v>28252</v>
      </c>
      <c r="AS105" s="98" t="n">
        <f aca="false">ROUND(AS103*INDEX(Premissas!$C$27:$G$27,AS$7),0)</f>
        <v>29353</v>
      </c>
      <c r="AT105" s="98" t="n">
        <f aca="false">ROUND(AT103*INDEX(Premissas!$C$27:$G$27,AT$7),0)</f>
        <v>30401</v>
      </c>
      <c r="AU105" s="98" t="n">
        <f aca="false">ROUND(AU103*INDEX(Premissas!$C$27:$G$27,AU$7),0)</f>
        <v>31399</v>
      </c>
      <c r="AV105" s="98" t="n">
        <f aca="false">ROUND(AV103*INDEX(Premissas!$C$27:$G$27,AV$7),0)</f>
        <v>32349</v>
      </c>
      <c r="AW105" s="98" t="n">
        <f aca="false">ROUND(AW103*INDEX(Premissas!$C$27:$G$27,AW$7),0)</f>
        <v>33253</v>
      </c>
      <c r="AX105" s="98" t="n">
        <f aca="false">ROUND(AX103*INDEX(Premissas!$C$27:$G$27,AX$7),0)</f>
        <v>42004</v>
      </c>
      <c r="AY105" s="98" t="n">
        <f aca="false">ROUND(AY103*INDEX(Premissas!$C$27:$G$27,AY$7),0)</f>
        <v>44117</v>
      </c>
      <c r="AZ105" s="98" t="n">
        <f aca="false">ROUND(AZ103*INDEX(Premissas!$C$27:$G$27,AZ$7),0)</f>
        <v>46136</v>
      </c>
      <c r="BA105" s="98" t="n">
        <f aca="false">ROUND(BA103*INDEX(Premissas!$C$27:$G$27,BA$7),0)</f>
        <v>48064</v>
      </c>
      <c r="BB105" s="98" t="n">
        <f aca="false">ROUND(BB103*INDEX(Premissas!$C$27:$G$27,BB$7),0)</f>
        <v>49905</v>
      </c>
      <c r="BC105" s="98" t="n">
        <f aca="false">ROUND(BC103*INDEX(Premissas!$C$27:$G$27,BC$7),0)</f>
        <v>51663</v>
      </c>
      <c r="BD105" s="98" t="n">
        <f aca="false">ROUND(BD103*INDEX(Premissas!$C$27:$G$27,BD$7),0)</f>
        <v>53343</v>
      </c>
      <c r="BE105" s="98" t="n">
        <f aca="false">ROUND(BE103*INDEX(Premissas!$C$27:$G$27,BE$7),0)</f>
        <v>54946</v>
      </c>
      <c r="BF105" s="98" t="n">
        <f aca="false">ROUND(BF103*INDEX(Premissas!$C$27:$G$27,BF$7),0)</f>
        <v>56478</v>
      </c>
      <c r="BG105" s="98" t="n">
        <f aca="false">ROUND(BG103*INDEX(Premissas!$C$27:$G$27,BG$7),0)</f>
        <v>57940</v>
      </c>
      <c r="BH105" s="98" t="n">
        <f aca="false">ROUND(BH103*INDEX(Premissas!$C$27:$G$27,BH$7),0)</f>
        <v>59337</v>
      </c>
      <c r="BI105" s="98" t="n">
        <f aca="false">ROUND(BI103*INDEX(Premissas!$C$27:$G$27,BI$7),0)</f>
        <v>60671</v>
      </c>
      <c r="BJ105" s="95" t="n">
        <f aca="false">BI105</f>
        <v>60671</v>
      </c>
      <c r="BK105" s="14" t="s">
        <v>344</v>
      </c>
    </row>
    <row r="106" customFormat="false" ht="15" hidden="false" customHeight="false" outlineLevel="0" collapsed="false">
      <c r="A106" s="12" t="s">
        <v>319</v>
      </c>
      <c r="B106" s="98" t="n">
        <f aca="false">B103-B104-B105</f>
        <v>0</v>
      </c>
      <c r="C106" s="98" t="n">
        <f aca="false">C103-C104-C105</f>
        <v>0</v>
      </c>
      <c r="D106" s="98" t="n">
        <f aca="false">D103-D104-D105</f>
        <v>0</v>
      </c>
      <c r="E106" s="98" t="n">
        <f aca="false">E103-E104-E105</f>
        <v>0</v>
      </c>
      <c r="F106" s="98" t="n">
        <f aca="false">F103-F104-F105</f>
        <v>0</v>
      </c>
      <c r="G106" s="98" t="n">
        <f aca="false">G103-G104-G105</f>
        <v>0</v>
      </c>
      <c r="H106" s="98" t="n">
        <f aca="false">H103-H104-H105</f>
        <v>0</v>
      </c>
      <c r="I106" s="98" t="n">
        <f aca="false">I103-I104-I105</f>
        <v>0</v>
      </c>
      <c r="J106" s="98" t="n">
        <f aca="false">J103-J104-J105</f>
        <v>0</v>
      </c>
      <c r="K106" s="98" t="n">
        <f aca="false">K103-K104-K105</f>
        <v>88</v>
      </c>
      <c r="L106" s="98" t="n">
        <f aca="false">L103-L104-L105</f>
        <v>172</v>
      </c>
      <c r="M106" s="98" t="n">
        <f aca="false">M103-M104-M105</f>
        <v>250</v>
      </c>
      <c r="N106" s="98" t="n">
        <f aca="false">N103-N104-N105</f>
        <v>483</v>
      </c>
      <c r="O106" s="98" t="n">
        <f aca="false">O103-O104-O105</f>
        <v>615</v>
      </c>
      <c r="P106" s="98" t="n">
        <f aca="false">P103-P104-P105</f>
        <v>739</v>
      </c>
      <c r="Q106" s="98" t="n">
        <f aca="false">Q103-Q104-Q105</f>
        <v>857</v>
      </c>
      <c r="R106" s="98" t="n">
        <f aca="false">R103-R104-R105</f>
        <v>968</v>
      </c>
      <c r="S106" s="98" t="n">
        <f aca="false">S103-S104-S105</f>
        <v>1074</v>
      </c>
      <c r="T106" s="98" t="n">
        <f aca="false">T103-T104-T105</f>
        <v>1172</v>
      </c>
      <c r="U106" s="98" t="n">
        <f aca="false">U103-U104-U105</f>
        <v>1267</v>
      </c>
      <c r="V106" s="98" t="n">
        <f aca="false">V103-V104-V105</f>
        <v>1355</v>
      </c>
      <c r="W106" s="98" t="n">
        <f aca="false">W103-W104-W105</f>
        <v>1439</v>
      </c>
      <c r="X106" s="98" t="n">
        <f aca="false">X103-X104-X105</f>
        <v>1519</v>
      </c>
      <c r="Y106" s="98" t="n">
        <f aca="false">Y103-Y104-Y105</f>
        <v>1593</v>
      </c>
      <c r="Z106" s="98" t="n">
        <f aca="false">Z103-Z104-Z105</f>
        <v>2607</v>
      </c>
      <c r="AA106" s="98" t="n">
        <f aca="false">AA103-AA104-AA105</f>
        <v>2939</v>
      </c>
      <c r="AB106" s="98" t="n">
        <f aca="false">AB103-AB104-AB105</f>
        <v>3255</v>
      </c>
      <c r="AC106" s="98" t="n">
        <f aca="false">AC103-AC104-AC105</f>
        <v>3554</v>
      </c>
      <c r="AD106" s="98" t="n">
        <f aca="false">AD103-AD104-AD105</f>
        <v>3839</v>
      </c>
      <c r="AE106" s="98" t="n">
        <f aca="false">AE103-AE104-AE105</f>
        <v>4109</v>
      </c>
      <c r="AF106" s="98" t="n">
        <f aca="false">AF103-AF104-AF105</f>
        <v>4367</v>
      </c>
      <c r="AG106" s="98" t="n">
        <f aca="false">AG103-AG104-AG105</f>
        <v>4610</v>
      </c>
      <c r="AH106" s="98" t="n">
        <f aca="false">AH103-AH104-AH105</f>
        <v>4843</v>
      </c>
      <c r="AI106" s="98" t="n">
        <f aca="false">AI103-AI104-AI105</f>
        <v>5063</v>
      </c>
      <c r="AJ106" s="98" t="n">
        <f aca="false">AJ103-AJ104-AJ105</f>
        <v>5272</v>
      </c>
      <c r="AK106" s="98" t="n">
        <f aca="false">AK103-AK104-AK105</f>
        <v>5470</v>
      </c>
      <c r="AL106" s="98" t="n">
        <f aca="false">AL103-AL104-AL105</f>
        <v>7837</v>
      </c>
      <c r="AM106" s="98" t="n">
        <f aca="false">AM103-AM104-AM105</f>
        <v>8407</v>
      </c>
      <c r="AN106" s="98" t="n">
        <f aca="false">AN103-AN104-AN105</f>
        <v>8949</v>
      </c>
      <c r="AO106" s="98" t="n">
        <f aca="false">AO103-AO104-AO105</f>
        <v>9464</v>
      </c>
      <c r="AP106" s="98" t="n">
        <f aca="false">AP103-AP104-AP105</f>
        <v>9955</v>
      </c>
      <c r="AQ106" s="98" t="n">
        <f aca="false">AQ103-AQ104-AQ105</f>
        <v>10422</v>
      </c>
      <c r="AR106" s="98" t="n">
        <f aca="false">AR103-AR104-AR105</f>
        <v>10867</v>
      </c>
      <c r="AS106" s="98" t="n">
        <f aca="false">AS103-AS104-AS105</f>
        <v>11290</v>
      </c>
      <c r="AT106" s="98" t="n">
        <f aca="false">AT103-AT104-AT105</f>
        <v>11693</v>
      </c>
      <c r="AU106" s="98" t="n">
        <f aca="false">AU103-AU104-AU105</f>
        <v>12077</v>
      </c>
      <c r="AV106" s="98" t="n">
        <f aca="false">AV103-AV104-AV105</f>
        <v>12442</v>
      </c>
      <c r="AW106" s="98" t="n">
        <f aca="false">AW103-AW104-AW105</f>
        <v>12790</v>
      </c>
      <c r="AX106" s="98" t="n">
        <f aca="false">AX103-AX104-AX105</f>
        <v>18001</v>
      </c>
      <c r="AY106" s="98" t="n">
        <f aca="false">AY103-AY104-AY105</f>
        <v>18908</v>
      </c>
      <c r="AZ106" s="98" t="n">
        <f aca="false">AZ103-AZ104-AZ105</f>
        <v>19773</v>
      </c>
      <c r="BA106" s="98" t="n">
        <f aca="false">BA103-BA104-BA105</f>
        <v>20599</v>
      </c>
      <c r="BB106" s="98" t="n">
        <f aca="false">BB103-BB104-BB105</f>
        <v>21388</v>
      </c>
      <c r="BC106" s="98" t="n">
        <f aca="false">BC103-BC104-BC105</f>
        <v>22142</v>
      </c>
      <c r="BD106" s="98" t="n">
        <f aca="false">BD103-BD104-BD105</f>
        <v>22861</v>
      </c>
      <c r="BE106" s="98" t="n">
        <f aca="false">BE103-BE104-BE105</f>
        <v>23548</v>
      </c>
      <c r="BF106" s="98" t="n">
        <f aca="false">BF103-BF104-BF105</f>
        <v>24204</v>
      </c>
      <c r="BG106" s="98" t="n">
        <f aca="false">BG103-BG104-BG105</f>
        <v>24832</v>
      </c>
      <c r="BH106" s="98" t="n">
        <f aca="false">BH103-BH104-BH105</f>
        <v>25430</v>
      </c>
      <c r="BI106" s="98" t="n">
        <f aca="false">BI103-BI104-BI105</f>
        <v>26001</v>
      </c>
      <c r="BJ106" s="95" t="n">
        <f aca="false">BI106</f>
        <v>26001</v>
      </c>
      <c r="BK106" s="14" t="s">
        <v>344</v>
      </c>
    </row>
    <row r="107" customFormat="false" ht="15" hidden="false" customHeight="false" outlineLevel="0" collapsed="false">
      <c r="A107" s="12" t="s">
        <v>346</v>
      </c>
      <c r="B107" s="84" t="n">
        <f aca="false">B104*Premissas!$B$21*(1+Premissas!$B$24)^(B$6-2026)</f>
        <v>0</v>
      </c>
      <c r="C107" s="84" t="n">
        <f aca="false">C104*Premissas!$B$21*(1+Premissas!$B$24)^(C$6-2026)</f>
        <v>0</v>
      </c>
      <c r="D107" s="84" t="n">
        <f aca="false">D104*Premissas!$B$21*(1+Premissas!$B$24)^(D$6-2026)</f>
        <v>0</v>
      </c>
      <c r="E107" s="84" t="n">
        <f aca="false">E104*Premissas!$B$21*(1+Premissas!$B$24)^(E$6-2026)</f>
        <v>0</v>
      </c>
      <c r="F107" s="84" t="n">
        <f aca="false">F104*Premissas!$B$21*(1+Premissas!$B$24)^(F$6-2026)</f>
        <v>0</v>
      </c>
      <c r="G107" s="84" t="n">
        <f aca="false">G104*Premissas!$B$21*(1+Premissas!$B$24)^(G$6-2026)</f>
        <v>0</v>
      </c>
      <c r="H107" s="84" t="n">
        <f aca="false">H104*Premissas!$B$21*(1+Premissas!$B$24)^(H$6-2026)</f>
        <v>0</v>
      </c>
      <c r="I107" s="84" t="n">
        <f aca="false">I104*Premissas!$B$21*(1+Premissas!$B$24)^(I$6-2026)</f>
        <v>0</v>
      </c>
      <c r="J107" s="84" t="n">
        <f aca="false">J104*Premissas!$B$21*(1+Premissas!$B$24)^(J$6-2026)</f>
        <v>0</v>
      </c>
      <c r="K107" s="84" t="n">
        <f aca="false">K104*Premissas!$B$21*(1+Premissas!$B$24)^(K$6-2026)</f>
        <v>26486.9</v>
      </c>
      <c r="L107" s="84" t="n">
        <f aca="false">L104*Premissas!$B$21*(1+Premissas!$B$24)^(L$6-2026)</f>
        <v>51361.9</v>
      </c>
      <c r="M107" s="84" t="n">
        <f aca="false">M104*Premissas!$B$21*(1+Premissas!$B$24)^(M$6-2026)</f>
        <v>74764.3</v>
      </c>
      <c r="N107" s="84" t="n">
        <f aca="false">N104*Premissas!$B$21*(1+Premissas!$B$24)^(N$6-2026)</f>
        <v>120509.9225</v>
      </c>
      <c r="O107" s="84" t="n">
        <f aca="false">O104*Premissas!$B$21*(1+Premissas!$B$24)^(O$6-2026)</f>
        <v>153408.4035</v>
      </c>
      <c r="P107" s="84" t="n">
        <f aca="false">P104*Premissas!$B$21*(1+Premissas!$B$24)^(P$6-2026)</f>
        <v>184518.4715</v>
      </c>
      <c r="Q107" s="84" t="n">
        <f aca="false">Q104*Premissas!$B$21*(1+Premissas!$B$24)^(Q$6-2026)</f>
        <v>213881.7175</v>
      </c>
      <c r="R107" s="84" t="n">
        <f aca="false">R104*Premissas!$B$21*(1+Premissas!$B$24)^(R$6-2026)</f>
        <v>241643.71</v>
      </c>
      <c r="S107" s="84" t="n">
        <f aca="false">S104*Premissas!$B$21*(1+Premissas!$B$24)^(S$6-2026)</f>
        <v>267887.631</v>
      </c>
      <c r="T107" s="84" t="n">
        <f aca="false">T104*Premissas!$B$21*(1+Premissas!$B$24)^(T$6-2026)</f>
        <v>292696.6625</v>
      </c>
      <c r="U107" s="84" t="n">
        <f aca="false">U104*Premissas!$B$21*(1+Premissas!$B$24)^(U$6-2026)</f>
        <v>316112.3955</v>
      </c>
      <c r="V107" s="84" t="n">
        <f aca="false">V104*Premissas!$B$21*(1+Premissas!$B$24)^(V$6-2026)</f>
        <v>338259.603</v>
      </c>
      <c r="W107" s="84" t="n">
        <f aca="false">W104*Premissas!$B$21*(1+Premissas!$B$24)^(W$6-2026)</f>
        <v>359179.876</v>
      </c>
      <c r="X107" s="84" t="n">
        <f aca="false">X104*Premissas!$B$21*(1+Premissas!$B$24)^(X$6-2026)</f>
        <v>378956.3965</v>
      </c>
      <c r="Y107" s="84" t="n">
        <f aca="false">Y104*Premissas!$B$21*(1+Premissas!$B$24)^(Y$6-2026)</f>
        <v>397630.7555</v>
      </c>
      <c r="Z107" s="84" t="n">
        <f aca="false">Z104*Premissas!$B$21*(1+Premissas!$B$24)^(Z$6-2026)</f>
        <v>481522.090005</v>
      </c>
      <c r="AA107" s="84" t="n">
        <f aca="false">AA104*Premissas!$B$21*(1+Premissas!$B$24)^(AA$6-2026)</f>
        <v>542869.5428475</v>
      </c>
      <c r="AB107" s="84" t="n">
        <f aca="false">AB104*Premissas!$B$21*(1+Premissas!$B$24)^(AB$6-2026)</f>
        <v>601131.151445</v>
      </c>
      <c r="AC107" s="84" t="n">
        <f aca="false">AC104*Premissas!$B$21*(1+Premissas!$B$24)^(AC$6-2026)</f>
        <v>656502.497475</v>
      </c>
      <c r="AD107" s="84" t="n">
        <f aca="false">AD104*Premissas!$B$21*(1+Premissas!$B$24)^(AD$6-2026)</f>
        <v>709092.237425</v>
      </c>
      <c r="AE107" s="84" t="n">
        <f aca="false">AE104*Premissas!$B$21*(1+Premissas!$B$24)^(AE$6-2026)</f>
        <v>759052.4903775</v>
      </c>
      <c r="AF107" s="84" t="n">
        <f aca="false">AF104*Premissas!$B$21*(1+Premissas!$B$24)^(AF$6-2026)</f>
        <v>806491.91282</v>
      </c>
      <c r="AG107" s="84" t="n">
        <f aca="false">AG104*Premissas!$B$21*(1+Premissas!$B$24)^(AG$6-2026)</f>
        <v>851606.08643</v>
      </c>
      <c r="AH107" s="84" t="n">
        <f aca="false">AH104*Premissas!$B$21*(1+Premissas!$B$24)^(AH$6-2026)</f>
        <v>894416.742505</v>
      </c>
      <c r="AI107" s="84" t="n">
        <f aca="false">AI104*Premissas!$B$21*(1+Premissas!$B$24)^(AI$6-2026)</f>
        <v>935119.4627225</v>
      </c>
      <c r="AJ107" s="84" t="n">
        <f aca="false">AJ104*Premissas!$B$21*(1+Premissas!$B$24)^(AJ$6-2026)</f>
        <v>973779.440975</v>
      </c>
      <c r="AK107" s="84" t="n">
        <f aca="false">AK104*Premissas!$B$21*(1+Premissas!$B$24)^(AK$6-2026)</f>
        <v>1010505.33375</v>
      </c>
      <c r="AL107" s="84" t="n">
        <f aca="false">AL104*Premissas!$B$21*(1+Premissas!$B$24)^(AL$6-2026)</f>
        <v>1139161.89493466</v>
      </c>
      <c r="AM107" s="84" t="n">
        <f aca="false">AM104*Premissas!$B$21*(1+Premissas!$B$24)^(AM$6-2026)</f>
        <v>1221823.40436516</v>
      </c>
      <c r="AN107" s="84" t="n">
        <f aca="false">AN104*Premissas!$B$21*(1+Premissas!$B$24)^(AN$6-2026)</f>
        <v>1300510.80276535</v>
      </c>
      <c r="AO107" s="84" t="n">
        <f aca="false">AO104*Premissas!$B$21*(1+Premissas!$B$24)^(AO$6-2026)</f>
        <v>1375428.47298821</v>
      </c>
      <c r="AP107" s="84" t="n">
        <f aca="false">AP104*Premissas!$B$21*(1+Premissas!$B$24)^(AP$6-2026)</f>
        <v>1446758.08868085</v>
      </c>
      <c r="AQ107" s="84" t="n">
        <f aca="false">AQ104*Premissas!$B$21*(1+Premissas!$B$24)^(AQ$6-2026)</f>
        <v>1514658.61428447</v>
      </c>
      <c r="AR107" s="84" t="n">
        <f aca="false">AR104*Premissas!$B$21*(1+Premissas!$B$24)^(AR$6-2026)</f>
        <v>1579289.0142403</v>
      </c>
      <c r="AS107" s="84" t="n">
        <f aca="false">AS104*Premissas!$B$21*(1+Premissas!$B$24)^(AS$6-2026)</f>
        <v>1640853.67140131</v>
      </c>
      <c r="AT107" s="84" t="n">
        <f aca="false">AT104*Premissas!$B$21*(1+Premissas!$B$24)^(AT$6-2026)</f>
        <v>1699420.71338517</v>
      </c>
      <c r="AU107" s="84" t="n">
        <f aca="false">AU104*Premissas!$B$21*(1+Premissas!$B$24)^(AU$6-2026)</f>
        <v>1755194.52304487</v>
      </c>
      <c r="AV107" s="84" t="n">
        <f aca="false">AV104*Premissas!$B$21*(1+Premissas!$B$24)^(AV$6-2026)</f>
        <v>1808288.64640985</v>
      </c>
      <c r="AW107" s="84" t="n">
        <f aca="false">AW104*Premissas!$B$21*(1+Premissas!$B$24)^(AW$6-2026)</f>
        <v>1858839.33871542</v>
      </c>
      <c r="AX107" s="84" t="n">
        <f aca="false">AX104*Premissas!$B$21*(1+Premissas!$B$24)^(AX$6-2026)</f>
        <v>2135990.66268059</v>
      </c>
      <c r="AY107" s="84" t="n">
        <f aca="false">AY104*Premissas!$B$21*(1+Premissas!$B$24)^(AY$6-2026)</f>
        <v>2243468.90585098</v>
      </c>
      <c r="AZ107" s="84" t="n">
        <f aca="false">AZ104*Premissas!$B$21*(1+Premissas!$B$24)^(AZ$6-2026)</f>
        <v>2346129.73163043</v>
      </c>
      <c r="BA107" s="84" t="n">
        <f aca="false">BA104*Premissas!$B$21*(1+Premissas!$B$24)^(BA$6-2026)</f>
        <v>2444162.98898015</v>
      </c>
      <c r="BB107" s="84" t="n">
        <f aca="false">BB104*Premissas!$B$21*(1+Premissas!$B$24)^(BB$6-2026)</f>
        <v>2537805.98910167</v>
      </c>
      <c r="BC107" s="84" t="n">
        <f aca="false">BC104*Premissas!$B$21*(1+Premissas!$B$24)^(BC$6-2026)</f>
        <v>2627201.1187159</v>
      </c>
      <c r="BD107" s="84" t="n">
        <f aca="false">BD104*Premissas!$B$21*(1+Premissas!$B$24)^(BD$6-2026)</f>
        <v>2712585.68902437</v>
      </c>
      <c r="BE107" s="84" t="n">
        <f aca="false">BE104*Premissas!$B$21*(1+Premissas!$B$24)^(BE$6-2026)</f>
        <v>2794149.5489883</v>
      </c>
      <c r="BF107" s="84" t="n">
        <f aca="false">BF104*Premissas!$B$21*(1+Premissas!$B$24)^(BF$6-2026)</f>
        <v>2872035.0853286</v>
      </c>
      <c r="BG107" s="84" t="n">
        <f aca="false">BG104*Premissas!$B$21*(1+Premissas!$B$24)^(BG$6-2026)</f>
        <v>2946384.68476618</v>
      </c>
      <c r="BH107" s="84" t="n">
        <f aca="false">BH104*Premissas!$B$21*(1+Premissas!$B$24)^(BH$6-2026)</f>
        <v>3017411.92738243</v>
      </c>
      <c r="BI107" s="84" t="n">
        <f aca="false">BI104*Premissas!$B$21*(1+Premissas!$B$24)^(BI$6-2026)</f>
        <v>3085259.19989825</v>
      </c>
      <c r="BJ107" s="69" t="n">
        <f aca="false">SUM(B107:BI107)</f>
        <v>62742200.351341</v>
      </c>
    </row>
    <row r="108" customFormat="false" ht="15" hidden="false" customHeight="false" outlineLevel="0" collapsed="false">
      <c r="A108" s="12" t="s">
        <v>347</v>
      </c>
      <c r="B108" s="84" t="n">
        <f aca="false">B105*Premissas!$B$22*(1+Premissas!$B$24)^(B$6-2026)</f>
        <v>0</v>
      </c>
      <c r="C108" s="84" t="n">
        <f aca="false">C105*Premissas!$B$22*(1+Premissas!$B$24)^(C$6-2026)</f>
        <v>0</v>
      </c>
      <c r="D108" s="84" t="n">
        <f aca="false">D105*Premissas!$B$22*(1+Premissas!$B$24)^(D$6-2026)</f>
        <v>0</v>
      </c>
      <c r="E108" s="84" t="n">
        <f aca="false">E105*Premissas!$B$22*(1+Premissas!$B$24)^(E$6-2026)</f>
        <v>0</v>
      </c>
      <c r="F108" s="84" t="n">
        <f aca="false">F105*Premissas!$B$22*(1+Premissas!$B$24)^(F$6-2026)</f>
        <v>0</v>
      </c>
      <c r="G108" s="84" t="n">
        <f aca="false">G105*Premissas!$B$22*(1+Premissas!$B$24)^(G$6-2026)</f>
        <v>0</v>
      </c>
      <c r="H108" s="84" t="n">
        <f aca="false">H105*Premissas!$B$22*(1+Premissas!$B$24)^(H$6-2026)</f>
        <v>0</v>
      </c>
      <c r="I108" s="84" t="n">
        <f aca="false">I105*Premissas!$B$22*(1+Premissas!$B$24)^(I$6-2026)</f>
        <v>0</v>
      </c>
      <c r="J108" s="84" t="n">
        <f aca="false">J105*Premissas!$B$22*(1+Premissas!$B$24)^(J$6-2026)</f>
        <v>0</v>
      </c>
      <c r="K108" s="84" t="n">
        <f aca="false">K105*Premissas!$B$22*(1+Premissas!$B$24)^(K$6-2026)</f>
        <v>14164.5</v>
      </c>
      <c r="L108" s="84" t="n">
        <f aca="false">L105*Premissas!$B$22*(1+Premissas!$B$24)^(L$6-2026)</f>
        <v>27451.2</v>
      </c>
      <c r="M108" s="84" t="n">
        <f aca="false">M105*Premissas!$B$22*(1+Premissas!$B$24)^(M$6-2026)</f>
        <v>39979.8</v>
      </c>
      <c r="N108" s="84" t="n">
        <f aca="false">N105*Premissas!$B$22*(1+Premissas!$B$24)^(N$6-2026)</f>
        <v>73842.7305</v>
      </c>
      <c r="O108" s="84" t="n">
        <f aca="false">O105*Premissas!$B$22*(1+Premissas!$B$24)^(O$6-2026)</f>
        <v>93981.657</v>
      </c>
      <c r="P108" s="84" t="n">
        <f aca="false">P105*Premissas!$B$22*(1+Premissas!$B$24)^(P$6-2026)</f>
        <v>113036.5005</v>
      </c>
      <c r="Q108" s="84" t="n">
        <f aca="false">Q105*Premissas!$B$22*(1+Premissas!$B$24)^(Q$6-2026)</f>
        <v>131048.9565</v>
      </c>
      <c r="R108" s="84" t="n">
        <f aca="false">R105*Premissas!$B$22*(1+Premissas!$B$24)^(R$6-2026)</f>
        <v>148060.7205</v>
      </c>
      <c r="S108" s="84" t="n">
        <f aca="false">S105*Premissas!$B$22*(1+Premissas!$B$24)^(S$6-2026)</f>
        <v>164113.488</v>
      </c>
      <c r="T108" s="84" t="n">
        <f aca="false">T105*Premissas!$B$22*(1+Premissas!$B$24)^(T$6-2026)</f>
        <v>179332.3455</v>
      </c>
      <c r="U108" s="84" t="n">
        <f aca="false">U105*Premissas!$B$22*(1+Premissas!$B$24)^(U$6-2026)</f>
        <v>193675.5975</v>
      </c>
      <c r="V108" s="84" t="n">
        <f aca="false">V105*Premissas!$B$22*(1+Premissas!$B$24)^(V$6-2026)</f>
        <v>207226.635</v>
      </c>
      <c r="W108" s="84" t="n">
        <f aca="false">W105*Premissas!$B$22*(1+Premissas!$B$24)^(W$6-2026)</f>
        <v>220068.849</v>
      </c>
      <c r="X108" s="84" t="n">
        <f aca="false">X105*Premissas!$B$22*(1+Premissas!$B$24)^(X$6-2026)</f>
        <v>232160.544</v>
      </c>
      <c r="Y108" s="84" t="n">
        <f aca="false">Y105*Premissas!$B$22*(1+Premissas!$B$24)^(Y$6-2026)</f>
        <v>243626.8065</v>
      </c>
      <c r="Z108" s="84" t="n">
        <f aca="false">Z105*Premissas!$B$22*(1+Premissas!$B$24)^(Z$6-2026)</f>
        <v>340775.0282475</v>
      </c>
      <c r="AA108" s="84" t="n">
        <f aca="false">AA105*Premissas!$B$22*(1+Premissas!$B$24)^(AA$6-2026)</f>
        <v>384172.5385575</v>
      </c>
      <c r="AB108" s="84" t="n">
        <f aca="false">AB105*Premissas!$B$22*(1+Premissas!$B$24)^(AB$6-2026)</f>
        <v>425391.4589925</v>
      </c>
      <c r="AC108" s="84" t="n">
        <f aca="false">AC105*Premissas!$B$22*(1+Premissas!$B$24)^(AC$6-2026)</f>
        <v>464562.504945</v>
      </c>
      <c r="AD108" s="84" t="n">
        <f aca="false">AD105*Premissas!$B$22*(1+Premissas!$B$24)^(AD$6-2026)</f>
        <v>501772.82001</v>
      </c>
      <c r="AE108" s="84" t="n">
        <f aca="false">AE105*Premissas!$B$22*(1+Premissas!$B$24)^(AE$6-2026)</f>
        <v>537153.11958</v>
      </c>
      <c r="AF108" s="84" t="n">
        <f aca="false">AF105*Premissas!$B$22*(1+Premissas!$B$24)^(AF$6-2026)</f>
        <v>570703.403655</v>
      </c>
      <c r="AG108" s="84" t="n">
        <f aca="false">AG105*Premissas!$B$22*(1+Premissas!$B$24)^(AG$6-2026)</f>
        <v>602641.5312225</v>
      </c>
      <c r="AH108" s="84" t="n">
        <f aca="false">AH105*Premissas!$B$22*(1+Premissas!$B$24)^(AH$6-2026)</f>
        <v>632923.930485</v>
      </c>
      <c r="AI108" s="84" t="n">
        <f aca="false">AI105*Premissas!$B$22*(1+Premissas!$B$24)^(AI$6-2026)</f>
        <v>661724.8886325</v>
      </c>
      <c r="AJ108" s="84" t="n">
        <f aca="false">AJ105*Premissas!$B$22*(1+Premissas!$B$24)^(AJ$6-2026)</f>
        <v>689087.9774625</v>
      </c>
      <c r="AK108" s="84" t="n">
        <f aca="false">AK105*Premissas!$B$22*(1+Premissas!$B$24)^(AK$6-2026)</f>
        <v>715100.34057</v>
      </c>
      <c r="AL108" s="84" t="n">
        <f aca="false">AL105*Premissas!$B$22*(1+Premissas!$B$24)^(AL$6-2026)</f>
        <v>927907.396008862</v>
      </c>
      <c r="AM108" s="84" t="n">
        <f aca="false">AM105*Premissas!$B$22*(1+Premissas!$B$24)^(AM$6-2026)</f>
        <v>995204.472965587</v>
      </c>
      <c r="AN108" s="84" t="n">
        <f aca="false">AN105*Premissas!$B$22*(1+Premissas!$B$24)^(AN$6-2026)</f>
        <v>1059314.27293519</v>
      </c>
      <c r="AO108" s="84" t="n">
        <f aca="false">AO105*Premissas!$B$22*(1+Premissas!$B$24)^(AO$6-2026)</f>
        <v>1120327.86097444</v>
      </c>
      <c r="AP108" s="84" t="n">
        <f aca="false">AP105*Premissas!$B$22*(1+Premissas!$B$24)^(AP$6-2026)</f>
        <v>1178427.36719689</v>
      </c>
      <c r="AQ108" s="84" t="n">
        <f aca="false">AQ105*Premissas!$B$22*(1+Premissas!$B$24)^(AQ$6-2026)</f>
        <v>1233749.3891877</v>
      </c>
      <c r="AR108" s="84" t="n">
        <f aca="false">AR105*Premissas!$B$22*(1+Premissas!$B$24)^(AR$6-2026)</f>
        <v>1286384.99200365</v>
      </c>
      <c r="AS108" s="84" t="n">
        <f aca="false">AS105*Premissas!$B$22*(1+Premissas!$B$24)^(AS$6-2026)</f>
        <v>1336516.30575829</v>
      </c>
      <c r="AT108" s="84" t="n">
        <f aca="false">AT105*Premissas!$B$22*(1+Premissas!$B$24)^(AT$6-2026)</f>
        <v>1384234.39550839</v>
      </c>
      <c r="AU108" s="84" t="n">
        <f aca="false">AU105*Premissas!$B$22*(1+Premissas!$B$24)^(AU$6-2026)</f>
        <v>1429675.85883911</v>
      </c>
      <c r="AV108" s="84" t="n">
        <f aca="false">AV105*Premissas!$B$22*(1+Premissas!$B$24)^(AV$6-2026)</f>
        <v>1472931.76080724</v>
      </c>
      <c r="AW108" s="84" t="n">
        <f aca="false">AW105*Premissas!$B$22*(1+Premissas!$B$24)^(AW$6-2026)</f>
        <v>1514093.16646954</v>
      </c>
      <c r="AX108" s="84" t="n">
        <f aca="false">AX105*Premissas!$B$22*(1+Premissas!$B$24)^(AX$6-2026)</f>
        <v>1998612.99689603</v>
      </c>
      <c r="AY108" s="84" t="n">
        <f aca="false">AY105*Premissas!$B$22*(1+Premissas!$B$24)^(AY$6-2026)</f>
        <v>2099152.68984055</v>
      </c>
      <c r="AZ108" s="84" t="n">
        <f aca="false">AZ105*Premissas!$B$22*(1+Premissas!$B$24)^(AZ$6-2026)</f>
        <v>2195219.72252156</v>
      </c>
      <c r="BA108" s="84" t="n">
        <f aca="false">BA105*Premissas!$B$22*(1+Premissas!$B$24)^(BA$6-2026)</f>
        <v>2286956.83941556</v>
      </c>
      <c r="BB108" s="84" t="n">
        <f aca="false">BB105*Premissas!$B$22*(1+Premissas!$B$24)^(BB$6-2026)</f>
        <v>2374554.36649121</v>
      </c>
      <c r="BC108" s="84" t="n">
        <f aca="false">BC105*Premissas!$B$22*(1+Premissas!$B$24)^(BC$6-2026)</f>
        <v>2458202.62971717</v>
      </c>
      <c r="BD108" s="84" t="n">
        <f aca="false">BD105*Premissas!$B$22*(1+Premissas!$B$24)^(BD$6-2026)</f>
        <v>2538139.53655426</v>
      </c>
      <c r="BE108" s="84" t="n">
        <f aca="false">BE105*Premissas!$B$22*(1+Premissas!$B$24)^(BE$6-2026)</f>
        <v>2614412.66849466</v>
      </c>
      <c r="BF108" s="84" t="n">
        <f aca="false">BF105*Premissas!$B$22*(1+Premissas!$B$24)^(BF$6-2026)</f>
        <v>2687307.51449134</v>
      </c>
      <c r="BG108" s="84" t="n">
        <f aca="false">BG105*Premissas!$B$22*(1+Premissas!$B$24)^(BG$6-2026)</f>
        <v>2756871.65603648</v>
      </c>
      <c r="BH108" s="84" t="n">
        <f aca="false">BH105*Premissas!$B$22*(1+Premissas!$B$24)^(BH$6-2026)</f>
        <v>2823343.0005909</v>
      </c>
      <c r="BI108" s="84" t="n">
        <f aca="false">BI105*Premissas!$B$22*(1+Premissas!$B$24)^(BI$6-2026)</f>
        <v>2886816.71113892</v>
      </c>
      <c r="BJ108" s="69" t="n">
        <f aca="false">SUM(B108:BI108)</f>
        <v>53266137.4437035</v>
      </c>
    </row>
    <row r="109" customFormat="false" ht="15" hidden="false" customHeight="false" outlineLevel="0" collapsed="false">
      <c r="A109" s="12" t="s">
        <v>348</v>
      </c>
      <c r="B109" s="84" t="n">
        <f aca="false">B106*Premissas!$B$23*(1+Premissas!$B$24)^(B$6-2026)</f>
        <v>0</v>
      </c>
      <c r="C109" s="84" t="n">
        <f aca="false">C106*Premissas!$B$23*(1+Premissas!$B$24)^(C$6-2026)</f>
        <v>0</v>
      </c>
      <c r="D109" s="84" t="n">
        <f aca="false">D106*Premissas!$B$23*(1+Premissas!$B$24)^(D$6-2026)</f>
        <v>0</v>
      </c>
      <c r="E109" s="84" t="n">
        <f aca="false">E106*Premissas!$B$23*(1+Premissas!$B$24)^(E$6-2026)</f>
        <v>0</v>
      </c>
      <c r="F109" s="84" t="n">
        <f aca="false">F106*Premissas!$B$23*(1+Premissas!$B$24)^(F$6-2026)</f>
        <v>0</v>
      </c>
      <c r="G109" s="84" t="n">
        <f aca="false">G106*Premissas!$B$23*(1+Premissas!$B$24)^(G$6-2026)</f>
        <v>0</v>
      </c>
      <c r="H109" s="84" t="n">
        <f aca="false">H106*Premissas!$B$23*(1+Premissas!$B$24)^(H$6-2026)</f>
        <v>0</v>
      </c>
      <c r="I109" s="84" t="n">
        <f aca="false">I106*Premissas!$B$23*(1+Premissas!$B$24)^(I$6-2026)</f>
        <v>0</v>
      </c>
      <c r="J109" s="84" t="n">
        <f aca="false">J106*Premissas!$B$23*(1+Premissas!$B$24)^(J$6-2026)</f>
        <v>0</v>
      </c>
      <c r="K109" s="84" t="n">
        <f aca="false">K106*Premissas!$B$23*(1+Premissas!$B$24)^(K$6-2026)</f>
        <v>7031.2</v>
      </c>
      <c r="L109" s="84" t="n">
        <f aca="false">L106*Premissas!$B$23*(1+Premissas!$B$24)^(L$6-2026)</f>
        <v>13742.8</v>
      </c>
      <c r="M109" s="84" t="n">
        <f aca="false">M106*Premissas!$B$23*(1+Premissas!$B$24)^(M$6-2026)</f>
        <v>19975</v>
      </c>
      <c r="N109" s="84" t="n">
        <f aca="false">N106*Premissas!$B$23*(1+Premissas!$B$24)^(N$6-2026)</f>
        <v>40328.3265</v>
      </c>
      <c r="O109" s="84" t="n">
        <f aca="false">O106*Premissas!$B$23*(1+Premissas!$B$24)^(O$6-2026)</f>
        <v>51349.7325</v>
      </c>
      <c r="P109" s="84" t="n">
        <f aca="false">P106*Premissas!$B$23*(1+Premissas!$B$24)^(P$6-2026)</f>
        <v>61703.1745</v>
      </c>
      <c r="Q109" s="84" t="n">
        <f aca="false">Q106*Premissas!$B$23*(1+Premissas!$B$24)^(Q$6-2026)</f>
        <v>71555.6435</v>
      </c>
      <c r="R109" s="84" t="n">
        <f aca="false">R106*Premissas!$B$23*(1+Premissas!$B$24)^(R$6-2026)</f>
        <v>80823.644</v>
      </c>
      <c r="S109" s="84" t="n">
        <f aca="false">S106*Premissas!$B$23*(1+Premissas!$B$24)^(S$6-2026)</f>
        <v>89674.167</v>
      </c>
      <c r="T109" s="84" t="n">
        <f aca="false">T106*Premissas!$B$23*(1+Premissas!$B$24)^(T$6-2026)</f>
        <v>97856.726</v>
      </c>
      <c r="U109" s="84" t="n">
        <f aca="false">U106*Premissas!$B$23*(1+Premissas!$B$24)^(U$6-2026)</f>
        <v>105788.7985</v>
      </c>
      <c r="V109" s="84" t="n">
        <f aca="false">V106*Premissas!$B$23*(1+Premissas!$B$24)^(V$6-2026)</f>
        <v>113136.4025</v>
      </c>
      <c r="W109" s="84" t="n">
        <f aca="false">W106*Premissas!$B$23*(1+Premissas!$B$24)^(W$6-2026)</f>
        <v>120150.0245</v>
      </c>
      <c r="X109" s="84" t="n">
        <f aca="false">X106*Premissas!$B$23*(1+Premissas!$B$24)^(X$6-2026)</f>
        <v>126829.6645</v>
      </c>
      <c r="Y109" s="84" t="n">
        <f aca="false">Y106*Premissas!$B$23*(1+Premissas!$B$24)^(Y$6-2026)</f>
        <v>133008.3315</v>
      </c>
      <c r="Z109" s="84" t="n">
        <f aca="false">Z106*Premissas!$B$23*(1+Premissas!$B$24)^(Z$6-2026)</f>
        <v>227468.0430825</v>
      </c>
      <c r="AA109" s="84" t="n">
        <f aca="false">AA106*Premissas!$B$23*(1+Premissas!$B$24)^(AA$6-2026)</f>
        <v>256435.9718525</v>
      </c>
      <c r="AB109" s="84" t="n">
        <f aca="false">AB106*Premissas!$B$23*(1+Premissas!$B$24)^(AB$6-2026)</f>
        <v>284007.8558625</v>
      </c>
      <c r="AC109" s="84" t="n">
        <f aca="false">AC106*Premissas!$B$23*(1+Premissas!$B$24)^(AC$6-2026)</f>
        <v>310096.442315</v>
      </c>
      <c r="AD109" s="84" t="n">
        <f aca="false">AD106*Premissas!$B$23*(1+Premissas!$B$24)^(AD$6-2026)</f>
        <v>334963.4896025</v>
      </c>
      <c r="AE109" s="84" t="n">
        <f aca="false">AE106*Premissas!$B$23*(1+Premissas!$B$24)^(AE$6-2026)</f>
        <v>358521.7449275</v>
      </c>
      <c r="AF109" s="84" t="n">
        <f aca="false">AF106*Premissas!$B$23*(1+Premissas!$B$24)^(AF$6-2026)</f>
        <v>381032.9666825</v>
      </c>
      <c r="AG109" s="84" t="n">
        <f aca="false">AG106*Premissas!$B$23*(1+Premissas!$B$24)^(AG$6-2026)</f>
        <v>402235.396475</v>
      </c>
      <c r="AH109" s="84" t="n">
        <f aca="false">AH106*Premissas!$B$23*(1+Premissas!$B$24)^(AH$6-2026)</f>
        <v>422565.2982925</v>
      </c>
      <c r="AI109" s="84" t="n">
        <f aca="false">AI106*Premissas!$B$23*(1+Premissas!$B$24)^(AI$6-2026)</f>
        <v>441760.9137425</v>
      </c>
      <c r="AJ109" s="84" t="n">
        <f aca="false">AJ106*Premissas!$B$23*(1+Premissas!$B$24)^(AJ$6-2026)</f>
        <v>459996.74842</v>
      </c>
      <c r="AK109" s="84" t="n">
        <f aca="false">AK106*Premissas!$B$23*(1+Premissas!$B$24)^(AK$6-2026)</f>
        <v>477272.802325</v>
      </c>
      <c r="AL109" s="84" t="n">
        <f aca="false">AL106*Premissas!$B$23*(1+Premissas!$B$24)^(AL$6-2026)</f>
        <v>714571.181837837</v>
      </c>
      <c r="AM109" s="84" t="n">
        <f aca="false">AM106*Premissas!$B$23*(1+Premissas!$B$24)^(AM$6-2026)</f>
        <v>766543.310668713</v>
      </c>
      <c r="AN109" s="84" t="n">
        <f aca="false">AN106*Premissas!$B$23*(1+Premissas!$B$24)^(AN$6-2026)</f>
        <v>815962.422644738</v>
      </c>
      <c r="AO109" s="84" t="n">
        <f aca="false">AO106*Premissas!$B$23*(1+Premissas!$B$24)^(AO$6-2026)</f>
        <v>862919.6969393</v>
      </c>
      <c r="AP109" s="84" t="n">
        <f aca="false">AP106*Premissas!$B$23*(1+Premissas!$B$24)^(AP$6-2026)</f>
        <v>907688.671072562</v>
      </c>
      <c r="AQ109" s="84" t="n">
        <f aca="false">AQ106*Premissas!$B$23*(1+Premissas!$B$24)^(AQ$6-2026)</f>
        <v>950269.345044525</v>
      </c>
      <c r="AR109" s="84" t="n">
        <f aca="false">AR106*Premissas!$B$23*(1+Premissas!$B$24)^(AR$6-2026)</f>
        <v>990844.077201962</v>
      </c>
      <c r="AS109" s="84" t="n">
        <f aca="false">AS106*Premissas!$B$23*(1+Premissas!$B$24)^(AS$6-2026)</f>
        <v>1029412.86754488</v>
      </c>
      <c r="AT109" s="84" t="n">
        <f aca="false">AT106*Premissas!$B$23*(1+Premissas!$B$24)^(AT$6-2026)</f>
        <v>1066158.07442004</v>
      </c>
      <c r="AU109" s="84" t="n">
        <f aca="false">AU106*Premissas!$B$23*(1+Premissas!$B$24)^(AU$6-2026)</f>
        <v>1101170.87700084</v>
      </c>
      <c r="AV109" s="84" t="n">
        <f aca="false">AV106*Premissas!$B$23*(1+Premissas!$B$24)^(AV$6-2026)</f>
        <v>1134451.27528728</v>
      </c>
      <c r="AW109" s="84" t="n">
        <f aca="false">AW106*Premissas!$B$23*(1+Premissas!$B$24)^(AW$6-2026)</f>
        <v>1166181.62762613</v>
      </c>
      <c r="AX109" s="84" t="n">
        <f aca="false">AX106*Premissas!$B$23*(1+Premissas!$B$24)^(AX$6-2026)</f>
        <v>1715175.53365506</v>
      </c>
      <c r="AY109" s="84" t="n">
        <f aca="false">AY106*Premissas!$B$23*(1+Premissas!$B$24)^(AY$6-2026)</f>
        <v>1801596.52187934</v>
      </c>
      <c r="AZ109" s="84" t="n">
        <f aca="false">AZ106*Premissas!$B$23*(1+Premissas!$B$24)^(AZ$6-2026)</f>
        <v>1884015.65618363</v>
      </c>
      <c r="BA109" s="84" t="n">
        <f aca="false">BA106*Premissas!$B$23*(1+Premissas!$B$24)^(BA$6-2026)</f>
        <v>1962718.78327652</v>
      </c>
      <c r="BB109" s="84" t="n">
        <f aca="false">BB106*Premissas!$B$23*(1+Premissas!$B$24)^(BB$6-2026)</f>
        <v>2037896.46763038</v>
      </c>
      <c r="BC109" s="84" t="n">
        <f aca="false">BC106*Premissas!$B$23*(1+Premissas!$B$24)^(BC$6-2026)</f>
        <v>2109739.2737176</v>
      </c>
      <c r="BD109" s="84" t="n">
        <f aca="false">BD106*Premissas!$B$23*(1+Premissas!$B$24)^(BD$6-2026)</f>
        <v>2178247.20153816</v>
      </c>
      <c r="BE109" s="84" t="n">
        <f aca="false">BE106*Premissas!$B$23*(1+Premissas!$B$24)^(BE$6-2026)</f>
        <v>2243706.09780065</v>
      </c>
      <c r="BF109" s="84" t="n">
        <f aca="false">BF106*Premissas!$B$23*(1+Premissas!$B$24)^(BF$6-2026)</f>
        <v>2306211.24474125</v>
      </c>
      <c r="BG109" s="84" t="n">
        <f aca="false">BG106*Premissas!$B$23*(1+Premissas!$B$24)^(BG$6-2026)</f>
        <v>2366048.48906853</v>
      </c>
      <c r="BH109" s="84" t="n">
        <f aca="false">BH106*Premissas!$B$23*(1+Premissas!$B$24)^(BH$6-2026)</f>
        <v>2423027.26631011</v>
      </c>
      <c r="BI109" s="84" t="n">
        <f aca="false">BI106*Premissas!$B$23*(1+Premissas!$B$24)^(BI$6-2026)</f>
        <v>2477433.42317456</v>
      </c>
      <c r="BJ109" s="69" t="n">
        <f aca="false">SUM(B109:BI109)</f>
        <v>42501300.6953446</v>
      </c>
    </row>
    <row r="110" customFormat="false" ht="15" hidden="false" customHeight="false" outlineLevel="0" collapsed="false">
      <c r="A110" s="34" t="s">
        <v>349</v>
      </c>
      <c r="B110" s="75" t="n">
        <f aca="false">SUM(B107:B109)</f>
        <v>0</v>
      </c>
      <c r="C110" s="75" t="n">
        <f aca="false">SUM(C107:C109)</f>
        <v>0</v>
      </c>
      <c r="D110" s="75" t="n">
        <f aca="false">SUM(D107:D109)</f>
        <v>0</v>
      </c>
      <c r="E110" s="75" t="n">
        <f aca="false">SUM(E107:E109)</f>
        <v>0</v>
      </c>
      <c r="F110" s="75" t="n">
        <f aca="false">SUM(F107:F109)</f>
        <v>0</v>
      </c>
      <c r="G110" s="75" t="n">
        <f aca="false">SUM(G107:G109)</f>
        <v>0</v>
      </c>
      <c r="H110" s="75" t="n">
        <f aca="false">SUM(H107:H109)</f>
        <v>0</v>
      </c>
      <c r="I110" s="75" t="n">
        <f aca="false">SUM(I107:I109)</f>
        <v>0</v>
      </c>
      <c r="J110" s="75" t="n">
        <f aca="false">SUM(J107:J109)</f>
        <v>0</v>
      </c>
      <c r="K110" s="75" t="n">
        <f aca="false">SUM(K107:K109)</f>
        <v>47682.6</v>
      </c>
      <c r="L110" s="75" t="n">
        <f aca="false">SUM(L107:L109)</f>
        <v>92555.9</v>
      </c>
      <c r="M110" s="75" t="n">
        <f aca="false">SUM(M107:M109)</f>
        <v>134719.1</v>
      </c>
      <c r="N110" s="75" t="n">
        <f aca="false">SUM(N107:N109)</f>
        <v>234680.9795</v>
      </c>
      <c r="O110" s="75" t="n">
        <f aca="false">SUM(O107:O109)</f>
        <v>298739.793</v>
      </c>
      <c r="P110" s="75" t="n">
        <f aca="false">SUM(P107:P109)</f>
        <v>359258.1465</v>
      </c>
      <c r="Q110" s="75" t="n">
        <f aca="false">SUM(Q107:Q109)</f>
        <v>416486.3175</v>
      </c>
      <c r="R110" s="75" t="n">
        <f aca="false">SUM(R107:R109)</f>
        <v>470528.0745</v>
      </c>
      <c r="S110" s="75" t="n">
        <f aca="false">SUM(S107:S109)</f>
        <v>521675.286</v>
      </c>
      <c r="T110" s="75" t="n">
        <f aca="false">SUM(T107:T109)</f>
        <v>569885.734</v>
      </c>
      <c r="U110" s="75" t="n">
        <f aca="false">SUM(U107:U109)</f>
        <v>615576.7915</v>
      </c>
      <c r="V110" s="75" t="n">
        <f aca="false">SUM(V107:V109)</f>
        <v>658622.6405</v>
      </c>
      <c r="W110" s="75" t="n">
        <f aca="false">SUM(W107:W109)</f>
        <v>699398.7495</v>
      </c>
      <c r="X110" s="75" t="n">
        <f aca="false">SUM(X107:X109)</f>
        <v>737946.605</v>
      </c>
      <c r="Y110" s="75" t="n">
        <f aca="false">SUM(Y107:Y109)</f>
        <v>774265.8935</v>
      </c>
      <c r="Z110" s="75" t="n">
        <f aca="false">SUM(Z107:Z109)</f>
        <v>1049765.161335</v>
      </c>
      <c r="AA110" s="75" t="n">
        <f aca="false">SUM(AA107:AA109)</f>
        <v>1183478.0532575</v>
      </c>
      <c r="AB110" s="75" t="n">
        <f aca="false">SUM(AB107:AB109)</f>
        <v>1310530.4663</v>
      </c>
      <c r="AC110" s="75" t="n">
        <f aca="false">SUM(AC107:AC109)</f>
        <v>1431161.444735</v>
      </c>
      <c r="AD110" s="75" t="n">
        <f aca="false">SUM(AD107:AD109)</f>
        <v>1545828.5470375</v>
      </c>
      <c r="AE110" s="75" t="n">
        <f aca="false">SUM(AE107:AE109)</f>
        <v>1654727.354885</v>
      </c>
      <c r="AF110" s="75" t="n">
        <f aca="false">SUM(AF107:AF109)</f>
        <v>1758228.2831575</v>
      </c>
      <c r="AG110" s="75" t="n">
        <f aca="false">SUM(AG107:AG109)</f>
        <v>1856483.0141275</v>
      </c>
      <c r="AH110" s="75" t="n">
        <f aca="false">SUM(AH107:AH109)</f>
        <v>1949905.9712825</v>
      </c>
      <c r="AI110" s="75" t="n">
        <f aca="false">SUM(AI107:AI109)</f>
        <v>2038605.2650975</v>
      </c>
      <c r="AJ110" s="75" t="n">
        <f aca="false">SUM(AJ107:AJ109)</f>
        <v>2122864.1668575</v>
      </c>
      <c r="AK110" s="75" t="n">
        <f aca="false">SUM(AK107:AK109)</f>
        <v>2202878.476645</v>
      </c>
      <c r="AL110" s="75" t="n">
        <f aca="false">SUM(AL107:AL109)</f>
        <v>2781640.47278136</v>
      </c>
      <c r="AM110" s="75" t="n">
        <f aca="false">SUM(AM107:AM109)</f>
        <v>2983571.18799946</v>
      </c>
      <c r="AN110" s="75" t="n">
        <f aca="false">SUM(AN107:AN109)</f>
        <v>3175787.49834527</v>
      </c>
      <c r="AO110" s="75" t="n">
        <f aca="false">SUM(AO107:AO109)</f>
        <v>3358676.03090195</v>
      </c>
      <c r="AP110" s="75" t="n">
        <f aca="false">SUM(AP107:AP109)</f>
        <v>3532874.1269503</v>
      </c>
      <c r="AQ110" s="75" t="n">
        <f aca="false">SUM(AQ107:AQ109)</f>
        <v>3698677.3485167</v>
      </c>
      <c r="AR110" s="75" t="n">
        <f aca="false">SUM(AR107:AR109)</f>
        <v>3856518.08344591</v>
      </c>
      <c r="AS110" s="75" t="n">
        <f aca="false">SUM(AS107:AS109)</f>
        <v>4006782.84470448</v>
      </c>
      <c r="AT110" s="75" t="n">
        <f aca="false">SUM(AT107:AT109)</f>
        <v>4149813.1833136</v>
      </c>
      <c r="AU110" s="75" t="n">
        <f aca="false">SUM(AU107:AU109)</f>
        <v>4286041.25888482</v>
      </c>
      <c r="AV110" s="75" t="n">
        <f aca="false">SUM(AV107:AV109)</f>
        <v>4415671.68250436</v>
      </c>
      <c r="AW110" s="75" t="n">
        <f aca="false">SUM(AW107:AW109)</f>
        <v>4539114.13281109</v>
      </c>
      <c r="AX110" s="75" t="n">
        <f aca="false">SUM(AX107:AX109)</f>
        <v>5849779.19323169</v>
      </c>
      <c r="AY110" s="75" t="n">
        <f aca="false">SUM(AY107:AY109)</f>
        <v>6144218.11757087</v>
      </c>
      <c r="AZ110" s="75" t="n">
        <f aca="false">SUM(AZ107:AZ109)</f>
        <v>6425365.11033562</v>
      </c>
      <c r="BA110" s="75" t="n">
        <f aca="false">SUM(BA107:BA109)</f>
        <v>6693838.61167222</v>
      </c>
      <c r="BB110" s="75" t="n">
        <f aca="false">SUM(BB107:BB109)</f>
        <v>6950256.82322325</v>
      </c>
      <c r="BC110" s="75" t="n">
        <f aca="false">SUM(BC107:BC109)</f>
        <v>7195143.02215066</v>
      </c>
      <c r="BD110" s="75" t="n">
        <f aca="false">SUM(BD107:BD109)</f>
        <v>7428972.42711679</v>
      </c>
      <c r="BE110" s="75" t="n">
        <f aca="false">SUM(BE107:BE109)</f>
        <v>7652268.3152836</v>
      </c>
      <c r="BF110" s="75" t="n">
        <f aca="false">SUM(BF107:BF109)</f>
        <v>7865553.84456118</v>
      </c>
      <c r="BG110" s="75" t="n">
        <f aca="false">SUM(BG107:BG109)</f>
        <v>8069304.82987119</v>
      </c>
      <c r="BH110" s="75" t="n">
        <f aca="false">SUM(BH107:BH109)</f>
        <v>8263782.19428343</v>
      </c>
      <c r="BI110" s="75" t="n">
        <f aca="false">SUM(BI107:BI109)</f>
        <v>8449509.33421173</v>
      </c>
      <c r="BJ110" s="69" t="n">
        <f aca="false">SUM(B110:BI110)</f>
        <v>158509638.490389</v>
      </c>
    </row>
    <row r="111" customFormat="false" ht="15" hidden="false" customHeight="false" outlineLevel="0" collapsed="false">
      <c r="A111" s="12" t="s">
        <v>350</v>
      </c>
      <c r="B111" s="84" t="n">
        <f aca="false">B101*INDEX(Premissas!$C$59:$G$59,B$7)*Premissas!$B$58*Premissas!$B$57</f>
        <v>0</v>
      </c>
      <c r="C111" s="84" t="n">
        <f aca="false">C101*INDEX(Premissas!$C$59:$G$59,C$7)*Premissas!$B$58*Premissas!$B$57</f>
        <v>0</v>
      </c>
      <c r="D111" s="84" t="n">
        <f aca="false">D101*INDEX(Premissas!$C$59:$G$59,D$7)*Premissas!$B$58*Premissas!$B$57</f>
        <v>0</v>
      </c>
      <c r="E111" s="84" t="n">
        <f aca="false">E101*INDEX(Premissas!$C$59:$G$59,E$7)*Premissas!$B$58*Premissas!$B$57</f>
        <v>0</v>
      </c>
      <c r="F111" s="84" t="n">
        <f aca="false">F101*INDEX(Premissas!$C$59:$G$59,F$7)*Premissas!$B$58*Premissas!$B$57</f>
        <v>0</v>
      </c>
      <c r="G111" s="84" t="n">
        <f aca="false">G101*INDEX(Premissas!$C$59:$G$59,G$7)*Premissas!$B$58*Premissas!$B$57</f>
        <v>0</v>
      </c>
      <c r="H111" s="84" t="n">
        <f aca="false">H101*INDEX(Premissas!$C$59:$G$59,H$7)*Premissas!$B$58*Premissas!$B$57</f>
        <v>0</v>
      </c>
      <c r="I111" s="84" t="n">
        <f aca="false">I101*INDEX(Premissas!$C$59:$G$59,I$7)*Premissas!$B$58*Premissas!$B$57</f>
        <v>0</v>
      </c>
      <c r="J111" s="84" t="n">
        <f aca="false">J101*INDEX(Premissas!$C$59:$G$59,J$7)*Premissas!$B$58*Premissas!$B$57</f>
        <v>0</v>
      </c>
      <c r="K111" s="84" t="n">
        <f aca="false">K101*INDEX(Premissas!$C$59:$G$59,K$7)*Premissas!$B$58*Premissas!$B$57</f>
        <v>0</v>
      </c>
      <c r="L111" s="84" t="n">
        <f aca="false">L101*INDEX(Premissas!$C$59:$G$59,L$7)*Premissas!$B$58*Premissas!$B$57</f>
        <v>0</v>
      </c>
      <c r="M111" s="84" t="n">
        <f aca="false">M101*INDEX(Premissas!$C$59:$G$59,M$7)*Premissas!$B$58*Premissas!$B$57</f>
        <v>0</v>
      </c>
      <c r="N111" s="84" t="n">
        <f aca="false">N101*INDEX(Premissas!$C$59:$G$59,N$7)*Premissas!$B$58*Premissas!$B$57</f>
        <v>5282.2755657</v>
      </c>
      <c r="O111" s="84" t="n">
        <f aca="false">O101*INDEX(Premissas!$C$59:$G$59,O$7)*Premissas!$B$58*Premissas!$B$57</f>
        <v>6724.2504095865</v>
      </c>
      <c r="P111" s="84" t="n">
        <f aca="false">P101*INDEX(Premissas!$C$59:$G$59,P$7)*Premissas!$B$58*Premissas!$B$57</f>
        <v>8086.91663705924</v>
      </c>
      <c r="Q111" s="84" t="n">
        <f aca="false">Q101*INDEX(Premissas!$C$59:$G$59,Q$7)*Premissas!$B$58*Premissas!$B$57</f>
        <v>9374.63622202099</v>
      </c>
      <c r="R111" s="84" t="n">
        <f aca="false">R101*INDEX(Premissas!$C$59:$G$59,R$7)*Premissas!$B$58*Premissas!$B$57</f>
        <v>10591.5312298098</v>
      </c>
      <c r="S111" s="84" t="n">
        <f aca="false">S101*INDEX(Premissas!$C$59:$G$59,S$7)*Premissas!$B$58*Premissas!$B$57</f>
        <v>11741.4970121703</v>
      </c>
      <c r="T111" s="84" t="n">
        <f aca="false">T101*INDEX(Premissas!$C$59:$G$59,T$7)*Premissas!$B$58*Premissas!$B$57</f>
        <v>12828.2146765009</v>
      </c>
      <c r="U111" s="84" t="n">
        <f aca="false">U101*INDEX(Premissas!$C$59:$G$59,U$7)*Premissas!$B$58*Premissas!$B$57</f>
        <v>13855.1628692934</v>
      </c>
      <c r="V111" s="84" t="n">
        <f aca="false">V101*INDEX(Premissas!$C$59:$G$59,V$7)*Premissas!$B$58*Premissas!$B$57</f>
        <v>14825.6289114822</v>
      </c>
      <c r="W111" s="84" t="n">
        <f aca="false">W101*INDEX(Premissas!$C$59:$G$59,W$7)*Premissas!$B$58*Premissas!$B$57</f>
        <v>15742.7193213507</v>
      </c>
      <c r="X111" s="84" t="n">
        <f aca="false">X101*INDEX(Premissas!$C$59:$G$59,X$7)*Premissas!$B$58*Premissas!$B$57</f>
        <v>16609.3697586764</v>
      </c>
      <c r="Y111" s="84" t="n">
        <f aca="false">Y101*INDEX(Premissas!$C$59:$G$59,Y$7)*Premissas!$B$58*Premissas!$B$57</f>
        <v>17428.3544219492</v>
      </c>
      <c r="Z111" s="84" t="n">
        <f aca="false">Z101*INDEX(Premissas!$C$59:$G$59,Z$7)*Premissas!$B$58*Premissas!$B$57</f>
        <v>33544.8945014196</v>
      </c>
      <c r="AA111" s="84" t="n">
        <f aca="false">AA101*INDEX(Premissas!$C$59:$G$59,AA$7)*Premissas!$B$58*Premissas!$B$57</f>
        <v>37817.6497763486</v>
      </c>
      <c r="AB111" s="84" t="n">
        <f aca="false">AB101*INDEX(Premissas!$C$59:$G$59,AB$7)*Premissas!$B$58*Premissas!$B$57</f>
        <v>41876.7672875312</v>
      </c>
      <c r="AC111" s="84" t="n">
        <f aca="false">AC101*INDEX(Premissas!$C$59:$G$59,AC$7)*Premissas!$B$58*Premissas!$B$57</f>
        <v>45732.9289231546</v>
      </c>
      <c r="AD111" s="84" t="n">
        <f aca="false">AD101*INDEX(Premissas!$C$59:$G$59,AD$7)*Premissas!$B$58*Premissas!$B$57</f>
        <v>49396.2824769969</v>
      </c>
      <c r="AE111" s="84" t="n">
        <f aca="false">AE101*INDEX(Premissas!$C$59:$G$59,AE$7)*Premissas!$B$58*Premissas!$B$57</f>
        <v>52876.4683531471</v>
      </c>
      <c r="AF111" s="84" t="n">
        <f aca="false">AF101*INDEX(Premissas!$C$59:$G$59,AF$7)*Premissas!$B$58*Premissas!$B$57</f>
        <v>56182.6449354897</v>
      </c>
      <c r="AG111" s="84" t="n">
        <f aca="false">AG101*INDEX(Premissas!$C$59:$G$59,AG$7)*Premissas!$B$58*Premissas!$B$57</f>
        <v>59323.5126887152</v>
      </c>
      <c r="AH111" s="84" t="n">
        <f aca="false">AH101*INDEX(Premissas!$C$59:$G$59,AH$7)*Premissas!$B$58*Premissas!$B$57</f>
        <v>62307.3370542795</v>
      </c>
      <c r="AI111" s="84" t="n">
        <f aca="false">AI101*INDEX(Premissas!$C$59:$G$59,AI$7)*Premissas!$B$58*Premissas!$B$57</f>
        <v>65141.9702015655</v>
      </c>
      <c r="AJ111" s="84" t="n">
        <f aca="false">AJ101*INDEX(Premissas!$C$59:$G$59,AJ$7)*Premissas!$B$58*Premissas!$B$57</f>
        <v>67834.8716914872</v>
      </c>
      <c r="AK111" s="84" t="n">
        <f aca="false">AK101*INDEX(Premissas!$C$59:$G$59,AK$7)*Premissas!$B$58*Premissas!$B$57</f>
        <v>70393.1281069129</v>
      </c>
      <c r="AL111" s="84" t="n">
        <f aca="false">AL101*INDEX(Premissas!$C$59:$G$59,AL$7)*Premissas!$B$58*Premissas!$B$57</f>
        <v>121922.81273245</v>
      </c>
      <c r="AM111" s="84" t="n">
        <f aca="false">AM101*INDEX(Premissas!$C$59:$G$59,AM$7)*Premissas!$B$58*Premissas!$B$57</f>
        <v>130770.517721292</v>
      </c>
      <c r="AN111" s="84" t="n">
        <f aca="false">AN101*INDEX(Premissas!$C$59:$G$59,AN$7)*Premissas!$B$58*Premissas!$B$57</f>
        <v>139193.53287067</v>
      </c>
      <c r="AO111" s="84" t="n">
        <f aca="false">AO101*INDEX(Premissas!$C$59:$G$59,AO$7)*Premissas!$B$58*Premissas!$B$57</f>
        <v>147212.243292878</v>
      </c>
      <c r="AP111" s="84" t="n">
        <f aca="false">AP101*INDEX(Premissas!$C$59:$G$59,AP$7)*Premissas!$B$58*Premissas!$B$57</f>
        <v>154846.05561482</v>
      </c>
      <c r="AQ111" s="84" t="n">
        <f aca="false">AQ101*INDEX(Premissas!$C$59:$G$59,AQ$7)*Premissas!$B$58*Premissas!$B$57</f>
        <v>162113.444945308</v>
      </c>
      <c r="AR111" s="84" t="n">
        <f aca="false">AR101*INDEX(Premissas!$C$59:$G$59,AR$7)*Premissas!$B$58*Premissas!$B$57</f>
        <v>169031.999587934</v>
      </c>
      <c r="AS111" s="84" t="n">
        <f aca="false">AS101*INDEX(Premissas!$C$59:$G$59,AS$7)*Premissas!$B$58*Premissas!$B$57</f>
        <v>175618.463607713</v>
      </c>
      <c r="AT111" s="84" t="n">
        <f aca="false">AT101*INDEX(Premissas!$C$59:$G$59,AT$7)*Premissas!$B$58*Premissas!$B$57</f>
        <v>181888.777354543</v>
      </c>
      <c r="AU111" s="84" t="n">
        <f aca="false">AU101*INDEX(Premissas!$C$59:$G$59,AU$7)*Premissas!$B$58*Premissas!$B$57</f>
        <v>187858.116041525</v>
      </c>
      <c r="AV111" s="84" t="n">
        <f aca="false">AV101*INDEX(Premissas!$C$59:$G$59,AV$7)*Premissas!$B$58*Premissas!$B$57</f>
        <v>193540.926471531</v>
      </c>
      <c r="AW111" s="84" t="n">
        <f aca="false">AW101*INDEX(Premissas!$C$59:$G$59,AW$7)*Premissas!$B$58*Premissas!$B$57</f>
        <v>198950.962000898</v>
      </c>
      <c r="AX111" s="84" t="n">
        <f aca="false">AX101*INDEX(Premissas!$C$59:$G$59,AX$7)*Premissas!$B$58*Premissas!$B$57</f>
        <v>262522.710888572</v>
      </c>
      <c r="AY111" s="84" t="n">
        <f aca="false">AY101*INDEX(Premissas!$C$59:$G$59,AY$7)*Premissas!$B$58*Premissas!$B$57</f>
        <v>275734.188898586</v>
      </c>
      <c r="AZ111" s="84" t="n">
        <f aca="false">AZ101*INDEX(Premissas!$C$59:$G$59,AZ$7)*Premissas!$B$58*Premissas!$B$57</f>
        <v>288351.15039815</v>
      </c>
      <c r="BA111" s="84" t="n">
        <f aca="false">BA101*INDEX(Premissas!$C$59:$G$59,BA$7)*Premissas!$B$58*Premissas!$B$57</f>
        <v>300400.348630233</v>
      </c>
      <c r="BB111" s="84" t="n">
        <f aca="false">BB101*INDEX(Premissas!$C$59:$G$59,BB$7)*Premissas!$B$58*Premissas!$B$57</f>
        <v>311907.332941873</v>
      </c>
      <c r="BC111" s="84" t="n">
        <f aca="false">BC101*INDEX(Premissas!$C$59:$G$59,BC$7)*Premissas!$B$58*Premissas!$B$57</f>
        <v>322896.502959488</v>
      </c>
      <c r="BD111" s="84" t="n">
        <f aca="false">BD101*INDEX(Premissas!$C$59:$G$59,BD$7)*Premissas!$B$58*Premissas!$B$57</f>
        <v>333391.160326311</v>
      </c>
      <c r="BE111" s="84" t="n">
        <f aca="false">BE101*INDEX(Premissas!$C$59:$G$59,BE$7)*Premissas!$B$58*Premissas!$B$57</f>
        <v>343413.558111627</v>
      </c>
      <c r="BF111" s="84" t="n">
        <f aca="false">BF101*INDEX(Premissas!$C$59:$G$59,BF$7)*Premissas!$B$58*Premissas!$B$57</f>
        <v>352984.947996604</v>
      </c>
      <c r="BG111" s="84" t="n">
        <f aca="false">BG101*INDEX(Premissas!$C$59:$G$59,BG$7)*Premissas!$B$58*Premissas!$B$57</f>
        <v>362125.625336757</v>
      </c>
      <c r="BH111" s="84" t="n">
        <f aca="false">BH101*INDEX(Premissas!$C$59:$G$59,BH$7)*Premissas!$B$58*Premissas!$B$57</f>
        <v>370854.972196603</v>
      </c>
      <c r="BI111" s="84" t="n">
        <f aca="false">BI101*INDEX(Premissas!$C$59:$G$59,BI$7)*Premissas!$B$58*Premissas!$B$57</f>
        <v>379191.498447756</v>
      </c>
      <c r="BJ111" s="69" t="n">
        <f aca="false">SUM(B111:BI111)</f>
        <v>6652240.86240677</v>
      </c>
    </row>
    <row r="112" customFormat="false" ht="15" hidden="false" customHeight="false" outlineLevel="0" collapsed="false">
      <c r="A112" s="12" t="s">
        <v>351</v>
      </c>
      <c r="B112" s="84" t="n">
        <f aca="false">IF(AND(Premissas!$B$80=1,B$4&gt;=Premissas!$B$82),Premissas!$B$83,0)</f>
        <v>0</v>
      </c>
      <c r="C112" s="84" t="n">
        <f aca="false">IF(AND(Premissas!$B$80=1,C$4&gt;=Premissas!$B$82),Premissas!$B$83,0)</f>
        <v>0</v>
      </c>
      <c r="D112" s="84" t="n">
        <f aca="false">IF(AND(Premissas!$B$80=1,D$4&gt;=Premissas!$B$82),Premissas!$B$83,0)</f>
        <v>0</v>
      </c>
      <c r="E112" s="84" t="n">
        <f aca="false">IF(AND(Premissas!$B$80=1,E$4&gt;=Premissas!$B$82),Premissas!$B$83,0)</f>
        <v>0</v>
      </c>
      <c r="F112" s="84" t="n">
        <f aca="false">IF(AND(Premissas!$B$80=1,F$4&gt;=Premissas!$B$82),Premissas!$B$83,0)</f>
        <v>0</v>
      </c>
      <c r="G112" s="84" t="n">
        <f aca="false">IF(AND(Premissas!$B$80=1,G$4&gt;=Premissas!$B$82),Premissas!$B$83,0)</f>
        <v>0</v>
      </c>
      <c r="H112" s="84" t="n">
        <f aca="false">IF(AND(Premissas!$B$80=1,H$4&gt;=Premissas!$B$82),Premissas!$B$83,0)</f>
        <v>0</v>
      </c>
      <c r="I112" s="84" t="n">
        <f aca="false">IF(AND(Premissas!$B$80=1,I$4&gt;=Premissas!$B$82),Premissas!$B$83,0)</f>
        <v>0</v>
      </c>
      <c r="J112" s="84" t="n">
        <f aca="false">IF(AND(Premissas!$B$80=1,J$4&gt;=Premissas!$B$82),Premissas!$B$83,0)</f>
        <v>0</v>
      </c>
      <c r="K112" s="84" t="n">
        <f aca="false">IF(AND(Premissas!$B$80=1,K$4&gt;=Premissas!$B$82),Premissas!$B$83,0)</f>
        <v>0</v>
      </c>
      <c r="L112" s="84" t="n">
        <f aca="false">IF(AND(Premissas!$B$80=1,L$4&gt;=Premissas!$B$82),Premissas!$B$83,0)</f>
        <v>0</v>
      </c>
      <c r="M112" s="84" t="n">
        <f aca="false">IF(AND(Premissas!$B$80=1,M$4&gt;=Premissas!$B$82),Premissas!$B$83,0)</f>
        <v>0</v>
      </c>
      <c r="N112" s="84" t="n">
        <f aca="false">IF(AND(Premissas!$B$80=1,N$4&gt;=Premissas!$B$82),Premissas!$B$83,0)</f>
        <v>0</v>
      </c>
      <c r="O112" s="84" t="n">
        <f aca="false">IF(AND(Premissas!$B$80=1,O$4&gt;=Premissas!$B$82),Premissas!$B$83,0)</f>
        <v>0</v>
      </c>
      <c r="P112" s="84" t="n">
        <f aca="false">IF(AND(Premissas!$B$80=1,P$4&gt;=Premissas!$B$82),Premissas!$B$83,0)</f>
        <v>0</v>
      </c>
      <c r="Q112" s="84" t="n">
        <f aca="false">IF(AND(Premissas!$B$80=1,Q$4&gt;=Premissas!$B$82),Premissas!$B$83,0)</f>
        <v>0</v>
      </c>
      <c r="R112" s="84" t="n">
        <f aca="false">IF(AND(Premissas!$B$80=1,R$4&gt;=Premissas!$B$82),Premissas!$B$83,0)</f>
        <v>0</v>
      </c>
      <c r="S112" s="84" t="n">
        <f aca="false">IF(AND(Premissas!$B$80=1,S$4&gt;=Premissas!$B$82),Premissas!$B$83,0)</f>
        <v>0</v>
      </c>
      <c r="T112" s="84" t="n">
        <f aca="false">IF(AND(Premissas!$B$80=1,T$4&gt;=Premissas!$B$82),Premissas!$B$83,0)</f>
        <v>0</v>
      </c>
      <c r="U112" s="84" t="n">
        <f aca="false">IF(AND(Premissas!$B$80=1,U$4&gt;=Premissas!$B$82),Premissas!$B$83,0)</f>
        <v>0</v>
      </c>
      <c r="V112" s="84" t="n">
        <f aca="false">IF(AND(Premissas!$B$80=1,V$4&gt;=Premissas!$B$82),Premissas!$B$83,0)</f>
        <v>0</v>
      </c>
      <c r="W112" s="84" t="n">
        <f aca="false">IF(AND(Premissas!$B$80=1,W$4&gt;=Premissas!$B$82),Premissas!$B$83,0)</f>
        <v>0</v>
      </c>
      <c r="X112" s="84" t="n">
        <f aca="false">IF(AND(Premissas!$B$80=1,X$4&gt;=Premissas!$B$82),Premissas!$B$83,0)</f>
        <v>0</v>
      </c>
      <c r="Y112" s="84" t="n">
        <f aca="false">IF(AND(Premissas!$B$80=1,Y$4&gt;=Premissas!$B$82),Premissas!$B$83,0)</f>
        <v>0</v>
      </c>
      <c r="Z112" s="84" t="n">
        <f aca="false">IF(AND(Premissas!$B$80=1,Z$4&gt;=Premissas!$B$82),Premissas!$B$83,0)</f>
        <v>0</v>
      </c>
      <c r="AA112" s="84" t="n">
        <f aca="false">IF(AND(Premissas!$B$80=1,AA$4&gt;=Premissas!$B$82),Premissas!$B$83,0)</f>
        <v>0</v>
      </c>
      <c r="AB112" s="84" t="n">
        <f aca="false">IF(AND(Premissas!$B$80=1,AB$4&gt;=Premissas!$B$82),Premissas!$B$83,0)</f>
        <v>0</v>
      </c>
      <c r="AC112" s="84" t="n">
        <f aca="false">IF(AND(Premissas!$B$80=1,AC$4&gt;=Premissas!$B$82),Premissas!$B$83,0)</f>
        <v>0</v>
      </c>
      <c r="AD112" s="84" t="n">
        <f aca="false">IF(AND(Premissas!$B$80=1,AD$4&gt;=Premissas!$B$82),Premissas!$B$83,0)</f>
        <v>0</v>
      </c>
      <c r="AE112" s="84" t="n">
        <f aca="false">IF(AND(Premissas!$B$80=1,AE$4&gt;=Premissas!$B$82),Premissas!$B$83,0)</f>
        <v>0</v>
      </c>
      <c r="AF112" s="84" t="n">
        <f aca="false">IF(AND(Premissas!$B$80=1,AF$4&gt;=Premissas!$B$82),Premissas!$B$83,0)</f>
        <v>0</v>
      </c>
      <c r="AG112" s="84" t="n">
        <f aca="false">IF(AND(Premissas!$B$80=1,AG$4&gt;=Premissas!$B$82),Premissas!$B$83,0)</f>
        <v>0</v>
      </c>
      <c r="AH112" s="84" t="n">
        <f aca="false">IF(AND(Premissas!$B$80=1,AH$4&gt;=Premissas!$B$82),Premissas!$B$83,0)</f>
        <v>0</v>
      </c>
      <c r="AI112" s="84" t="n">
        <f aca="false">IF(AND(Premissas!$B$80=1,AI$4&gt;=Premissas!$B$82),Premissas!$B$83,0)</f>
        <v>0</v>
      </c>
      <c r="AJ112" s="84" t="n">
        <f aca="false">IF(AND(Premissas!$B$80=1,AJ$4&gt;=Premissas!$B$82),Premissas!$B$83,0)</f>
        <v>0</v>
      </c>
      <c r="AK112" s="84" t="n">
        <f aca="false">IF(AND(Premissas!$B$80=1,AK$4&gt;=Premissas!$B$82),Premissas!$B$83,0)</f>
        <v>0</v>
      </c>
      <c r="AL112" s="84" t="n">
        <f aca="false">IF(AND(Premissas!$B$80=1,AL$4&gt;=Premissas!$B$82),Premissas!$B$83,0)</f>
        <v>0</v>
      </c>
      <c r="AM112" s="84" t="n">
        <f aca="false">IF(AND(Premissas!$B$80=1,AM$4&gt;=Premissas!$B$82),Premissas!$B$83,0)</f>
        <v>0</v>
      </c>
      <c r="AN112" s="84" t="n">
        <f aca="false">IF(AND(Premissas!$B$80=1,AN$4&gt;=Premissas!$B$82),Premissas!$B$83,0)</f>
        <v>0</v>
      </c>
      <c r="AO112" s="84" t="n">
        <f aca="false">IF(AND(Premissas!$B$80=1,AO$4&gt;=Premissas!$B$82),Premissas!$B$83,0)</f>
        <v>0</v>
      </c>
      <c r="AP112" s="84" t="n">
        <f aca="false">IF(AND(Premissas!$B$80=1,AP$4&gt;=Premissas!$B$82),Premissas!$B$83,0)</f>
        <v>0</v>
      </c>
      <c r="AQ112" s="84" t="n">
        <f aca="false">IF(AND(Premissas!$B$80=1,AQ$4&gt;=Premissas!$B$82),Premissas!$B$83,0)</f>
        <v>0</v>
      </c>
      <c r="AR112" s="84" t="n">
        <f aca="false">IF(AND(Premissas!$B$80=1,AR$4&gt;=Premissas!$B$82),Premissas!$B$83,0)</f>
        <v>0</v>
      </c>
      <c r="AS112" s="84" t="n">
        <f aca="false">IF(AND(Premissas!$B$80=1,AS$4&gt;=Premissas!$B$82),Premissas!$B$83,0)</f>
        <v>0</v>
      </c>
      <c r="AT112" s="84" t="n">
        <f aca="false">IF(AND(Premissas!$B$80=1,AT$4&gt;=Premissas!$B$82),Premissas!$B$83,0)</f>
        <v>0</v>
      </c>
      <c r="AU112" s="84" t="n">
        <f aca="false">IF(AND(Premissas!$B$80=1,AU$4&gt;=Premissas!$B$82),Premissas!$B$83,0)</f>
        <v>0</v>
      </c>
      <c r="AV112" s="84" t="n">
        <f aca="false">IF(AND(Premissas!$B$80=1,AV$4&gt;=Premissas!$B$82),Premissas!$B$83,0)</f>
        <v>0</v>
      </c>
      <c r="AW112" s="84" t="n">
        <f aca="false">IF(AND(Premissas!$B$80=1,AW$4&gt;=Premissas!$B$82),Premissas!$B$83,0)</f>
        <v>0</v>
      </c>
      <c r="AX112" s="84" t="n">
        <f aca="false">IF(AND(Premissas!$B$80=1,AX$4&gt;=Premissas!$B$82),Premissas!$B$83,0)</f>
        <v>0</v>
      </c>
      <c r="AY112" s="84" t="n">
        <f aca="false">IF(AND(Premissas!$B$80=1,AY$4&gt;=Premissas!$B$82),Premissas!$B$83,0)</f>
        <v>0</v>
      </c>
      <c r="AZ112" s="84" t="n">
        <f aca="false">IF(AND(Premissas!$B$80=1,AZ$4&gt;=Premissas!$B$82),Premissas!$B$83,0)</f>
        <v>0</v>
      </c>
      <c r="BA112" s="84" t="n">
        <f aca="false">IF(AND(Premissas!$B$80=1,BA$4&gt;=Premissas!$B$82),Premissas!$B$83,0)</f>
        <v>0</v>
      </c>
      <c r="BB112" s="84" t="n">
        <f aca="false">IF(AND(Premissas!$B$80=1,BB$4&gt;=Premissas!$B$82),Premissas!$B$83,0)</f>
        <v>0</v>
      </c>
      <c r="BC112" s="84" t="n">
        <f aca="false">IF(AND(Premissas!$B$80=1,BC$4&gt;=Premissas!$B$82),Premissas!$B$83,0)</f>
        <v>0</v>
      </c>
      <c r="BD112" s="84" t="n">
        <f aca="false">IF(AND(Premissas!$B$80=1,BD$4&gt;=Premissas!$B$82),Premissas!$B$83,0)</f>
        <v>0</v>
      </c>
      <c r="BE112" s="84" t="n">
        <f aca="false">IF(AND(Premissas!$B$80=1,BE$4&gt;=Premissas!$B$82),Premissas!$B$83,0)</f>
        <v>0</v>
      </c>
      <c r="BF112" s="84" t="n">
        <f aca="false">IF(AND(Premissas!$B$80=1,BF$4&gt;=Premissas!$B$82),Premissas!$B$83,0)</f>
        <v>0</v>
      </c>
      <c r="BG112" s="84" t="n">
        <f aca="false">IF(AND(Premissas!$B$80=1,BG$4&gt;=Premissas!$B$82),Premissas!$B$83,0)</f>
        <v>0</v>
      </c>
      <c r="BH112" s="84" t="n">
        <f aca="false">IF(AND(Premissas!$B$80=1,BH$4&gt;=Premissas!$B$82),Premissas!$B$83,0)</f>
        <v>0</v>
      </c>
      <c r="BI112" s="84" t="n">
        <f aca="false">IF(AND(Premissas!$B$80=1,BI$4&gt;=Premissas!$B$82),Premissas!$B$83,0)</f>
        <v>0</v>
      </c>
      <c r="BJ112" s="69" t="n">
        <f aca="false">SUM(B112:BI112)</f>
        <v>0</v>
      </c>
    </row>
    <row r="113" customFormat="false" ht="15" hidden="false" customHeight="false" outlineLevel="0" collapsed="false">
      <c r="A113" s="34" t="s">
        <v>298</v>
      </c>
      <c r="B113" s="69" t="n">
        <f aca="false">SUM(B110:B112)</f>
        <v>0</v>
      </c>
      <c r="C113" s="69" t="n">
        <f aca="false">SUM(C110:C112)</f>
        <v>0</v>
      </c>
      <c r="D113" s="69" t="n">
        <f aca="false">SUM(D110:D112)</f>
        <v>0</v>
      </c>
      <c r="E113" s="69" t="n">
        <f aca="false">SUM(E110:E112)</f>
        <v>0</v>
      </c>
      <c r="F113" s="69" t="n">
        <f aca="false">SUM(F110:F112)</f>
        <v>0</v>
      </c>
      <c r="G113" s="69" t="n">
        <f aca="false">SUM(G110:G112)</f>
        <v>0</v>
      </c>
      <c r="H113" s="69" t="n">
        <f aca="false">SUM(H110:H112)</f>
        <v>0</v>
      </c>
      <c r="I113" s="69" t="n">
        <f aca="false">SUM(I110:I112)</f>
        <v>0</v>
      </c>
      <c r="J113" s="69" t="n">
        <f aca="false">SUM(J110:J112)</f>
        <v>0</v>
      </c>
      <c r="K113" s="69" t="n">
        <f aca="false">SUM(K110:K112)</f>
        <v>47682.6</v>
      </c>
      <c r="L113" s="69" t="n">
        <f aca="false">SUM(L110:L112)</f>
        <v>92555.9</v>
      </c>
      <c r="M113" s="69" t="n">
        <f aca="false">SUM(M110:M112)</f>
        <v>134719.1</v>
      </c>
      <c r="N113" s="69" t="n">
        <f aca="false">SUM(N110:N112)</f>
        <v>239963.2550657</v>
      </c>
      <c r="O113" s="69" t="n">
        <f aca="false">SUM(O110:O112)</f>
        <v>305464.043409586</v>
      </c>
      <c r="P113" s="69" t="n">
        <f aca="false">SUM(P110:P112)</f>
        <v>367345.063137059</v>
      </c>
      <c r="Q113" s="69" t="n">
        <f aca="false">SUM(Q110:Q112)</f>
        <v>425860.953722021</v>
      </c>
      <c r="R113" s="69" t="n">
        <f aca="false">SUM(R110:R112)</f>
        <v>481119.60572981</v>
      </c>
      <c r="S113" s="69" t="n">
        <f aca="false">SUM(S110:S112)</f>
        <v>533416.78301217</v>
      </c>
      <c r="T113" s="69" t="n">
        <f aca="false">SUM(T110:T112)</f>
        <v>582713.948676501</v>
      </c>
      <c r="U113" s="69" t="n">
        <f aca="false">SUM(U110:U112)</f>
        <v>629431.954369293</v>
      </c>
      <c r="V113" s="69" t="n">
        <f aca="false">SUM(V110:V112)</f>
        <v>673448.269411482</v>
      </c>
      <c r="W113" s="69" t="n">
        <f aca="false">SUM(W110:W112)</f>
        <v>715141.468821351</v>
      </c>
      <c r="X113" s="69" t="n">
        <f aca="false">SUM(X110:X112)</f>
        <v>754555.974758676</v>
      </c>
      <c r="Y113" s="69" t="n">
        <f aca="false">SUM(Y110:Y112)</f>
        <v>791694.247921949</v>
      </c>
      <c r="Z113" s="69" t="n">
        <f aca="false">SUM(Z110:Z112)</f>
        <v>1083310.05583642</v>
      </c>
      <c r="AA113" s="69" t="n">
        <f aca="false">SUM(AA110:AA112)</f>
        <v>1221295.70303385</v>
      </c>
      <c r="AB113" s="69" t="n">
        <f aca="false">SUM(AB110:AB112)</f>
        <v>1352407.23358753</v>
      </c>
      <c r="AC113" s="69" t="n">
        <f aca="false">SUM(AC110:AC112)</f>
        <v>1476894.37365815</v>
      </c>
      <c r="AD113" s="69" t="n">
        <f aca="false">SUM(AD110:AD112)</f>
        <v>1595224.8295145</v>
      </c>
      <c r="AE113" s="69" t="n">
        <f aca="false">SUM(AE110:AE112)</f>
        <v>1707603.82323815</v>
      </c>
      <c r="AF113" s="69" t="n">
        <f aca="false">SUM(AF110:AF112)</f>
        <v>1814410.92809299</v>
      </c>
      <c r="AG113" s="69" t="n">
        <f aca="false">SUM(AG110:AG112)</f>
        <v>1915806.52681621</v>
      </c>
      <c r="AH113" s="69" t="n">
        <f aca="false">SUM(AH110:AH112)</f>
        <v>2012213.30833678</v>
      </c>
      <c r="AI113" s="69" t="n">
        <f aca="false">SUM(AI110:AI112)</f>
        <v>2103747.23529907</v>
      </c>
      <c r="AJ113" s="69" t="n">
        <f aca="false">SUM(AJ110:AJ112)</f>
        <v>2190699.03854899</v>
      </c>
      <c r="AK113" s="69" t="n">
        <f aca="false">SUM(AK110:AK112)</f>
        <v>2273271.60475191</v>
      </c>
      <c r="AL113" s="69" t="n">
        <f aca="false">SUM(AL110:AL112)</f>
        <v>2903563.28551381</v>
      </c>
      <c r="AM113" s="69" t="n">
        <f aca="false">SUM(AM110:AM112)</f>
        <v>3114341.70572075</v>
      </c>
      <c r="AN113" s="69" t="n">
        <f aca="false">SUM(AN110:AN112)</f>
        <v>3314981.03121594</v>
      </c>
      <c r="AO113" s="69" t="n">
        <f aca="false">SUM(AO110:AO112)</f>
        <v>3505888.27419483</v>
      </c>
      <c r="AP113" s="69" t="n">
        <f aca="false">SUM(AP110:AP112)</f>
        <v>3687720.18256512</v>
      </c>
      <c r="AQ113" s="69" t="n">
        <f aca="false">SUM(AQ110:AQ112)</f>
        <v>3860790.79346201</v>
      </c>
      <c r="AR113" s="69" t="n">
        <f aca="false">SUM(AR110:AR112)</f>
        <v>4025550.08303385</v>
      </c>
      <c r="AS113" s="69" t="n">
        <f aca="false">SUM(AS110:AS112)</f>
        <v>4182401.30831219</v>
      </c>
      <c r="AT113" s="69" t="n">
        <f aca="false">SUM(AT110:AT112)</f>
        <v>4331701.96066814</v>
      </c>
      <c r="AU113" s="69" t="n">
        <f aca="false">SUM(AU110:AU112)</f>
        <v>4473899.37492635</v>
      </c>
      <c r="AV113" s="69" t="n">
        <f aca="false">SUM(AV110:AV112)</f>
        <v>4609212.60897589</v>
      </c>
      <c r="AW113" s="69" t="n">
        <f aca="false">SUM(AW110:AW112)</f>
        <v>4738065.09481198</v>
      </c>
      <c r="AX113" s="69" t="n">
        <f aca="false">SUM(AX110:AX112)</f>
        <v>6112301.90412027</v>
      </c>
      <c r="AY113" s="69" t="n">
        <f aca="false">SUM(AY110:AY112)</f>
        <v>6419952.30646945</v>
      </c>
      <c r="AZ113" s="69" t="n">
        <f aca="false">SUM(AZ110:AZ112)</f>
        <v>6713716.26073377</v>
      </c>
      <c r="BA113" s="69" t="n">
        <f aca="false">SUM(BA110:BA112)</f>
        <v>6994238.96030246</v>
      </c>
      <c r="BB113" s="69" t="n">
        <f aca="false">SUM(BB110:BB112)</f>
        <v>7262164.15616513</v>
      </c>
      <c r="BC113" s="69" t="n">
        <f aca="false">SUM(BC110:BC112)</f>
        <v>7518039.52511015</v>
      </c>
      <c r="BD113" s="69" t="n">
        <f aca="false">SUM(BD110:BD112)</f>
        <v>7762363.5874431</v>
      </c>
      <c r="BE113" s="69" t="n">
        <f aca="false">SUM(BE110:BE112)</f>
        <v>7995681.87339523</v>
      </c>
      <c r="BF113" s="69" t="n">
        <f aca="false">SUM(BF110:BF112)</f>
        <v>8218538.79255778</v>
      </c>
      <c r="BG113" s="69" t="n">
        <f aca="false">SUM(BG110:BG112)</f>
        <v>8431430.45520794</v>
      </c>
      <c r="BH113" s="69" t="n">
        <f aca="false">SUM(BH110:BH112)</f>
        <v>8634637.16648004</v>
      </c>
      <c r="BI113" s="69" t="n">
        <f aca="false">SUM(BI110:BI112)</f>
        <v>8828700.83265949</v>
      </c>
      <c r="BJ113" s="69" t="n">
        <f aca="false">SUM(B113:BI113)</f>
        <v>165161879.352796</v>
      </c>
    </row>
    <row r="114" customFormat="false" ht="15" hidden="false" customHeight="false" outlineLevel="0" collapsed="false">
      <c r="A114" s="12" t="s">
        <v>352</v>
      </c>
      <c r="B114" s="84" t="n">
        <f aca="false">B113*12</f>
        <v>0</v>
      </c>
      <c r="C114" s="84" t="n">
        <f aca="false">SUM($B113:B113)/1*12</f>
        <v>0</v>
      </c>
      <c r="D114" s="84" t="n">
        <f aca="false">SUM($B113:C113)/2*12</f>
        <v>0</v>
      </c>
      <c r="E114" s="84" t="n">
        <f aca="false">SUM($B113:D113)/3*12</f>
        <v>0</v>
      </c>
      <c r="F114" s="84" t="n">
        <f aca="false">SUM($B113:E113)/4*12</f>
        <v>0</v>
      </c>
      <c r="G114" s="84" t="n">
        <f aca="false">SUM($B113:F113)/5*12</f>
        <v>0</v>
      </c>
      <c r="H114" s="84" t="n">
        <f aca="false">SUM($B113:G113)/6*12</f>
        <v>0</v>
      </c>
      <c r="I114" s="84" t="n">
        <f aca="false">SUM($B113:H113)/7*12</f>
        <v>0</v>
      </c>
      <c r="J114" s="84" t="n">
        <f aca="false">SUM($B113:I113)/8*12</f>
        <v>0</v>
      </c>
      <c r="K114" s="84" t="n">
        <f aca="false">SUM($B113:J113)/9*12</f>
        <v>0</v>
      </c>
      <c r="L114" s="84" t="n">
        <f aca="false">SUM($B113:K113)/10*12</f>
        <v>57219.12</v>
      </c>
      <c r="M114" s="84" t="n">
        <f aca="false">SUM($B113:L113)/11*12</f>
        <v>152987.454545455</v>
      </c>
      <c r="N114" s="84" t="n">
        <f aca="false">SUM(B113:M113)</f>
        <v>274957.6</v>
      </c>
      <c r="O114" s="84" t="n">
        <f aca="false">SUM(C113:N113)</f>
        <v>514920.8550657</v>
      </c>
      <c r="P114" s="84" t="n">
        <f aca="false">SUM(D113:O113)</f>
        <v>820384.898475286</v>
      </c>
      <c r="Q114" s="84" t="n">
        <f aca="false">SUM(E113:P113)</f>
        <v>1187729.96161235</v>
      </c>
      <c r="R114" s="84" t="n">
        <f aca="false">SUM(F113:Q113)</f>
        <v>1613590.91533437</v>
      </c>
      <c r="S114" s="84" t="n">
        <f aca="false">SUM(G113:R113)</f>
        <v>2094710.52106418</v>
      </c>
      <c r="T114" s="84" t="n">
        <f aca="false">SUM(H113:S113)</f>
        <v>2628127.30407635</v>
      </c>
      <c r="U114" s="84" t="n">
        <f aca="false">SUM(I113:T113)</f>
        <v>3210841.25275285</v>
      </c>
      <c r="V114" s="84" t="n">
        <f aca="false">SUM(J113:U113)</f>
        <v>3840273.20712214</v>
      </c>
      <c r="W114" s="84" t="n">
        <f aca="false">SUM(K113:V113)</f>
        <v>4513721.47653362</v>
      </c>
      <c r="X114" s="84" t="n">
        <f aca="false">SUM(L113:W113)</f>
        <v>5181180.34535497</v>
      </c>
      <c r="Y114" s="84" t="n">
        <f aca="false">SUM(M113:X113)</f>
        <v>5843180.42011365</v>
      </c>
      <c r="Z114" s="84" t="n">
        <f aca="false">SUM(N113:Y113)</f>
        <v>6500155.5680356</v>
      </c>
      <c r="AA114" s="84" t="n">
        <f aca="false">SUM(O113:Z113)</f>
        <v>7343502.36880632</v>
      </c>
      <c r="AB114" s="84" t="n">
        <f aca="false">SUM(P113:AA113)</f>
        <v>8259334.02843058</v>
      </c>
      <c r="AC114" s="84" t="n">
        <f aca="false">SUM(Q113:AB113)</f>
        <v>9244396.19888105</v>
      </c>
      <c r="AD114" s="84" t="n">
        <f aca="false">SUM(R113:AC113)</f>
        <v>10295429.6188172</v>
      </c>
      <c r="AE114" s="84" t="n">
        <f aca="false">SUM(S113:AD113)</f>
        <v>11409534.8426019</v>
      </c>
      <c r="AF114" s="84" t="n">
        <f aca="false">SUM(T113:AE113)</f>
        <v>12583721.8828279</v>
      </c>
      <c r="AG114" s="84" t="n">
        <f aca="false">SUM(U113:AF113)</f>
        <v>13815418.8622443</v>
      </c>
      <c r="AH114" s="84" t="n">
        <f aca="false">SUM(V113:AG113)</f>
        <v>15101793.4346913</v>
      </c>
      <c r="AI114" s="84" t="n">
        <f aca="false">SUM(W113:AH113)</f>
        <v>16440558.4736166</v>
      </c>
      <c r="AJ114" s="84" t="n">
        <f aca="false">SUM(X113:AI113)</f>
        <v>17829164.2400943</v>
      </c>
      <c r="AK114" s="84" t="n">
        <f aca="false">SUM(Y113:AJ113)</f>
        <v>19265307.3038846</v>
      </c>
      <c r="AL114" s="84" t="n">
        <f aca="false">SUM(Z113:AK113)</f>
        <v>20746884.6607145</v>
      </c>
      <c r="AM114" s="84" t="n">
        <f aca="false">SUM(AA113:AL113)</f>
        <v>22567137.8903919</v>
      </c>
      <c r="AN114" s="84" t="n">
        <f aca="false">SUM(AB113:AM113)</f>
        <v>24460183.8930788</v>
      </c>
      <c r="AO114" s="84" t="n">
        <f aca="false">SUM(AC113:AN113)</f>
        <v>26422757.6907073</v>
      </c>
      <c r="AP114" s="84" t="n">
        <f aca="false">SUM(AD113:AO113)</f>
        <v>28451751.5912439</v>
      </c>
      <c r="AQ114" s="84" t="n">
        <f aca="false">SUM(AE113:AP113)</f>
        <v>30544246.9442946</v>
      </c>
      <c r="AR114" s="84" t="n">
        <f aca="false">SUM(AF113:AQ113)</f>
        <v>32697433.9145184</v>
      </c>
      <c r="AS114" s="84" t="n">
        <f aca="false">SUM(AG113:AR113)</f>
        <v>34908573.0694593</v>
      </c>
      <c r="AT114" s="84" t="n">
        <f aca="false">SUM(AH113:AS113)</f>
        <v>37175167.8509552</v>
      </c>
      <c r="AU114" s="84" t="n">
        <f aca="false">SUM(AI113:AT113)</f>
        <v>39494656.5032866</v>
      </c>
      <c r="AV114" s="84" t="n">
        <f aca="false">SUM(AJ113:AU113)</f>
        <v>41864808.6429139</v>
      </c>
      <c r="AW114" s="84" t="n">
        <f aca="false">SUM(AK113:AV113)</f>
        <v>44283322.2133408</v>
      </c>
      <c r="AX114" s="84" t="n">
        <f aca="false">SUM(AL113:AW113)</f>
        <v>46748115.7034009</v>
      </c>
      <c r="AY114" s="84" t="n">
        <f aca="false">SUM(AM113:AX113)</f>
        <v>49956854.3220073</v>
      </c>
      <c r="AZ114" s="84" t="n">
        <f aca="false">SUM(AN113:AY113)</f>
        <v>53262464.922756</v>
      </c>
      <c r="BA114" s="84" t="n">
        <f aca="false">SUM(AO113:AZ113)</f>
        <v>56661200.1522738</v>
      </c>
      <c r="BB114" s="84" t="n">
        <f aca="false">SUM(AP113:BA113)</f>
        <v>60149550.8383815</v>
      </c>
      <c r="BC114" s="84" t="n">
        <f aca="false">SUM(AQ113:BB113)</f>
        <v>63723994.8119815</v>
      </c>
      <c r="BD114" s="84" t="n">
        <f aca="false">SUM(AR113:BC113)</f>
        <v>67381243.5436296</v>
      </c>
      <c r="BE114" s="84" t="n">
        <f aca="false">SUM(AS113:BD113)</f>
        <v>71118057.0480389</v>
      </c>
      <c r="BF114" s="84" t="n">
        <f aca="false">SUM(AT113:BE113)</f>
        <v>74931337.6131219</v>
      </c>
      <c r="BG114" s="84" t="n">
        <f aca="false">SUM(AU113:BF113)</f>
        <v>78818174.4450116</v>
      </c>
      <c r="BH114" s="84" t="n">
        <f aca="false">SUM(AV113:BG113)</f>
        <v>82775705.5252931</v>
      </c>
      <c r="BI114" s="84" t="n">
        <f aca="false">SUM(AW113:BH113)</f>
        <v>86801130.0827973</v>
      </c>
      <c r="BJ114" s="69" t="n">
        <f aca="false">BI114</f>
        <v>86801130.0827973</v>
      </c>
      <c r="BK114" s="14" t="s">
        <v>344</v>
      </c>
    </row>
    <row r="115" customFormat="false" ht="15" hidden="false" customHeight="false" outlineLevel="0" collapsed="false">
      <c r="A115" s="12" t="s">
        <v>301</v>
      </c>
      <c r="B115" s="108" t="n">
        <f aca="false">IF(Premissas!$B$16=3,Premissas!$B$17,IF(B114&gt;Premissas!$B$18,Premissas!$B$17,IFERROR(MAX(Tributos!$C$24,(INDEX(Tributos!$C$24:$C$29,MATCH(B114,Tributos!$B$24:$B$29,1))*B114-INDEX(Tributos!$D$24:$D$29,MATCH(B114,Tributos!$B$24:$B$29,1)))/B114),Tributos!$C$24)))</f>
        <v>0.06</v>
      </c>
      <c r="C115" s="108" t="n">
        <f aca="false">IF(Premissas!$B$16=3,Premissas!$B$17,IF(C114&gt;Premissas!$B$18,Premissas!$B$17,IFERROR(MAX(Tributos!$C$24,(INDEX(Tributos!$C$24:$C$29,MATCH(C114,Tributos!$B$24:$B$29,1))*C114-INDEX(Tributos!$D$24:$D$29,MATCH(C114,Tributos!$B$24:$B$29,1)))/C114),Tributos!$C$24)))</f>
        <v>0.06</v>
      </c>
      <c r="D115" s="108" t="n">
        <f aca="false">IF(Premissas!$B$16=3,Premissas!$B$17,IF(D114&gt;Premissas!$B$18,Premissas!$B$17,IFERROR(MAX(Tributos!$C$24,(INDEX(Tributos!$C$24:$C$29,MATCH(D114,Tributos!$B$24:$B$29,1))*D114-INDEX(Tributos!$D$24:$D$29,MATCH(D114,Tributos!$B$24:$B$29,1)))/D114),Tributos!$C$24)))</f>
        <v>0.06</v>
      </c>
      <c r="E115" s="108" t="n">
        <f aca="false">IF(Premissas!$B$16=3,Premissas!$B$17,IF(E114&gt;Premissas!$B$18,Premissas!$B$17,IFERROR(MAX(Tributos!$C$24,(INDEX(Tributos!$C$24:$C$29,MATCH(E114,Tributos!$B$24:$B$29,1))*E114-INDEX(Tributos!$D$24:$D$29,MATCH(E114,Tributos!$B$24:$B$29,1)))/E114),Tributos!$C$24)))</f>
        <v>0.06</v>
      </c>
      <c r="F115" s="108" t="n">
        <f aca="false">IF(Premissas!$B$16=3,Premissas!$B$17,IF(F114&gt;Premissas!$B$18,Premissas!$B$17,IFERROR(MAX(Tributos!$C$24,(INDEX(Tributos!$C$24:$C$29,MATCH(F114,Tributos!$B$24:$B$29,1))*F114-INDEX(Tributos!$D$24:$D$29,MATCH(F114,Tributos!$B$24:$B$29,1)))/F114),Tributos!$C$24)))</f>
        <v>0.06</v>
      </c>
      <c r="G115" s="108" t="n">
        <f aca="false">IF(Premissas!$B$16=3,Premissas!$B$17,IF(G114&gt;Premissas!$B$18,Premissas!$B$17,IFERROR(MAX(Tributos!$C$24,(INDEX(Tributos!$C$24:$C$29,MATCH(G114,Tributos!$B$24:$B$29,1))*G114-INDEX(Tributos!$D$24:$D$29,MATCH(G114,Tributos!$B$24:$B$29,1)))/G114),Tributos!$C$24)))</f>
        <v>0.06</v>
      </c>
      <c r="H115" s="108" t="n">
        <f aca="false">IF(Premissas!$B$16=3,Premissas!$B$17,IF(H114&gt;Premissas!$B$18,Premissas!$B$17,IFERROR(MAX(Tributos!$C$24,(INDEX(Tributos!$C$24:$C$29,MATCH(H114,Tributos!$B$24:$B$29,1))*H114-INDEX(Tributos!$D$24:$D$29,MATCH(H114,Tributos!$B$24:$B$29,1)))/H114),Tributos!$C$24)))</f>
        <v>0.06</v>
      </c>
      <c r="I115" s="108" t="n">
        <f aca="false">IF(Premissas!$B$16=3,Premissas!$B$17,IF(I114&gt;Premissas!$B$18,Premissas!$B$17,IFERROR(MAX(Tributos!$C$24,(INDEX(Tributos!$C$24:$C$29,MATCH(I114,Tributos!$B$24:$B$29,1))*I114-INDEX(Tributos!$D$24:$D$29,MATCH(I114,Tributos!$B$24:$B$29,1)))/I114),Tributos!$C$24)))</f>
        <v>0.06</v>
      </c>
      <c r="J115" s="108" t="n">
        <f aca="false">IF(Premissas!$B$16=3,Premissas!$B$17,IF(J114&gt;Premissas!$B$18,Premissas!$B$17,IFERROR(MAX(Tributos!$C$24,(INDEX(Tributos!$C$24:$C$29,MATCH(J114,Tributos!$B$24:$B$29,1))*J114-INDEX(Tributos!$D$24:$D$29,MATCH(J114,Tributos!$B$24:$B$29,1)))/J114),Tributos!$C$24)))</f>
        <v>0.06</v>
      </c>
      <c r="K115" s="108" t="n">
        <f aca="false">IF(Premissas!$B$16=3,Premissas!$B$17,IF(K114&gt;Premissas!$B$18,Premissas!$B$17,IFERROR(MAX(Tributos!$C$24,(INDEX(Tributos!$C$24:$C$29,MATCH(K114,Tributos!$B$24:$B$29,1))*K114-INDEX(Tributos!$D$24:$D$29,MATCH(K114,Tributos!$B$24:$B$29,1)))/K114),Tributos!$C$24)))</f>
        <v>0.06</v>
      </c>
      <c r="L115" s="108" t="n">
        <f aca="false">IF(Premissas!$B$16=3,Premissas!$B$17,IF(L114&gt;Premissas!$B$18,Premissas!$B$17,IFERROR(MAX(Tributos!$C$24,(INDEX(Tributos!$C$24:$C$29,MATCH(L114,Tributos!$B$24:$B$29,1))*L114-INDEX(Tributos!$D$24:$D$29,MATCH(L114,Tributos!$B$24:$B$29,1)))/L114),Tributos!$C$24)))</f>
        <v>0.06</v>
      </c>
      <c r="M115" s="108" t="n">
        <f aca="false">IF(Premissas!$B$16=3,Premissas!$B$17,IF(M114&gt;Premissas!$B$18,Premissas!$B$17,IFERROR(MAX(Tributos!$C$24,(INDEX(Tributos!$C$24:$C$29,MATCH(M114,Tributos!$B$24:$B$29,1))*M114-INDEX(Tributos!$D$24:$D$29,MATCH(M114,Tributos!$B$24:$B$29,1)))/M114),Tributos!$C$24)))</f>
        <v>0.06</v>
      </c>
      <c r="N115" s="108" t="n">
        <f aca="false">IF(Premissas!$B$16=3,Premissas!$B$17,IF(N114&gt;Premissas!$B$18,Premissas!$B$17,IFERROR(MAX(Tributos!$C$24,(INDEX(Tributos!$C$24:$C$29,MATCH(N114,Tributos!$B$24:$B$29,1))*N114-INDEX(Tributos!$D$24:$D$29,MATCH(N114,Tributos!$B$24:$B$29,1)))/N114),Tributos!$C$24)))</f>
        <v>0.0779583877659683</v>
      </c>
      <c r="O115" s="108" t="n">
        <f aca="false">IF(Premissas!$B$16=3,Premissas!$B$17,IF(O114&gt;Premissas!$B$18,Premissas!$B$17,IFERROR(MAX(Tributos!$C$24,(INDEX(Tributos!$C$24:$C$29,MATCH(O114,Tributos!$B$24:$B$29,1))*O114-INDEX(Tributos!$D$24:$D$29,MATCH(O114,Tributos!$B$24:$B$29,1)))/O114),Tributos!$C$24)))</f>
        <v>0.100742308111119</v>
      </c>
      <c r="P115" s="108" t="n">
        <f aca="false">IF(Premissas!$B$16=3,Premissas!$B$17,IF(P114&gt;Premissas!$B$18,Premissas!$B$17,IFERROR(MAX(Tributos!$C$24,(INDEX(Tributos!$C$24:$C$29,MATCH(P114,Tributos!$B$24:$B$29,1))*P114-INDEX(Tributos!$D$24:$D$29,MATCH(P114,Tributos!$B$24:$B$29,1)))/P114),Tributos!$C$24)))</f>
        <v>0.11655697701623</v>
      </c>
      <c r="Q115" s="108" t="n">
        <f aca="false">IF(Premissas!$B$16=3,Premissas!$B$17,IF(Q114&gt;Premissas!$B$18,Premissas!$B$17,IFERROR(MAX(Tributos!$C$24,(INDEX(Tributos!$C$24:$C$29,MATCH(Q114,Tributos!$B$24:$B$29,1))*Q114-INDEX(Tributos!$D$24:$D$29,MATCH(Q114,Tributos!$B$24:$B$29,1)))/Q114),Tributos!$C$24)))</f>
        <v>0.129993179298417</v>
      </c>
      <c r="R115" s="108" t="n">
        <f aca="false">IF(Premissas!$B$16=3,Premissas!$B$17,IF(R114&gt;Premissas!$B$18,Premissas!$B$17,IFERROR(MAX(Tributos!$C$24,(INDEX(Tributos!$C$24:$C$29,MATCH(R114,Tributos!$B$24:$B$29,1))*R114-INDEX(Tributos!$D$24:$D$29,MATCH(R114,Tributos!$B$24:$B$29,1)))/R114),Tributos!$C$24)))</f>
        <v>0.137912617342287</v>
      </c>
      <c r="S115" s="108" t="n">
        <f aca="false">IF(Premissas!$B$16=3,Premissas!$B$17,IF(S114&gt;Premissas!$B$18,Premissas!$B$17,IFERROR(MAX(Tributos!$C$24,(INDEX(Tributos!$C$24:$C$29,MATCH(S114,Tributos!$B$24:$B$29,1))*S114-INDEX(Tributos!$D$24:$D$29,MATCH(S114,Tributos!$B$24:$B$29,1)))/S114),Tributos!$C$24)))</f>
        <v>0.150020351864099</v>
      </c>
      <c r="T115" s="108" t="n">
        <f aca="false">IF(Premissas!$B$16=3,Premissas!$B$17,IF(T114&gt;Premissas!$B$18,Premissas!$B$17,IFERROR(MAX(Tributos!$C$24,(INDEX(Tributos!$C$24:$C$29,MATCH(T114,Tributos!$B$24:$B$29,1))*T114-INDEX(Tributos!$D$24:$D$29,MATCH(T114,Tributos!$B$24:$B$29,1)))/T114),Tributos!$C$24)))</f>
        <v>0.16219409660821</v>
      </c>
      <c r="U115" s="108" t="n">
        <f aca="false">IF(Premissas!$B$16=3,Premissas!$B$17,IF(U114&gt;Premissas!$B$18,Premissas!$B$17,IFERROR(MAX(Tributos!$C$24,(INDEX(Tributos!$C$24:$C$29,MATCH(U114,Tributos!$B$24:$B$29,1))*U114-INDEX(Tributos!$D$24:$D$29,MATCH(U114,Tributos!$B$24:$B$29,1)))/U114),Tributos!$C$24)))</f>
        <v>0.170870067963565</v>
      </c>
      <c r="V115" s="108" t="n">
        <f aca="false">IF(Premissas!$B$16=3,Premissas!$B$17,IF(V114&gt;Premissas!$B$18,Premissas!$B$17,IFERROR(MAX(Tributos!$C$24,(INDEX(Tributos!$C$24:$C$29,MATCH(V114,Tributos!$B$24:$B$29,1))*V114-INDEX(Tributos!$D$24:$D$29,MATCH(V114,Tributos!$B$24:$B$29,1)))/V114),Tributos!$C$24)))</f>
        <v>0.161262005318209</v>
      </c>
      <c r="W115" s="108" t="n">
        <f aca="false">IF(Premissas!$B$16=3,Premissas!$B$17,IF(W114&gt;Premissas!$B$18,Premissas!$B$17,IFERROR(MAX(Tributos!$C$24,(INDEX(Tributos!$C$24:$C$29,MATCH(W114,Tributos!$B$24:$B$29,1))*W114-INDEX(Tributos!$D$24:$D$29,MATCH(W114,Tributos!$B$24:$B$29,1)))/W114),Tributos!$C$24)))</f>
        <v>0.18643775244687</v>
      </c>
      <c r="X115" s="108" t="n">
        <f aca="false">IF(Premissas!$B$16=3,Premissas!$B$17,IF(X114&gt;Premissas!$B$18,Premissas!$B$17,IFERROR(MAX(Tributos!$C$24,(INDEX(Tributos!$C$24:$C$29,MATCH(X114,Tributos!$B$24:$B$29,1))*X114-INDEX(Tributos!$D$24:$D$29,MATCH(X114,Tributos!$B$24:$B$29,1)))/X114),Tributos!$C$24)))</f>
        <v>0.1633</v>
      </c>
      <c r="Y115" s="108" t="n">
        <f aca="false">IF(Premissas!$B$16=3,Premissas!$B$17,IF(Y114&gt;Premissas!$B$18,Premissas!$B$17,IFERROR(MAX(Tributos!$C$24,(INDEX(Tributos!$C$24:$C$29,MATCH(Y114,Tributos!$B$24:$B$29,1))*Y114-INDEX(Tributos!$D$24:$D$29,MATCH(Y114,Tributos!$B$24:$B$29,1)))/Y114),Tributos!$C$24)))</f>
        <v>0.1633</v>
      </c>
      <c r="Z115" s="108" t="n">
        <f aca="false">IF(Premissas!$B$16=3,Premissas!$B$17,IF(Z114&gt;Premissas!$B$18,Premissas!$B$17,IFERROR(MAX(Tributos!$C$24,(INDEX(Tributos!$C$24:$C$29,MATCH(Z114,Tributos!$B$24:$B$29,1))*Z114-INDEX(Tributos!$D$24:$D$29,MATCH(Z114,Tributos!$B$24:$B$29,1)))/Z114),Tributos!$C$24)))</f>
        <v>0.1633</v>
      </c>
      <c r="AA115" s="108" t="n">
        <f aca="false">IF(Premissas!$B$16=3,Premissas!$B$17,IF(AA114&gt;Premissas!$B$18,Premissas!$B$17,IFERROR(MAX(Tributos!$C$24,(INDEX(Tributos!$C$24:$C$29,MATCH(AA114,Tributos!$B$24:$B$29,1))*AA114-INDEX(Tributos!$D$24:$D$29,MATCH(AA114,Tributos!$B$24:$B$29,1)))/AA114),Tributos!$C$24)))</f>
        <v>0.1633</v>
      </c>
      <c r="AB115" s="108" t="n">
        <f aca="false">IF(Premissas!$B$16=3,Premissas!$B$17,IF(AB114&gt;Premissas!$B$18,Premissas!$B$17,IFERROR(MAX(Tributos!$C$24,(INDEX(Tributos!$C$24:$C$29,MATCH(AB114,Tributos!$B$24:$B$29,1))*AB114-INDEX(Tributos!$D$24:$D$29,MATCH(AB114,Tributos!$B$24:$B$29,1)))/AB114),Tributos!$C$24)))</f>
        <v>0.1633</v>
      </c>
      <c r="AC115" s="108" t="n">
        <f aca="false">IF(Premissas!$B$16=3,Premissas!$B$17,IF(AC114&gt;Premissas!$B$18,Premissas!$B$17,IFERROR(MAX(Tributos!$C$24,(INDEX(Tributos!$C$24:$C$29,MATCH(AC114,Tributos!$B$24:$B$29,1))*AC114-INDEX(Tributos!$D$24:$D$29,MATCH(AC114,Tributos!$B$24:$B$29,1)))/AC114),Tributos!$C$24)))</f>
        <v>0.1633</v>
      </c>
      <c r="AD115" s="108" t="n">
        <f aca="false">IF(Premissas!$B$16=3,Premissas!$B$17,IF(AD114&gt;Premissas!$B$18,Premissas!$B$17,IFERROR(MAX(Tributos!$C$24,(INDEX(Tributos!$C$24:$C$29,MATCH(AD114,Tributos!$B$24:$B$29,1))*AD114-INDEX(Tributos!$D$24:$D$29,MATCH(AD114,Tributos!$B$24:$B$29,1)))/AD114),Tributos!$C$24)))</f>
        <v>0.1633</v>
      </c>
      <c r="AE115" s="108" t="n">
        <f aca="false">IF(Premissas!$B$16=3,Premissas!$B$17,IF(AE114&gt;Premissas!$B$18,Premissas!$B$17,IFERROR(MAX(Tributos!$C$24,(INDEX(Tributos!$C$24:$C$29,MATCH(AE114,Tributos!$B$24:$B$29,1))*AE114-INDEX(Tributos!$D$24:$D$29,MATCH(AE114,Tributos!$B$24:$B$29,1)))/AE114),Tributos!$C$24)))</f>
        <v>0.1633</v>
      </c>
      <c r="AF115" s="108" t="n">
        <f aca="false">IF(Premissas!$B$16=3,Premissas!$B$17,IF(AF114&gt;Premissas!$B$18,Premissas!$B$17,IFERROR(MAX(Tributos!$C$24,(INDEX(Tributos!$C$24:$C$29,MATCH(AF114,Tributos!$B$24:$B$29,1))*AF114-INDEX(Tributos!$D$24:$D$29,MATCH(AF114,Tributos!$B$24:$B$29,1)))/AF114),Tributos!$C$24)))</f>
        <v>0.1633</v>
      </c>
      <c r="AG115" s="108" t="n">
        <f aca="false">IF(Premissas!$B$16=3,Premissas!$B$17,IF(AG114&gt;Premissas!$B$18,Premissas!$B$17,IFERROR(MAX(Tributos!$C$24,(INDEX(Tributos!$C$24:$C$29,MATCH(AG114,Tributos!$B$24:$B$29,1))*AG114-INDEX(Tributos!$D$24:$D$29,MATCH(AG114,Tributos!$B$24:$B$29,1)))/AG114),Tributos!$C$24)))</f>
        <v>0.1633</v>
      </c>
      <c r="AH115" s="108" t="n">
        <f aca="false">IF(Premissas!$B$16=3,Premissas!$B$17,IF(AH114&gt;Premissas!$B$18,Premissas!$B$17,IFERROR(MAX(Tributos!$C$24,(INDEX(Tributos!$C$24:$C$29,MATCH(AH114,Tributos!$B$24:$B$29,1))*AH114-INDEX(Tributos!$D$24:$D$29,MATCH(AH114,Tributos!$B$24:$B$29,1)))/AH114),Tributos!$C$24)))</f>
        <v>0.1633</v>
      </c>
      <c r="AI115" s="108" t="n">
        <f aca="false">IF(Premissas!$B$16=3,Premissas!$B$17,IF(AI114&gt;Premissas!$B$18,Premissas!$B$17,IFERROR(MAX(Tributos!$C$24,(INDEX(Tributos!$C$24:$C$29,MATCH(AI114,Tributos!$B$24:$B$29,1))*AI114-INDEX(Tributos!$D$24:$D$29,MATCH(AI114,Tributos!$B$24:$B$29,1)))/AI114),Tributos!$C$24)))</f>
        <v>0.1633</v>
      </c>
      <c r="AJ115" s="108" t="n">
        <f aca="false">IF(Premissas!$B$16=3,Premissas!$B$17,IF(AJ114&gt;Premissas!$B$18,Premissas!$B$17,IFERROR(MAX(Tributos!$C$24,(INDEX(Tributos!$C$24:$C$29,MATCH(AJ114,Tributos!$B$24:$B$29,1))*AJ114-INDEX(Tributos!$D$24:$D$29,MATCH(AJ114,Tributos!$B$24:$B$29,1)))/AJ114),Tributos!$C$24)))</f>
        <v>0.1633</v>
      </c>
      <c r="AK115" s="108" t="n">
        <f aca="false">IF(Premissas!$B$16=3,Premissas!$B$17,IF(AK114&gt;Premissas!$B$18,Premissas!$B$17,IFERROR(MAX(Tributos!$C$24,(INDEX(Tributos!$C$24:$C$29,MATCH(AK114,Tributos!$B$24:$B$29,1))*AK114-INDEX(Tributos!$D$24:$D$29,MATCH(AK114,Tributos!$B$24:$B$29,1)))/AK114),Tributos!$C$24)))</f>
        <v>0.1633</v>
      </c>
      <c r="AL115" s="108" t="n">
        <f aca="false">IF(Premissas!$B$16=3,Premissas!$B$17,IF(AL114&gt;Premissas!$B$18,Premissas!$B$17,IFERROR(MAX(Tributos!$C$24,(INDEX(Tributos!$C$24:$C$29,MATCH(AL114,Tributos!$B$24:$B$29,1))*AL114-INDEX(Tributos!$D$24:$D$29,MATCH(AL114,Tributos!$B$24:$B$29,1)))/AL114),Tributos!$C$24)))</f>
        <v>0.1633</v>
      </c>
      <c r="AM115" s="108" t="n">
        <f aca="false">IF(Premissas!$B$16=3,Premissas!$B$17,IF(AM114&gt;Premissas!$B$18,Premissas!$B$17,IFERROR(MAX(Tributos!$C$24,(INDEX(Tributos!$C$24:$C$29,MATCH(AM114,Tributos!$B$24:$B$29,1))*AM114-INDEX(Tributos!$D$24:$D$29,MATCH(AM114,Tributos!$B$24:$B$29,1)))/AM114),Tributos!$C$24)))</f>
        <v>0.1633</v>
      </c>
      <c r="AN115" s="108" t="n">
        <f aca="false">IF(Premissas!$B$16=3,Premissas!$B$17,IF(AN114&gt;Premissas!$B$18,Premissas!$B$17,IFERROR(MAX(Tributos!$C$24,(INDEX(Tributos!$C$24:$C$29,MATCH(AN114,Tributos!$B$24:$B$29,1))*AN114-INDEX(Tributos!$D$24:$D$29,MATCH(AN114,Tributos!$B$24:$B$29,1)))/AN114),Tributos!$C$24)))</f>
        <v>0.1633</v>
      </c>
      <c r="AO115" s="108" t="n">
        <f aca="false">IF(Premissas!$B$16=3,Premissas!$B$17,IF(AO114&gt;Premissas!$B$18,Premissas!$B$17,IFERROR(MAX(Tributos!$C$24,(INDEX(Tributos!$C$24:$C$29,MATCH(AO114,Tributos!$B$24:$B$29,1))*AO114-INDEX(Tributos!$D$24:$D$29,MATCH(AO114,Tributos!$B$24:$B$29,1)))/AO114),Tributos!$C$24)))</f>
        <v>0.1633</v>
      </c>
      <c r="AP115" s="108" t="n">
        <f aca="false">IF(Premissas!$B$16=3,Premissas!$B$17,IF(AP114&gt;Premissas!$B$18,Premissas!$B$17,IFERROR(MAX(Tributos!$C$24,(INDEX(Tributos!$C$24:$C$29,MATCH(AP114,Tributos!$B$24:$B$29,1))*AP114-INDEX(Tributos!$D$24:$D$29,MATCH(AP114,Tributos!$B$24:$B$29,1)))/AP114),Tributos!$C$24)))</f>
        <v>0.1633</v>
      </c>
      <c r="AQ115" s="108" t="n">
        <f aca="false">IF(Premissas!$B$16=3,Premissas!$B$17,IF(AQ114&gt;Premissas!$B$18,Premissas!$B$17,IFERROR(MAX(Tributos!$C$24,(INDEX(Tributos!$C$24:$C$29,MATCH(AQ114,Tributos!$B$24:$B$29,1))*AQ114-INDEX(Tributos!$D$24:$D$29,MATCH(AQ114,Tributos!$B$24:$B$29,1)))/AQ114),Tributos!$C$24)))</f>
        <v>0.1633</v>
      </c>
      <c r="AR115" s="108" t="n">
        <f aca="false">IF(Premissas!$B$16=3,Premissas!$B$17,IF(AR114&gt;Premissas!$B$18,Premissas!$B$17,IFERROR(MAX(Tributos!$C$24,(INDEX(Tributos!$C$24:$C$29,MATCH(AR114,Tributos!$B$24:$B$29,1))*AR114-INDEX(Tributos!$D$24:$D$29,MATCH(AR114,Tributos!$B$24:$B$29,1)))/AR114),Tributos!$C$24)))</f>
        <v>0.1633</v>
      </c>
      <c r="AS115" s="108" t="n">
        <f aca="false">IF(Premissas!$B$16=3,Premissas!$B$17,IF(AS114&gt;Premissas!$B$18,Premissas!$B$17,IFERROR(MAX(Tributos!$C$24,(INDEX(Tributos!$C$24:$C$29,MATCH(AS114,Tributos!$B$24:$B$29,1))*AS114-INDEX(Tributos!$D$24:$D$29,MATCH(AS114,Tributos!$B$24:$B$29,1)))/AS114),Tributos!$C$24)))</f>
        <v>0.1633</v>
      </c>
      <c r="AT115" s="108" t="n">
        <f aca="false">IF(Premissas!$B$16=3,Premissas!$B$17,IF(AT114&gt;Premissas!$B$18,Premissas!$B$17,IFERROR(MAX(Tributos!$C$24,(INDEX(Tributos!$C$24:$C$29,MATCH(AT114,Tributos!$B$24:$B$29,1))*AT114-INDEX(Tributos!$D$24:$D$29,MATCH(AT114,Tributos!$B$24:$B$29,1)))/AT114),Tributos!$C$24)))</f>
        <v>0.1633</v>
      </c>
      <c r="AU115" s="108" t="n">
        <f aca="false">IF(Premissas!$B$16=3,Premissas!$B$17,IF(AU114&gt;Premissas!$B$18,Premissas!$B$17,IFERROR(MAX(Tributos!$C$24,(INDEX(Tributos!$C$24:$C$29,MATCH(AU114,Tributos!$B$24:$B$29,1))*AU114-INDEX(Tributos!$D$24:$D$29,MATCH(AU114,Tributos!$B$24:$B$29,1)))/AU114),Tributos!$C$24)))</f>
        <v>0.1633</v>
      </c>
      <c r="AV115" s="108" t="n">
        <f aca="false">IF(Premissas!$B$16=3,Premissas!$B$17,IF(AV114&gt;Premissas!$B$18,Premissas!$B$17,IFERROR(MAX(Tributos!$C$24,(INDEX(Tributos!$C$24:$C$29,MATCH(AV114,Tributos!$B$24:$B$29,1))*AV114-INDEX(Tributos!$D$24:$D$29,MATCH(AV114,Tributos!$B$24:$B$29,1)))/AV114),Tributos!$C$24)))</f>
        <v>0.1633</v>
      </c>
      <c r="AW115" s="108" t="n">
        <f aca="false">IF(Premissas!$B$16=3,Premissas!$B$17,IF(AW114&gt;Premissas!$B$18,Premissas!$B$17,IFERROR(MAX(Tributos!$C$24,(INDEX(Tributos!$C$24:$C$29,MATCH(AW114,Tributos!$B$24:$B$29,1))*AW114-INDEX(Tributos!$D$24:$D$29,MATCH(AW114,Tributos!$B$24:$B$29,1)))/AW114),Tributos!$C$24)))</f>
        <v>0.1633</v>
      </c>
      <c r="AX115" s="108" t="n">
        <f aca="false">IF(Premissas!$B$16=3,Premissas!$B$17,IF(AX114&gt;Premissas!$B$18,Premissas!$B$17,IFERROR(MAX(Tributos!$C$24,(INDEX(Tributos!$C$24:$C$29,MATCH(AX114,Tributos!$B$24:$B$29,1))*AX114-INDEX(Tributos!$D$24:$D$29,MATCH(AX114,Tributos!$B$24:$B$29,1)))/AX114),Tributos!$C$24)))</f>
        <v>0.1633</v>
      </c>
      <c r="AY115" s="108" t="n">
        <f aca="false">IF(Premissas!$B$16=3,Premissas!$B$17,IF(AY114&gt;Premissas!$B$18,Premissas!$B$17,IFERROR(MAX(Tributos!$C$24,(INDEX(Tributos!$C$24:$C$29,MATCH(AY114,Tributos!$B$24:$B$29,1))*AY114-INDEX(Tributos!$D$24:$D$29,MATCH(AY114,Tributos!$B$24:$B$29,1)))/AY114),Tributos!$C$24)))</f>
        <v>0.1633</v>
      </c>
      <c r="AZ115" s="108" t="n">
        <f aca="false">IF(Premissas!$B$16=3,Premissas!$B$17,IF(AZ114&gt;Premissas!$B$18,Premissas!$B$17,IFERROR(MAX(Tributos!$C$24,(INDEX(Tributos!$C$24:$C$29,MATCH(AZ114,Tributos!$B$24:$B$29,1))*AZ114-INDEX(Tributos!$D$24:$D$29,MATCH(AZ114,Tributos!$B$24:$B$29,1)))/AZ114),Tributos!$C$24)))</f>
        <v>0.1633</v>
      </c>
      <c r="BA115" s="108" t="n">
        <f aca="false">IF(Premissas!$B$16=3,Premissas!$B$17,IF(BA114&gt;Premissas!$B$18,Premissas!$B$17,IFERROR(MAX(Tributos!$C$24,(INDEX(Tributos!$C$24:$C$29,MATCH(BA114,Tributos!$B$24:$B$29,1))*BA114-INDEX(Tributos!$D$24:$D$29,MATCH(BA114,Tributos!$B$24:$B$29,1)))/BA114),Tributos!$C$24)))</f>
        <v>0.1633</v>
      </c>
      <c r="BB115" s="108" t="n">
        <f aca="false">IF(Premissas!$B$16=3,Premissas!$B$17,IF(BB114&gt;Premissas!$B$18,Premissas!$B$17,IFERROR(MAX(Tributos!$C$24,(INDEX(Tributos!$C$24:$C$29,MATCH(BB114,Tributos!$B$24:$B$29,1))*BB114-INDEX(Tributos!$D$24:$D$29,MATCH(BB114,Tributos!$B$24:$B$29,1)))/BB114),Tributos!$C$24)))</f>
        <v>0.1633</v>
      </c>
      <c r="BC115" s="108" t="n">
        <f aca="false">IF(Premissas!$B$16=3,Premissas!$B$17,IF(BC114&gt;Premissas!$B$18,Premissas!$B$17,IFERROR(MAX(Tributos!$C$24,(INDEX(Tributos!$C$24:$C$29,MATCH(BC114,Tributos!$B$24:$B$29,1))*BC114-INDEX(Tributos!$D$24:$D$29,MATCH(BC114,Tributos!$B$24:$B$29,1)))/BC114),Tributos!$C$24)))</f>
        <v>0.1633</v>
      </c>
      <c r="BD115" s="108" t="n">
        <f aca="false">IF(Premissas!$B$16=3,Premissas!$B$17,IF(BD114&gt;Premissas!$B$18,Premissas!$B$17,IFERROR(MAX(Tributos!$C$24,(INDEX(Tributos!$C$24:$C$29,MATCH(BD114,Tributos!$B$24:$B$29,1))*BD114-INDEX(Tributos!$D$24:$D$29,MATCH(BD114,Tributos!$B$24:$B$29,1)))/BD114),Tributos!$C$24)))</f>
        <v>0.1633</v>
      </c>
      <c r="BE115" s="108" t="n">
        <f aca="false">IF(Premissas!$B$16=3,Premissas!$B$17,IF(BE114&gt;Premissas!$B$18,Premissas!$B$17,IFERROR(MAX(Tributos!$C$24,(INDEX(Tributos!$C$24:$C$29,MATCH(BE114,Tributos!$B$24:$B$29,1))*BE114-INDEX(Tributos!$D$24:$D$29,MATCH(BE114,Tributos!$B$24:$B$29,1)))/BE114),Tributos!$C$24)))</f>
        <v>0.1633</v>
      </c>
      <c r="BF115" s="108" t="n">
        <f aca="false">IF(Premissas!$B$16=3,Premissas!$B$17,IF(BF114&gt;Premissas!$B$18,Premissas!$B$17,IFERROR(MAX(Tributos!$C$24,(INDEX(Tributos!$C$24:$C$29,MATCH(BF114,Tributos!$B$24:$B$29,1))*BF114-INDEX(Tributos!$D$24:$D$29,MATCH(BF114,Tributos!$B$24:$B$29,1)))/BF114),Tributos!$C$24)))</f>
        <v>0.1633</v>
      </c>
      <c r="BG115" s="108" t="n">
        <f aca="false">IF(Premissas!$B$16=3,Premissas!$B$17,IF(BG114&gt;Premissas!$B$18,Premissas!$B$17,IFERROR(MAX(Tributos!$C$24,(INDEX(Tributos!$C$24:$C$29,MATCH(BG114,Tributos!$B$24:$B$29,1))*BG114-INDEX(Tributos!$D$24:$D$29,MATCH(BG114,Tributos!$B$24:$B$29,1)))/BG114),Tributos!$C$24)))</f>
        <v>0.1633</v>
      </c>
      <c r="BH115" s="108" t="n">
        <f aca="false">IF(Premissas!$B$16=3,Premissas!$B$17,IF(BH114&gt;Premissas!$B$18,Premissas!$B$17,IFERROR(MAX(Tributos!$C$24,(INDEX(Tributos!$C$24:$C$29,MATCH(BH114,Tributos!$B$24:$B$29,1))*BH114-INDEX(Tributos!$D$24:$D$29,MATCH(BH114,Tributos!$B$24:$B$29,1)))/BH114),Tributos!$C$24)))</f>
        <v>0.1633</v>
      </c>
      <c r="BI115" s="108" t="n">
        <f aca="false">IF(Premissas!$B$16=3,Premissas!$B$17,IF(BI114&gt;Premissas!$B$18,Premissas!$B$17,IFERROR(MAX(Tributos!$C$24,(INDEX(Tributos!$C$24:$C$29,MATCH(BI114,Tributos!$B$24:$B$29,1))*BI114-INDEX(Tributos!$D$24:$D$29,MATCH(BI114,Tributos!$B$24:$B$29,1)))/BI114),Tributos!$C$24)))</f>
        <v>0.1633</v>
      </c>
      <c r="BJ115" s="109" t="n">
        <f aca="false">IFERROR(-BJ116/BJ113,0)</f>
        <v>0.162698473513945</v>
      </c>
      <c r="BK115" s="14" t="s">
        <v>353</v>
      </c>
    </row>
    <row r="116" customFormat="false" ht="15" hidden="false" customHeight="false" outlineLevel="0" collapsed="false">
      <c r="A116" s="12" t="s">
        <v>236</v>
      </c>
      <c r="B116" s="84" t="n">
        <f aca="false">-B113*B115</f>
        <v>-0</v>
      </c>
      <c r="C116" s="84" t="n">
        <f aca="false">-C113*C115</f>
        <v>-0</v>
      </c>
      <c r="D116" s="84" t="n">
        <f aca="false">-D113*D115</f>
        <v>-0</v>
      </c>
      <c r="E116" s="84" t="n">
        <f aca="false">-E113*E115</f>
        <v>-0</v>
      </c>
      <c r="F116" s="84" t="n">
        <f aca="false">-F113*F115</f>
        <v>-0</v>
      </c>
      <c r="G116" s="84" t="n">
        <f aca="false">-G113*G115</f>
        <v>-0</v>
      </c>
      <c r="H116" s="84" t="n">
        <f aca="false">-H113*H115</f>
        <v>-0</v>
      </c>
      <c r="I116" s="84" t="n">
        <f aca="false">-I113*I115</f>
        <v>-0</v>
      </c>
      <c r="J116" s="84" t="n">
        <f aca="false">-J113*J115</f>
        <v>-0</v>
      </c>
      <c r="K116" s="84" t="n">
        <f aca="false">-K113*K115</f>
        <v>-2860.956</v>
      </c>
      <c r="L116" s="84" t="n">
        <f aca="false">-L113*L115</f>
        <v>-5553.354</v>
      </c>
      <c r="M116" s="84" t="n">
        <f aca="false">-M113*M115</f>
        <v>-8083.146</v>
      </c>
      <c r="N116" s="84" t="n">
        <f aca="false">-N113*N115</f>
        <v>-18707.1484879958</v>
      </c>
      <c r="O116" s="84" t="n">
        <f aca="false">-O113*O115</f>
        <v>-30773.1527780367</v>
      </c>
      <c r="P116" s="84" t="n">
        <f aca="false">-P113*P115</f>
        <v>-42816.6300810916</v>
      </c>
      <c r="Q116" s="84" t="n">
        <f aca="false">-Q113*Q115</f>
        <v>-55359.0193133814</v>
      </c>
      <c r="R116" s="84" t="n">
        <f aca="false">-R113*R115</f>
        <v>-66352.4640808871</v>
      </c>
      <c r="S116" s="84" t="n">
        <f aca="false">-S113*S115</f>
        <v>-80023.3734777013</v>
      </c>
      <c r="T116" s="84" t="n">
        <f aca="false">-T113*T115</f>
        <v>-94512.7624865877</v>
      </c>
      <c r="U116" s="84" t="n">
        <f aca="false">-U113*U115</f>
        <v>-107551.080821521</v>
      </c>
      <c r="V116" s="84" t="n">
        <f aca="false">-V113*V115</f>
        <v>-108601.618403373</v>
      </c>
      <c r="W116" s="84" t="n">
        <f aca="false">-W113*W115</f>
        <v>-133329.368128606</v>
      </c>
      <c r="X116" s="84" t="n">
        <f aca="false">-X113*X115</f>
        <v>-123218.990678092</v>
      </c>
      <c r="Y116" s="84" t="n">
        <f aca="false">-Y113*Y115</f>
        <v>-129283.670685654</v>
      </c>
      <c r="Z116" s="84" t="n">
        <f aca="false">-Z113*Z115</f>
        <v>-176904.532118087</v>
      </c>
      <c r="AA116" s="84" t="n">
        <f aca="false">-AA113*AA115</f>
        <v>-199437.588305427</v>
      </c>
      <c r="AB116" s="84" t="n">
        <f aca="false">-AB113*AB115</f>
        <v>-220848.101244844</v>
      </c>
      <c r="AC116" s="84" t="n">
        <f aca="false">-AC113*AC115</f>
        <v>-241176.851218377</v>
      </c>
      <c r="AD116" s="84" t="n">
        <f aca="false">-AD113*AD115</f>
        <v>-260500.214659717</v>
      </c>
      <c r="AE116" s="84" t="n">
        <f aca="false">-AE113*AE115</f>
        <v>-278851.704334789</v>
      </c>
      <c r="AF116" s="84" t="n">
        <f aca="false">-AF113*AF115</f>
        <v>-296293.304557585</v>
      </c>
      <c r="AG116" s="84" t="n">
        <f aca="false">-AG113*AG115</f>
        <v>-312851.205829088</v>
      </c>
      <c r="AH116" s="84" t="n">
        <f aca="false">-AH113*AH115</f>
        <v>-328594.433251396</v>
      </c>
      <c r="AI116" s="84" t="n">
        <f aca="false">-AI113*AI115</f>
        <v>-343541.923524337</v>
      </c>
      <c r="AJ116" s="84" t="n">
        <f aca="false">-AJ113*AJ115</f>
        <v>-357741.15299505</v>
      </c>
      <c r="AK116" s="84" t="n">
        <f aca="false">-AK113*AK115</f>
        <v>-371225.253055987</v>
      </c>
      <c r="AL116" s="84" t="n">
        <f aca="false">-AL113*AL115</f>
        <v>-474151.884524405</v>
      </c>
      <c r="AM116" s="84" t="n">
        <f aca="false">-AM113*AM115</f>
        <v>-508572.000544199</v>
      </c>
      <c r="AN116" s="84" t="n">
        <f aca="false">-AN113*AN115</f>
        <v>-541336.402397564</v>
      </c>
      <c r="AO116" s="84" t="n">
        <f aca="false">-AO113*AO115</f>
        <v>-572511.555176015</v>
      </c>
      <c r="AP116" s="84" t="n">
        <f aca="false">-AP113*AP115</f>
        <v>-602204.705812884</v>
      </c>
      <c r="AQ116" s="84" t="n">
        <f aca="false">-AQ113*AQ115</f>
        <v>-630467.136572346</v>
      </c>
      <c r="AR116" s="84" t="n">
        <f aca="false">-AR113*AR115</f>
        <v>-657372.328559427</v>
      </c>
      <c r="AS116" s="84" t="n">
        <f aca="false">-AS113*AS115</f>
        <v>-682986.13364738</v>
      </c>
      <c r="AT116" s="84" t="n">
        <f aca="false">-AT113*AT115</f>
        <v>-707366.930177108</v>
      </c>
      <c r="AU116" s="84" t="n">
        <f aca="false">-AU113*AU115</f>
        <v>-730587.767925473</v>
      </c>
      <c r="AV116" s="84" t="n">
        <f aca="false">-AV113*AV115</f>
        <v>-752684.419045763</v>
      </c>
      <c r="AW116" s="84" t="n">
        <f aca="false">-AW113*AW115</f>
        <v>-773726.029982797</v>
      </c>
      <c r="AX116" s="84" t="n">
        <f aca="false">-AX113*AX115</f>
        <v>-998138.900942839</v>
      </c>
      <c r="AY116" s="84" t="n">
        <f aca="false">-AY113*AY115</f>
        <v>-1048378.21164646</v>
      </c>
      <c r="AZ116" s="84" t="n">
        <f aca="false">-AZ113*AZ115</f>
        <v>-1096349.86537782</v>
      </c>
      <c r="BA116" s="84" t="n">
        <f aca="false">-BA113*BA115</f>
        <v>-1142159.22221739</v>
      </c>
      <c r="BB116" s="84" t="n">
        <f aca="false">-BB113*BB115</f>
        <v>-1185911.40670177</v>
      </c>
      <c r="BC116" s="84" t="n">
        <f aca="false">-BC113*BC115</f>
        <v>-1227695.85445049</v>
      </c>
      <c r="BD116" s="84" t="n">
        <f aca="false">-BD113*BD115</f>
        <v>-1267593.97382946</v>
      </c>
      <c r="BE116" s="84" t="n">
        <f aca="false">-BE113*BE115</f>
        <v>-1305694.84992544</v>
      </c>
      <c r="BF116" s="84" t="n">
        <f aca="false">-BF113*BF115</f>
        <v>-1342087.38482469</v>
      </c>
      <c r="BG116" s="84" t="n">
        <f aca="false">-BG113*BG115</f>
        <v>-1376852.59333546</v>
      </c>
      <c r="BH116" s="84" t="n">
        <f aca="false">-BH113*BH115</f>
        <v>-1410036.24928619</v>
      </c>
      <c r="BI116" s="84" t="n">
        <f aca="false">-BI113*BI115</f>
        <v>-1441726.84597329</v>
      </c>
      <c r="BJ116" s="69" t="n">
        <f aca="false">SUM(B116:BI116)</f>
        <v>-26871585.6533943</v>
      </c>
    </row>
    <row r="117" customFormat="false" ht="15" hidden="false" customHeight="false" outlineLevel="0" collapsed="false">
      <c r="A117" s="12" t="s">
        <v>204</v>
      </c>
      <c r="B117" s="84" t="n">
        <f aca="false">-B110*Premissas!$B$53*INDEX(Premissas!$C$54:$G$54,B$7)</f>
        <v>-0</v>
      </c>
      <c r="C117" s="84" t="n">
        <f aca="false">-C110*Premissas!$B$53*INDEX(Premissas!$C$54:$G$54,C$7)</f>
        <v>-0</v>
      </c>
      <c r="D117" s="84" t="n">
        <f aca="false">-D110*Premissas!$B$53*INDEX(Premissas!$C$54:$G$54,D$7)</f>
        <v>-0</v>
      </c>
      <c r="E117" s="84" t="n">
        <f aca="false">-E110*Premissas!$B$53*INDEX(Premissas!$C$54:$G$54,E$7)</f>
        <v>-0</v>
      </c>
      <c r="F117" s="84" t="n">
        <f aca="false">-F110*Premissas!$B$53*INDEX(Premissas!$C$54:$G$54,F$7)</f>
        <v>-0</v>
      </c>
      <c r="G117" s="84" t="n">
        <f aca="false">-G110*Premissas!$B$53*INDEX(Premissas!$C$54:$G$54,G$7)</f>
        <v>-0</v>
      </c>
      <c r="H117" s="84" t="n">
        <f aca="false">-H110*Premissas!$B$53*INDEX(Premissas!$C$54:$G$54,H$7)</f>
        <v>-0</v>
      </c>
      <c r="I117" s="84" t="n">
        <f aca="false">-I110*Premissas!$B$53*INDEX(Premissas!$C$54:$G$54,I$7)</f>
        <v>-0</v>
      </c>
      <c r="J117" s="84" t="n">
        <f aca="false">-J110*Premissas!$B$53*INDEX(Premissas!$C$54:$G$54,J$7)</f>
        <v>-0</v>
      </c>
      <c r="K117" s="84" t="n">
        <f aca="false">-K110*Premissas!$B$53*INDEX(Premissas!$C$54:$G$54,K$7)</f>
        <v>-6079.5315</v>
      </c>
      <c r="L117" s="84" t="n">
        <f aca="false">-L110*Premissas!$B$53*INDEX(Premissas!$C$54:$G$54,L$7)</f>
        <v>-11800.87725</v>
      </c>
      <c r="M117" s="84" t="n">
        <f aca="false">-M110*Premissas!$B$53*INDEX(Premissas!$C$54:$G$54,M$7)</f>
        <v>-17176.68525</v>
      </c>
      <c r="N117" s="84" t="n">
        <f aca="false">-N110*Premissas!$B$53*INDEX(Premissas!$C$54:$G$54,N$7)</f>
        <v>-28161.71754</v>
      </c>
      <c r="O117" s="84" t="n">
        <f aca="false">-O110*Premissas!$B$53*INDEX(Premissas!$C$54:$G$54,O$7)</f>
        <v>-35848.77516</v>
      </c>
      <c r="P117" s="84" t="n">
        <f aca="false">-P110*Premissas!$B$53*INDEX(Premissas!$C$54:$G$54,P$7)</f>
        <v>-43110.97758</v>
      </c>
      <c r="Q117" s="84" t="n">
        <f aca="false">-Q110*Premissas!$B$53*INDEX(Premissas!$C$54:$G$54,Q$7)</f>
        <v>-49978.3581</v>
      </c>
      <c r="R117" s="84" t="n">
        <f aca="false">-R110*Premissas!$B$53*INDEX(Premissas!$C$54:$G$54,R$7)</f>
        <v>-56463.36894</v>
      </c>
      <c r="S117" s="84" t="n">
        <f aca="false">-S110*Premissas!$B$53*INDEX(Premissas!$C$54:$G$54,S$7)</f>
        <v>-62601.03432</v>
      </c>
      <c r="T117" s="84" t="n">
        <f aca="false">-T110*Premissas!$B$53*INDEX(Premissas!$C$54:$G$54,T$7)</f>
        <v>-68386.28808</v>
      </c>
      <c r="U117" s="84" t="n">
        <f aca="false">-U110*Premissas!$B$53*INDEX(Premissas!$C$54:$G$54,U$7)</f>
        <v>-73869.21498</v>
      </c>
      <c r="V117" s="84" t="n">
        <f aca="false">-V110*Premissas!$B$53*INDEX(Premissas!$C$54:$G$54,V$7)</f>
        <v>-79034.71686</v>
      </c>
      <c r="W117" s="84" t="n">
        <f aca="false">-W110*Premissas!$B$53*INDEX(Premissas!$C$54:$G$54,W$7)</f>
        <v>-83927.84994</v>
      </c>
      <c r="X117" s="84" t="n">
        <f aca="false">-X110*Premissas!$B$53*INDEX(Premissas!$C$54:$G$54,X$7)</f>
        <v>-88553.5926</v>
      </c>
      <c r="Y117" s="84" t="n">
        <f aca="false">-Y110*Premissas!$B$53*INDEX(Premissas!$C$54:$G$54,Y$7)</f>
        <v>-92911.90722</v>
      </c>
      <c r="Z117" s="84" t="n">
        <f aca="false">-Z110*Premissas!$B$53*INDEX(Premissas!$C$54:$G$54,Z$7)</f>
        <v>-118098.580650187</v>
      </c>
      <c r="AA117" s="84" t="n">
        <f aca="false">-AA110*Premissas!$B$53*INDEX(Premissas!$C$54:$G$54,AA$7)</f>
        <v>-133141.280991469</v>
      </c>
      <c r="AB117" s="84" t="n">
        <f aca="false">-AB110*Premissas!$B$53*INDEX(Premissas!$C$54:$G$54,AB$7)</f>
        <v>-147434.67745875</v>
      </c>
      <c r="AC117" s="84" t="n">
        <f aca="false">-AC110*Premissas!$B$53*INDEX(Premissas!$C$54:$G$54,AC$7)</f>
        <v>-161005.662532687</v>
      </c>
      <c r="AD117" s="84" t="n">
        <f aca="false">-AD110*Premissas!$B$53*INDEX(Premissas!$C$54:$G$54,AD$7)</f>
        <v>-173905.711541719</v>
      </c>
      <c r="AE117" s="84" t="n">
        <f aca="false">-AE110*Premissas!$B$53*INDEX(Premissas!$C$54:$G$54,AE$7)</f>
        <v>-186156.827424562</v>
      </c>
      <c r="AF117" s="84" t="n">
        <f aca="false">-AF110*Premissas!$B$53*INDEX(Premissas!$C$54:$G$54,AF$7)</f>
        <v>-197800.681855219</v>
      </c>
      <c r="AG117" s="84" t="n">
        <f aca="false">-AG110*Premissas!$B$53*INDEX(Premissas!$C$54:$G$54,AG$7)</f>
        <v>-208854.339089344</v>
      </c>
      <c r="AH117" s="84" t="n">
        <f aca="false">-AH110*Premissas!$B$53*INDEX(Premissas!$C$54:$G$54,AH$7)</f>
        <v>-219364.421769281</v>
      </c>
      <c r="AI117" s="84" t="n">
        <f aca="false">-AI110*Premissas!$B$53*INDEX(Premissas!$C$54:$G$54,AI$7)</f>
        <v>-229343.092323469</v>
      </c>
      <c r="AJ117" s="84" t="n">
        <f aca="false">-AJ110*Premissas!$B$53*INDEX(Premissas!$C$54:$G$54,AJ$7)</f>
        <v>-238822.218771469</v>
      </c>
      <c r="AK117" s="84" t="n">
        <f aca="false">-AK110*Premissas!$B$53*INDEX(Premissas!$C$54:$G$54,AK$7)</f>
        <v>-247823.828622562</v>
      </c>
      <c r="AL117" s="84" t="n">
        <f aca="false">-AL110*Premissas!$B$53*INDEX(Premissas!$C$54:$G$54,AL$7)</f>
        <v>-300417.171060387</v>
      </c>
      <c r="AM117" s="84" t="n">
        <f aca="false">-AM110*Premissas!$B$53*INDEX(Premissas!$C$54:$G$54,AM$7)</f>
        <v>-322225.688303942</v>
      </c>
      <c r="AN117" s="84" t="n">
        <f aca="false">-AN110*Premissas!$B$53*INDEX(Premissas!$C$54:$G$54,AN$7)</f>
        <v>-342985.04982129</v>
      </c>
      <c r="AO117" s="84" t="n">
        <f aca="false">-AO110*Premissas!$B$53*INDEX(Premissas!$C$54:$G$54,AO$7)</f>
        <v>-362737.01133741</v>
      </c>
      <c r="AP117" s="84" t="n">
        <f aca="false">-AP110*Premissas!$B$53*INDEX(Premissas!$C$54:$G$54,AP$7)</f>
        <v>-381550.405710632</v>
      </c>
      <c r="AQ117" s="84" t="n">
        <f aca="false">-AQ110*Premissas!$B$53*INDEX(Premissas!$C$54:$G$54,AQ$7)</f>
        <v>-399457.153639803</v>
      </c>
      <c r="AR117" s="84" t="n">
        <f aca="false">-AR110*Premissas!$B$53*INDEX(Premissas!$C$54:$G$54,AR$7)</f>
        <v>-416503.953012158</v>
      </c>
      <c r="AS117" s="84" t="n">
        <f aca="false">-AS110*Premissas!$B$53*INDEX(Premissas!$C$54:$G$54,AS$7)</f>
        <v>-432732.547228083</v>
      </c>
      <c r="AT117" s="84" t="n">
        <f aca="false">-AT110*Premissas!$B$53*INDEX(Premissas!$C$54:$G$54,AT$7)</f>
        <v>-448179.823797869</v>
      </c>
      <c r="AU117" s="84" t="n">
        <f aca="false">-AU110*Premissas!$B$53*INDEX(Premissas!$C$54:$G$54,AU$7)</f>
        <v>-462892.455959561</v>
      </c>
      <c r="AV117" s="84" t="n">
        <f aca="false">-AV110*Premissas!$B$53*INDEX(Premissas!$C$54:$G$54,AV$7)</f>
        <v>-476892.541710471</v>
      </c>
      <c r="AW117" s="84" t="n">
        <f aca="false">-AW110*Premissas!$B$53*INDEX(Premissas!$C$54:$G$54,AW$7)</f>
        <v>-490224.326343597</v>
      </c>
      <c r="AX117" s="84" t="n">
        <f aca="false">-AX110*Premissas!$B$53*INDEX(Premissas!$C$54:$G$54,AX$7)</f>
        <v>-614226.815289328</v>
      </c>
      <c r="AY117" s="84" t="n">
        <f aca="false">-AY110*Premissas!$B$53*INDEX(Premissas!$C$54:$G$54,AY$7)</f>
        <v>-645142.902344941</v>
      </c>
      <c r="AZ117" s="84" t="n">
        <f aca="false">-AZ110*Premissas!$B$53*INDEX(Premissas!$C$54:$G$54,AZ$7)</f>
        <v>-674663.33658524</v>
      </c>
      <c r="BA117" s="84" t="n">
        <f aca="false">-BA110*Premissas!$B$53*INDEX(Premissas!$C$54:$G$54,BA$7)</f>
        <v>-702853.054225583</v>
      </c>
      <c r="BB117" s="84" t="n">
        <f aca="false">-BB110*Premissas!$B$53*INDEX(Premissas!$C$54:$G$54,BB$7)</f>
        <v>-729776.966438442</v>
      </c>
      <c r="BC117" s="84" t="n">
        <f aca="false">-BC110*Premissas!$B$53*INDEX(Premissas!$C$54:$G$54,BC$7)</f>
        <v>-755490.017325819</v>
      </c>
      <c r="BD117" s="84" t="n">
        <f aca="false">-BD110*Premissas!$B$53*INDEX(Premissas!$C$54:$G$54,BD$7)</f>
        <v>-780042.104847263</v>
      </c>
      <c r="BE117" s="84" t="n">
        <f aca="false">-BE110*Premissas!$B$53*INDEX(Premissas!$C$54:$G$54,BE$7)</f>
        <v>-803488.173104778</v>
      </c>
      <c r="BF117" s="84" t="n">
        <f aca="false">-BF110*Premissas!$B$53*INDEX(Premissas!$C$54:$G$54,BF$7)</f>
        <v>-825883.153678924</v>
      </c>
      <c r="BG117" s="84" t="n">
        <f aca="false">-BG110*Premissas!$B$53*INDEX(Premissas!$C$54:$G$54,BG$7)</f>
        <v>-847277.007136475</v>
      </c>
      <c r="BH117" s="84" t="n">
        <f aca="false">-BH110*Premissas!$B$53*INDEX(Premissas!$C$54:$G$54,BH$7)</f>
        <v>-867697.13039976</v>
      </c>
      <c r="BI117" s="84" t="n">
        <f aca="false">-BI110*Premissas!$B$53*INDEX(Premissas!$C$54:$G$54,BI$7)</f>
        <v>-887198.480092232</v>
      </c>
      <c r="BJ117" s="69" t="n">
        <f aca="false">SUM(B117:BI117)</f>
        <v>-17030193.4877447</v>
      </c>
    </row>
    <row r="118" customFormat="false" ht="15" hidden="false" customHeight="false" outlineLevel="0" collapsed="false">
      <c r="A118" s="12" t="s">
        <v>206</v>
      </c>
      <c r="B118" s="84" t="n">
        <f aca="false">-(B110*(1-INDEX(Premissas!$C$54:$G$54,B$7))+B111)*Premissas!$B$55</f>
        <v>-0</v>
      </c>
      <c r="C118" s="84" t="n">
        <f aca="false">-(C110*(1-INDEX(Premissas!$C$54:$G$54,C$7))+C111)*Premissas!$B$55</f>
        <v>-0</v>
      </c>
      <c r="D118" s="84" t="n">
        <f aca="false">-(D110*(1-INDEX(Premissas!$C$54:$G$54,D$7))+D111)*Premissas!$B$55</f>
        <v>-0</v>
      </c>
      <c r="E118" s="84" t="n">
        <f aca="false">-(E110*(1-INDEX(Premissas!$C$54:$G$54,E$7))+E111)*Premissas!$B$55</f>
        <v>-0</v>
      </c>
      <c r="F118" s="84" t="n">
        <f aca="false">-(F110*(1-INDEX(Premissas!$C$54:$G$54,F$7))+F111)*Premissas!$B$55</f>
        <v>-0</v>
      </c>
      <c r="G118" s="84" t="n">
        <f aca="false">-(G110*(1-INDEX(Premissas!$C$54:$G$54,G$7))+G111)*Premissas!$B$55</f>
        <v>-0</v>
      </c>
      <c r="H118" s="84" t="n">
        <f aca="false">-(H110*(1-INDEX(Premissas!$C$54:$G$54,H$7))+H111)*Premissas!$B$55</f>
        <v>-0</v>
      </c>
      <c r="I118" s="84" t="n">
        <f aca="false">-(I110*(1-INDEX(Premissas!$C$54:$G$54,I$7))+I111)*Premissas!$B$55</f>
        <v>-0</v>
      </c>
      <c r="J118" s="84" t="n">
        <f aca="false">-(J110*(1-INDEX(Premissas!$C$54:$G$54,J$7))+J111)*Premissas!$B$55</f>
        <v>-0</v>
      </c>
      <c r="K118" s="84" t="n">
        <f aca="false">-(K110*(1-INDEX(Premissas!$C$54:$G$54,K$7))+K111)*Premissas!$B$55</f>
        <v>-321.85755</v>
      </c>
      <c r="L118" s="84" t="n">
        <f aca="false">-(L110*(1-INDEX(Premissas!$C$54:$G$54,L$7))+L111)*Premissas!$B$55</f>
        <v>-624.752325</v>
      </c>
      <c r="M118" s="84" t="n">
        <f aca="false">-(M110*(1-INDEX(Premissas!$C$54:$G$54,M$7))+M111)*Premissas!$B$55</f>
        <v>-909.353925</v>
      </c>
      <c r="N118" s="84" t="n">
        <f aca="false">-(N110*(1-INDEX(Premissas!$C$54:$G$54,N$7))+N111)*Premissas!$B$55</f>
        <v>-2349.8312159565</v>
      </c>
      <c r="O118" s="84" t="n">
        <f aca="false">-(O110*(1-INDEX(Premissas!$C$54:$G$54,O$7))+O111)*Premissas!$B$55</f>
        <v>-2991.24940543139</v>
      </c>
      <c r="P118" s="84" t="n">
        <f aca="false">-(P110*(1-INDEX(Premissas!$C$54:$G$54,P$7))+P111)*Premissas!$B$55</f>
        <v>-3597.23456716767</v>
      </c>
      <c r="Q118" s="84" t="n">
        <f aca="false">-(Q110*(1-INDEX(Premissas!$C$54:$G$54,Q$7))+Q111)*Premissas!$B$55</f>
        <v>-4170.23548749094</v>
      </c>
      <c r="R118" s="84" t="n">
        <f aca="false">-(R110*(1-INDEX(Premissas!$C$54:$G$54,R$7))+R111)*Premissas!$B$55</f>
        <v>-4711.37157584144</v>
      </c>
      <c r="S118" s="84" t="n">
        <f aca="false">-(S110*(1-INDEX(Premissas!$C$54:$G$54,S$7))+S111)*Premissas!$B$55</f>
        <v>-5223.44493954766</v>
      </c>
      <c r="T118" s="84" t="n">
        <f aca="false">-(T110*(1-INDEX(Premissas!$C$54:$G$54,T$7))+T111)*Premissas!$B$55</f>
        <v>-5706.24126644254</v>
      </c>
      <c r="U118" s="84" t="n">
        <f aca="false">-(U110*(1-INDEX(Premissas!$C$54:$G$54,U$7))+U111)*Premissas!$B$55</f>
        <v>-6163.6734526182</v>
      </c>
      <c r="V118" s="84" t="n">
        <f aca="false">-(V110*(1-INDEX(Premissas!$C$54:$G$54,V$7))+V111)*Premissas!$B$55</f>
        <v>-6594.7570655167</v>
      </c>
      <c r="W118" s="84" t="n">
        <f aca="false">-(W110*(1-INDEX(Premissas!$C$54:$G$54,W$7))+W111)*Premissas!$B$55</f>
        <v>-7003.01111496078</v>
      </c>
      <c r="X118" s="84" t="n">
        <f aca="false">-(X110*(1-INDEX(Premissas!$C$54:$G$54,X$7))+X111)*Premissas!$B$55</f>
        <v>-7388.94108414044</v>
      </c>
      <c r="Y118" s="84" t="n">
        <f aca="false">-(Y110*(1-INDEX(Premissas!$C$54:$G$54,Y$7))+Y111)*Premissas!$B$55</f>
        <v>-7752.66899048771</v>
      </c>
      <c r="Z118" s="84" t="n">
        <f aca="false">-(Z110*(1-INDEX(Premissas!$C$54:$G$54,Z$7))+Z111)*Premissas!$B$55</f>
        <v>-13319.3783175826</v>
      </c>
      <c r="AA118" s="84" t="n">
        <f aca="false">-(AA110*(1-INDEX(Premissas!$C$54:$G$54,AA$7))+AA111)*Premissas!$B$55</f>
        <v>-15015.9223390826</v>
      </c>
      <c r="AB118" s="84" t="n">
        <f aca="false">-(AB110*(1-INDEX(Premissas!$C$54:$G$54,AB$7))+AB111)*Premissas!$B$55</f>
        <v>-16627.9222738139</v>
      </c>
      <c r="AC118" s="84" t="n">
        <f aca="false">-(AC110*(1-INDEX(Premissas!$C$54:$G$54,AC$7))+AC111)*Premissas!$B$55</f>
        <v>-18158.5480548107</v>
      </c>
      <c r="AD118" s="84" t="n">
        <f aca="false">-(AD110*(1-INDEX(Premissas!$C$54:$G$54,AD$7))+AD111)*Premissas!$B$55</f>
        <v>-19613.4038656367</v>
      </c>
      <c r="AE118" s="84" t="n">
        <f aca="false">-(AE110*(1-INDEX(Premissas!$C$54:$G$54,AE$7))+AE111)*Premissas!$B$55</f>
        <v>-20995.1238183479</v>
      </c>
      <c r="AF118" s="84" t="n">
        <f aca="false">-(AF110*(1-INDEX(Premissas!$C$54:$G$54,AF$7))+AF111)*Premissas!$B$55</f>
        <v>-22308.2872076189</v>
      </c>
      <c r="AG118" s="84" t="n">
        <f aca="false">-(AG110*(1-INDEX(Premissas!$C$54:$G$54,AG$7))+AG111)*Premissas!$B$55</f>
        <v>-23554.9919799266</v>
      </c>
      <c r="AH118" s="84" t="n">
        <f aca="false">-(AH110*(1-INDEX(Premissas!$C$54:$G$54,AH$7))+AH111)*Premissas!$B$55</f>
        <v>-24740.2723443707</v>
      </c>
      <c r="AI118" s="84" t="n">
        <f aca="false">-(AI110*(1-INDEX(Premissas!$C$54:$G$54,AI$7))+AI111)*Premissas!$B$55</f>
        <v>-25865.6978914173</v>
      </c>
      <c r="AJ118" s="84" t="n">
        <f aca="false">-(AJ110*(1-INDEX(Premissas!$C$54:$G$54,AJ$7))+AJ111)*Premissas!$B$55</f>
        <v>-26934.7911032638</v>
      </c>
      <c r="AK118" s="84" t="n">
        <f aca="false">-(AK110*(1-INDEX(Premissas!$C$54:$G$54,AK$7))+AK111)*Premissas!$B$55</f>
        <v>-27950.0736270673</v>
      </c>
      <c r="AL118" s="84" t="n">
        <f aca="false">-(AL110*(1-INDEX(Premissas!$C$54:$G$54,AL$7))+AL111)*Premissas!$B$55</f>
        <v>-40535.1965300054</v>
      </c>
      <c r="AM118" s="84" t="n">
        <f aca="false">-(AM110*(1-INDEX(Premissas!$C$54:$G$54,AM$7))+AM111)*Premissas!$B$55</f>
        <v>-43477.6702662514</v>
      </c>
      <c r="AN118" s="84" t="n">
        <f aca="false">-(AN110*(1-INDEX(Premissas!$C$54:$G$54,AN$7))+AN111)*Premissas!$B$55</f>
        <v>-46278.6314583306</v>
      </c>
      <c r="AO118" s="84" t="n">
        <f aca="false">-(AO110*(1-INDEX(Premissas!$C$54:$G$54,AO$7))+AO111)*Premissas!$B$55</f>
        <v>-48943.8689375441</v>
      </c>
      <c r="AP118" s="84" t="n">
        <f aca="false">-(AP110*(1-INDEX(Premissas!$C$54:$G$54,AP$7))+AP111)*Premissas!$B$55</f>
        <v>-51482.2865022407</v>
      </c>
      <c r="AQ118" s="84" t="n">
        <f aca="false">-(AQ110*(1-INDEX(Premissas!$C$54:$G$54,AQ$7))+AQ111)*Premissas!$B$55</f>
        <v>-53898.4396138493</v>
      </c>
      <c r="AR118" s="84" t="n">
        <f aca="false">-(AR110*(1-INDEX(Premissas!$C$54:$G$54,AR$7))+AR111)*Premissas!$B$55</f>
        <v>-56198.5678328755</v>
      </c>
      <c r="AS118" s="84" t="n">
        <f aca="false">-(AS110*(1-INDEX(Premissas!$C$54:$G$54,AS$7))+AS111)*Premissas!$B$55</f>
        <v>-58388.2947056235</v>
      </c>
      <c r="AT118" s="84" t="n">
        <f aca="false">-(AT110*(1-INDEX(Premissas!$C$54:$G$54,AT$7))+AT111)*Premissas!$B$55</f>
        <v>-60472.6410907058</v>
      </c>
      <c r="AU118" s="84" t="n">
        <f aca="false">-(AU110*(1-INDEX(Premissas!$C$54:$G$54,AU$7))+AU111)*Premissas!$B$55</f>
        <v>-62457.7350838174</v>
      </c>
      <c r="AV118" s="84" t="n">
        <f aca="false">-(AV110*(1-INDEX(Premissas!$C$54:$G$54,AV$7))+AV111)*Premissas!$B$55</f>
        <v>-64346.8048907739</v>
      </c>
      <c r="AW118" s="84" t="n">
        <f aca="false">-(AW110*(1-INDEX(Premissas!$C$54:$G$54,AW$7))+AW111)*Premissas!$B$55</f>
        <v>-66145.6313634601</v>
      </c>
      <c r="AX118" s="84" t="n">
        <f aca="false">-(AX110*(1-INDEX(Premissas!$C$54:$G$54,AX$7))+AX111)*Premissas!$B$55</f>
        <v>-90785.5410986136</v>
      </c>
      <c r="AY118" s="84" t="n">
        <f aca="false">-(AY110*(1-INDEX(Premissas!$C$54:$G$54,AY$7))+AY111)*Premissas!$B$55</f>
        <v>-95354.9830876431</v>
      </c>
      <c r="AZ118" s="84" t="n">
        <f aca="false">-(AZ110*(1-INDEX(Premissas!$C$54:$G$54,AZ$7))+AZ111)*Premissas!$B$55</f>
        <v>-99718.2307574476</v>
      </c>
      <c r="BA118" s="84" t="n">
        <f aca="false">-(BA110*(1-INDEX(Premissas!$C$54:$G$54,BA$7))+BA111)*Premissas!$B$55</f>
        <v>-103884.836945936</v>
      </c>
      <c r="BB118" s="84" t="n">
        <f aca="false">-(BB110*(1-INDEX(Premissas!$C$54:$G$54,BB$7))+BB111)*Premissas!$B$55</f>
        <v>-107864.297095898</v>
      </c>
      <c r="BC118" s="84" t="n">
        <f aca="false">-(BC110*(1-INDEX(Premissas!$C$54:$G$54,BC$7))+BC111)*Premissas!$B$55</f>
        <v>-111664.773432211</v>
      </c>
      <c r="BD118" s="84" t="n">
        <f aca="false">-(BD110*(1-INDEX(Premissas!$C$54:$G$54,BD$7))+BD111)*Premissas!$B$55</f>
        <v>-115293.729980761</v>
      </c>
      <c r="BE118" s="84" t="n">
        <f aca="false">-(BE110*(1-INDEX(Premissas!$C$54:$G$54,BE$7))+BE111)*Premissas!$B$55</f>
        <v>-118759.232371352</v>
      </c>
      <c r="BF118" s="84" t="n">
        <f aca="false">-(BF110*(1-INDEX(Premissas!$C$54:$G$54,BF$7))+BF111)*Premissas!$B$55</f>
        <v>-122069.299561423</v>
      </c>
      <c r="BG118" s="84" t="n">
        <f aca="false">-(BG110*(1-INDEX(Premissas!$C$54:$G$54,BG$7))+BG111)*Premissas!$B$55</f>
        <v>-125231.268343415</v>
      </c>
      <c r="BH118" s="84" t="n">
        <f aca="false">-(BH110*(1-INDEX(Premissas!$C$54:$G$54,BH$7))+BH111)*Premissas!$B$55</f>
        <v>-128249.533371673</v>
      </c>
      <c r="BI118" s="84" t="n">
        <f aca="false">-(BI110*(1-INDEX(Premissas!$C$54:$G$54,BI$7))+BI111)*Premissas!$B$55</f>
        <v>-131131.993442007</v>
      </c>
      <c r="BJ118" s="69" t="n">
        <f aca="false">SUM(B118:BI118)</f>
        <v>-2323226.5245524</v>
      </c>
    </row>
    <row r="119" customFormat="false" ht="15" hidden="false" customHeight="false" outlineLevel="0" collapsed="false">
      <c r="A119" s="34" t="s">
        <v>300</v>
      </c>
      <c r="B119" s="69" t="n">
        <f aca="false">B113+SUM(B116:B118)</f>
        <v>0</v>
      </c>
      <c r="C119" s="69" t="n">
        <f aca="false">C113+SUM(C116:C118)</f>
        <v>0</v>
      </c>
      <c r="D119" s="69" t="n">
        <f aca="false">D113+SUM(D116:D118)</f>
        <v>0</v>
      </c>
      <c r="E119" s="69" t="n">
        <f aca="false">E113+SUM(E116:E118)</f>
        <v>0</v>
      </c>
      <c r="F119" s="69" t="n">
        <f aca="false">F113+SUM(F116:F118)</f>
        <v>0</v>
      </c>
      <c r="G119" s="69" t="n">
        <f aca="false">G113+SUM(G116:G118)</f>
        <v>0</v>
      </c>
      <c r="H119" s="69" t="n">
        <f aca="false">H113+SUM(H116:H118)</f>
        <v>0</v>
      </c>
      <c r="I119" s="69" t="n">
        <f aca="false">I113+SUM(I116:I118)</f>
        <v>0</v>
      </c>
      <c r="J119" s="69" t="n">
        <f aca="false">J113+SUM(J116:J118)</f>
        <v>0</v>
      </c>
      <c r="K119" s="69" t="n">
        <f aca="false">K113+SUM(K116:K118)</f>
        <v>38420.25495</v>
      </c>
      <c r="L119" s="69" t="n">
        <f aca="false">L113+SUM(L116:L118)</f>
        <v>74576.916425</v>
      </c>
      <c r="M119" s="69" t="n">
        <f aca="false">M113+SUM(M116:M118)</f>
        <v>108549.914825</v>
      </c>
      <c r="N119" s="69" t="n">
        <f aca="false">N113+SUM(N116:N118)</f>
        <v>190744.557821748</v>
      </c>
      <c r="O119" s="69" t="n">
        <f aca="false">O113+SUM(O116:O118)</f>
        <v>235850.866066118</v>
      </c>
      <c r="P119" s="69" t="n">
        <f aca="false">P113+SUM(P116:P118)</f>
        <v>277820.2209088</v>
      </c>
      <c r="Q119" s="69" t="n">
        <f aca="false">Q113+SUM(Q116:Q118)</f>
        <v>316353.340821149</v>
      </c>
      <c r="R119" s="69" t="n">
        <f aca="false">R113+SUM(R116:R118)</f>
        <v>353592.401133081</v>
      </c>
      <c r="S119" s="69" t="n">
        <f aca="false">S113+SUM(S116:S118)</f>
        <v>385568.930274921</v>
      </c>
      <c r="T119" s="69" t="n">
        <f aca="false">T113+SUM(T116:T118)</f>
        <v>414108.656843471</v>
      </c>
      <c r="U119" s="69" t="n">
        <f aca="false">U113+SUM(U116:U118)</f>
        <v>441847.985115154</v>
      </c>
      <c r="V119" s="69" t="n">
        <f aca="false">V113+SUM(V116:V118)</f>
        <v>479217.177082592</v>
      </c>
      <c r="W119" s="69" t="n">
        <f aca="false">W113+SUM(W116:W118)</f>
        <v>490881.239637784</v>
      </c>
      <c r="X119" s="69" t="n">
        <f aca="false">X113+SUM(X116:X118)</f>
        <v>535394.450396444</v>
      </c>
      <c r="Y119" s="69" t="n">
        <f aca="false">Y113+SUM(Y116:Y118)</f>
        <v>561746.001025807</v>
      </c>
      <c r="Z119" s="69" t="n">
        <f aca="false">Z113+SUM(Z116:Z118)</f>
        <v>774987.564750562</v>
      </c>
      <c r="AA119" s="69" t="n">
        <f aca="false">AA113+SUM(AA116:AA118)</f>
        <v>873700.91139787</v>
      </c>
      <c r="AB119" s="69" t="n">
        <f aca="false">AB113+SUM(AB116:AB118)</f>
        <v>967496.532610123</v>
      </c>
      <c r="AC119" s="69" t="n">
        <f aca="false">AC113+SUM(AC116:AC118)</f>
        <v>1056553.31185228</v>
      </c>
      <c r="AD119" s="69" t="n">
        <f aca="false">AD113+SUM(AD116:AD118)</f>
        <v>1141205.49944742</v>
      </c>
      <c r="AE119" s="69" t="n">
        <f aca="false">AE113+SUM(AE116:AE118)</f>
        <v>1221600.16766045</v>
      </c>
      <c r="AF119" s="69" t="n">
        <f aca="false">AF113+SUM(AF116:AF118)</f>
        <v>1298008.65447257</v>
      </c>
      <c r="AG119" s="69" t="n">
        <f aca="false">AG113+SUM(AG116:AG118)</f>
        <v>1370545.98991786</v>
      </c>
      <c r="AH119" s="69" t="n">
        <f aca="false">AH113+SUM(AH116:AH118)</f>
        <v>1439514.18097173</v>
      </c>
      <c r="AI119" s="69" t="n">
        <f aca="false">AI113+SUM(AI116:AI118)</f>
        <v>1504996.52155984</v>
      </c>
      <c r="AJ119" s="69" t="n">
        <f aca="false">AJ113+SUM(AJ116:AJ118)</f>
        <v>1567200.8756792</v>
      </c>
      <c r="AK119" s="69" t="n">
        <f aca="false">AK113+SUM(AK116:AK118)</f>
        <v>1626272.4494463</v>
      </c>
      <c r="AL119" s="69" t="n">
        <f aca="false">AL113+SUM(AL116:AL118)</f>
        <v>2088459.03339901</v>
      </c>
      <c r="AM119" s="69" t="n">
        <f aca="false">AM113+SUM(AM116:AM118)</f>
        <v>2240066.34660636</v>
      </c>
      <c r="AN119" s="69" t="n">
        <f aca="false">AN113+SUM(AN116:AN118)</f>
        <v>2384380.94753876</v>
      </c>
      <c r="AO119" s="69" t="n">
        <f aca="false">AO113+SUM(AO116:AO118)</f>
        <v>2521695.83874386</v>
      </c>
      <c r="AP119" s="69" t="n">
        <f aca="false">AP113+SUM(AP116:AP118)</f>
        <v>2652482.78453936</v>
      </c>
      <c r="AQ119" s="69" t="n">
        <f aca="false">AQ113+SUM(AQ116:AQ118)</f>
        <v>2776968.06363601</v>
      </c>
      <c r="AR119" s="69" t="n">
        <f aca="false">AR113+SUM(AR116:AR118)</f>
        <v>2895475.23362939</v>
      </c>
      <c r="AS119" s="69" t="n">
        <f aca="false">AS113+SUM(AS116:AS118)</f>
        <v>3008294.3327311</v>
      </c>
      <c r="AT119" s="69" t="n">
        <f aca="false">AT113+SUM(AT116:AT118)</f>
        <v>3115682.56560246</v>
      </c>
      <c r="AU119" s="69" t="n">
        <f aca="false">AU113+SUM(AU116:AU118)</f>
        <v>3217961.4159575</v>
      </c>
      <c r="AV119" s="69" t="n">
        <f aca="false">AV113+SUM(AV116:AV118)</f>
        <v>3315288.84332889</v>
      </c>
      <c r="AW119" s="69" t="n">
        <f aca="false">AW113+SUM(AW116:AW118)</f>
        <v>3407969.10712213</v>
      </c>
      <c r="AX119" s="69" t="n">
        <f aca="false">AX113+SUM(AX116:AX118)</f>
        <v>4409150.64678948</v>
      </c>
      <c r="AY119" s="69" t="n">
        <f aca="false">AY113+SUM(AY116:AY118)</f>
        <v>4631076.20939041</v>
      </c>
      <c r="AZ119" s="69" t="n">
        <f aca="false">AZ113+SUM(AZ116:AZ118)</f>
        <v>4842984.82801326</v>
      </c>
      <c r="BA119" s="69" t="n">
        <f aca="false">BA113+SUM(BA116:BA118)</f>
        <v>5045341.84691355</v>
      </c>
      <c r="BB119" s="69" t="n">
        <f aca="false">BB113+SUM(BB116:BB118)</f>
        <v>5238611.48592902</v>
      </c>
      <c r="BC119" s="69" t="n">
        <f aca="false">BC113+SUM(BC116:BC118)</f>
        <v>5423188.87990163</v>
      </c>
      <c r="BD119" s="69" t="n">
        <f aca="false">BD113+SUM(BD116:BD118)</f>
        <v>5599433.77878562</v>
      </c>
      <c r="BE119" s="69" t="n">
        <f aca="false">BE113+SUM(BE116:BE118)</f>
        <v>5767739.61799366</v>
      </c>
      <c r="BF119" s="69" t="n">
        <f aca="false">BF113+SUM(BF116:BF118)</f>
        <v>5928498.95449275</v>
      </c>
      <c r="BG119" s="69" t="n">
        <f aca="false">BG113+SUM(BG116:BG118)</f>
        <v>6082069.5863926</v>
      </c>
      <c r="BH119" s="69" t="n">
        <f aca="false">BH113+SUM(BH116:BH118)</f>
        <v>6228654.25342241</v>
      </c>
      <c r="BI119" s="69" t="n">
        <f aca="false">BI113+SUM(BI116:BI118)</f>
        <v>6368643.51315195</v>
      </c>
      <c r="BJ119" s="69" t="n">
        <f aca="false">SUM(B119:BI119)</f>
        <v>118936873.687104</v>
      </c>
    </row>
    <row r="120" customFormat="false" ht="15" hidden="false" customHeight="false" outlineLevel="0" collapsed="false">
      <c r="A120" s="12" t="s">
        <v>209</v>
      </c>
      <c r="B120" s="84" t="n">
        <f aca="false">-(B103*INDEX(Premissas!$C$64:$G$64,B$7)+(B101-B103)*INDEX(Premissas!$C$65:$G$65,B$7)+IF(B$4&gt;=Premissas!$B$62,INDEX(Premissas!$C$63:$G$63,B$7),0))</f>
        <v>-0</v>
      </c>
      <c r="C120" s="84" t="n">
        <f aca="false">-(C103*INDEX(Premissas!$C$64:$G$64,C$7)+(C101-C103)*INDEX(Premissas!$C$65:$G$65,C$7)+IF(C$4&gt;=Premissas!$B$62,INDEX(Premissas!$C$63:$G$63,C$7),0))</f>
        <v>-0</v>
      </c>
      <c r="D120" s="84" t="n">
        <f aca="false">-(D103*INDEX(Premissas!$C$64:$G$64,D$7)+(D101-D103)*INDEX(Premissas!$C$65:$G$65,D$7)+IF(D$4&gt;=Premissas!$B$62,INDEX(Premissas!$C$63:$G$63,D$7),0))</f>
        <v>-0</v>
      </c>
      <c r="E120" s="84" t="n">
        <f aca="false">-(E103*INDEX(Premissas!$C$64:$G$64,E$7)+(E101-E103)*INDEX(Premissas!$C$65:$G$65,E$7)+IF(E$4&gt;=Premissas!$B$62,INDEX(Premissas!$C$63:$G$63,E$7),0))</f>
        <v>-0</v>
      </c>
      <c r="F120" s="84" t="n">
        <f aca="false">-(F103*INDEX(Premissas!$C$64:$G$64,F$7)+(F101-F103)*INDEX(Premissas!$C$65:$G$65,F$7)+IF(F$4&gt;=Premissas!$B$62,INDEX(Premissas!$C$63:$G$63,F$7),0))</f>
        <v>-600</v>
      </c>
      <c r="G120" s="84" t="n">
        <f aca="false">-(G103*INDEX(Premissas!$C$64:$G$64,G$7)+(G101-G103)*INDEX(Premissas!$C$65:$G$65,G$7)+IF(G$4&gt;=Premissas!$B$62,INDEX(Premissas!$C$63:$G$63,G$7),0))</f>
        <v>-600</v>
      </c>
      <c r="H120" s="84" t="n">
        <f aca="false">-(H103*INDEX(Premissas!$C$64:$G$64,H$7)+(H101-H103)*INDEX(Premissas!$C$65:$G$65,H$7)+IF(H$4&gt;=Premissas!$B$62,INDEX(Premissas!$C$63:$G$63,H$7),0))</f>
        <v>-600</v>
      </c>
      <c r="I120" s="84" t="n">
        <f aca="false">-(I103*INDEX(Premissas!$C$64:$G$64,I$7)+(I101-I103)*INDEX(Premissas!$C$65:$G$65,I$7)+IF(I$4&gt;=Premissas!$B$62,INDEX(Premissas!$C$63:$G$63,I$7),0))</f>
        <v>-600</v>
      </c>
      <c r="J120" s="84" t="n">
        <f aca="false">-(J103*INDEX(Premissas!$C$64:$G$64,J$7)+(J101-J103)*INDEX(Premissas!$C$65:$G$65,J$7)+IF(J$4&gt;=Premissas!$B$62,INDEX(Premissas!$C$63:$G$63,J$7),0))</f>
        <v>-600</v>
      </c>
      <c r="K120" s="84" t="n">
        <f aca="false">-(K103*INDEX(Premissas!$C$64:$G$64,K$7)+(K101-K103)*INDEX(Premissas!$C$65:$G$65,K$7)+IF(K$4&gt;=Premissas!$B$62,INDEX(Premissas!$C$63:$G$63,K$7),0))</f>
        <v>-3732.32</v>
      </c>
      <c r="L120" s="84" t="n">
        <f aca="false">-(L103*INDEX(Premissas!$C$64:$G$64,L$7)+(L101-L103)*INDEX(Premissas!$C$65:$G$65,L$7)+IF(L$4&gt;=Premissas!$B$62,INDEX(Premissas!$C$63:$G$63,L$7),0))</f>
        <v>-6675.872</v>
      </c>
      <c r="M120" s="84" t="n">
        <f aca="false">-(M103*INDEX(Premissas!$C$64:$G$64,M$7)+(M101-M103)*INDEX(Premissas!$C$65:$G$65,M$7)+IF(M$4&gt;=Premissas!$B$62,INDEX(Premissas!$C$63:$G$63,M$7),0))</f>
        <v>-9444.32048</v>
      </c>
      <c r="N120" s="84" t="n">
        <f aca="false">-(N103*INDEX(Premissas!$C$64:$G$64,N$7)+(N101-N103)*INDEX(Premissas!$C$65:$G$65,N$7)+IF(N$4&gt;=Premissas!$B$62,INDEX(Premissas!$C$63:$G$63,N$7),0))</f>
        <v>-15217.4654536</v>
      </c>
      <c r="O120" s="84" t="n">
        <f aca="false">-(O103*INDEX(Premissas!$C$64:$G$64,O$7)+(O101-O103)*INDEX(Premissas!$C$65:$G$65,O$7)+IF(O$4&gt;=Premissas!$B$62,INDEX(Premissas!$C$63:$G$63,O$7),0))</f>
        <v>-18688.799203652</v>
      </c>
      <c r="P120" s="84" t="n">
        <f aca="false">-(P103*INDEX(Premissas!$C$64:$G$64,P$7)+(P101-P103)*INDEX(Premissas!$C$65:$G$65,P$7)+IF(P$4&gt;=Premissas!$B$62,INDEX(Premissas!$C$63:$G$63,P$7),0))</f>
        <v>-21970.3201474511</v>
      </c>
      <c r="Q120" s="84" t="n">
        <f aca="false">-(Q103*INDEX(Premissas!$C$64:$G$64,Q$7)+(Q101-Q103)*INDEX(Premissas!$C$65:$G$65,Q$7)+IF(Q$4&gt;=Premissas!$B$62,INDEX(Premissas!$C$63:$G$63,Q$7),0))</f>
        <v>-25070.3399893413</v>
      </c>
      <c r="R120" s="84" t="n">
        <f aca="false">-(R103*INDEX(Premissas!$C$64:$G$64,R$7)+(R101-R103)*INDEX(Premissas!$C$65:$G$65,R$7)+IF(R$4&gt;=Premissas!$B$62,INDEX(Premissas!$C$63:$G$63,R$7),0))</f>
        <v>-27999.7390399276</v>
      </c>
      <c r="S120" s="84" t="n">
        <f aca="false">-(S103*INDEX(Premissas!$C$64:$G$64,S$7)+(S101-S103)*INDEX(Premissas!$C$65:$G$65,S$7)+IF(S$4&gt;=Premissas!$B$62,INDEX(Premissas!$C$63:$G$63,S$7),0))</f>
        <v>-30769.3112427315</v>
      </c>
      <c r="T120" s="84" t="n">
        <f aca="false">-(T103*INDEX(Premissas!$C$64:$G$64,T$7)+(T101-T103)*INDEX(Premissas!$C$65:$G$65,T$7)+IF(T$4&gt;=Premissas!$B$62,INDEX(Premissas!$C$63:$G$63,T$7),0))</f>
        <v>-33385.7789243813</v>
      </c>
      <c r="U120" s="84" t="n">
        <f aca="false">-(U103*INDEX(Premissas!$C$64:$G$64,U$7)+(U101-U103)*INDEX(Premissas!$C$65:$G$65,U$7)+IF(U$4&gt;=Premissas!$B$62,INDEX(Premissas!$C$63:$G$63,U$7),0))</f>
        <v>-35858.4472835403</v>
      </c>
      <c r="V120" s="84" t="n">
        <f aca="false">-(V103*INDEX(Premissas!$C$64:$G$64,V$7)+(V101-V103)*INDEX(Premissas!$C$65:$G$65,V$7)+IF(V$4&gt;=Premissas!$B$62,INDEX(Premissas!$C$63:$G$63,V$7),0))</f>
        <v>-38193.8886329456</v>
      </c>
      <c r="W120" s="84" t="n">
        <f aca="false">-(W103*INDEX(Premissas!$C$64:$G$64,W$7)+(W101-W103)*INDEX(Premissas!$C$65:$G$65,W$7)+IF(W$4&gt;=Premissas!$B$62,INDEX(Premissas!$C$63:$G$63,W$7),0))</f>
        <v>-40402.5964081336</v>
      </c>
      <c r="X120" s="84" t="n">
        <f aca="false">-(X103*INDEX(Premissas!$C$64:$G$64,X$7)+(X101-X103)*INDEX(Premissas!$C$65:$G$65,X$7)+IF(X$4&gt;=Premissas!$B$62,INDEX(Premissas!$C$63:$G$63,X$7),0))</f>
        <v>-42489.6789556863</v>
      </c>
      <c r="Y120" s="84" t="n">
        <f aca="false">-(Y103*INDEX(Premissas!$C$64:$G$64,Y$7)+(Y101-Y103)*INDEX(Premissas!$C$65:$G$65,Y$7)+IF(Y$4&gt;=Premissas!$B$62,INDEX(Premissas!$C$63:$G$63,Y$7),0))</f>
        <v>-44460.1831131235</v>
      </c>
      <c r="Z120" s="84" t="n">
        <f aca="false">-(Z103*INDEX(Premissas!$C$64:$G$64,Z$7)+(Z101-Z103)*INDEX(Premissas!$C$65:$G$65,Z$7)+IF(Z$4&gt;=Premissas!$B$62,INDEX(Premissas!$C$63:$G$63,Z$7),0))</f>
        <v>-51788.0160117206</v>
      </c>
      <c r="AA120" s="84" t="n">
        <f aca="false">-(AA103*INDEX(Premissas!$C$64:$G$64,AA$7)+(AA101-AA103)*INDEX(Premissas!$C$65:$G$65,AA$7)+IF(AA$4&gt;=Premissas!$B$62,INDEX(Premissas!$C$63:$G$63,AA$7),0))</f>
        <v>-57365.9148111346</v>
      </c>
      <c r="AB120" s="84" t="n">
        <f aca="false">-(AB103*INDEX(Premissas!$C$64:$G$64,AB$7)+(AB101-AB103)*INDEX(Premissas!$C$65:$G$65,AB$7)+IF(AB$4&gt;=Premissas!$B$62,INDEX(Premissas!$C$63:$G$63,AB$7),0))</f>
        <v>-62664.4092705778</v>
      </c>
      <c r="AC120" s="84" t="n">
        <f aca="false">-(AC103*INDEX(Premissas!$C$64:$G$64,AC$7)+(AC101-AC103)*INDEX(Premissas!$C$65:$G$65,AC$7)+IF(AC$4&gt;=Premissas!$B$62,INDEX(Premissas!$C$63:$G$63,AC$7),0))</f>
        <v>-67698.1488070489</v>
      </c>
      <c r="AD120" s="84" t="n">
        <f aca="false">-(AD103*INDEX(Premissas!$C$64:$G$64,AD$7)+(AD101-AD103)*INDEX(Premissas!$C$65:$G$65,AD$7)+IF(AD$4&gt;=Premissas!$B$62,INDEX(Premissas!$C$63:$G$63,AD$7),0))</f>
        <v>-72480.5409666965</v>
      </c>
      <c r="AE120" s="84" t="n">
        <f aca="false">-(AE103*INDEX(Premissas!$C$64:$G$64,AE$7)+(AE101-AE103)*INDEX(Premissas!$C$65:$G$65,AE$7)+IF(AE$4&gt;=Premissas!$B$62,INDEX(Premissas!$C$63:$G$63,AE$7),0))</f>
        <v>-77023.7569183617</v>
      </c>
      <c r="AF120" s="84" t="n">
        <f aca="false">-(AF103*INDEX(Premissas!$C$64:$G$64,AF$7)+(AF101-AF103)*INDEX(Premissas!$C$65:$G$65,AF$7)+IF(AF$4&gt;=Premissas!$B$62,INDEX(Premissas!$C$63:$G$63,AF$7),0))</f>
        <v>-81338.7366724436</v>
      </c>
      <c r="AG120" s="84" t="n">
        <f aca="false">-(AG103*INDEX(Premissas!$C$64:$G$64,AG$7)+(AG101-AG103)*INDEX(Premissas!$C$65:$G$65,AG$7)+IF(AG$4&gt;=Premissas!$B$62,INDEX(Premissas!$C$63:$G$63,AG$7),0))</f>
        <v>-85439.7220388214</v>
      </c>
      <c r="AH120" s="84" t="n">
        <f aca="false">-(AH103*INDEX(Premissas!$C$64:$G$64,AH$7)+(AH101-AH103)*INDEX(Premissas!$C$65:$G$65,AH$7)+IF(AH$4&gt;=Premissas!$B$62,INDEX(Premissas!$C$63:$G$63,AH$7),0))</f>
        <v>-89334.0733368803</v>
      </c>
      <c r="AI120" s="84" t="n">
        <f aca="false">-(AI103*INDEX(Premissas!$C$64:$G$64,AI$7)+(AI101-AI103)*INDEX(Premissas!$C$65:$G$65,AI$7)+IF(AI$4&gt;=Premissas!$B$62,INDEX(Premissas!$C$63:$G$63,AI$7),0))</f>
        <v>-93034.7258700363</v>
      </c>
      <c r="AJ120" s="84" t="n">
        <f aca="false">-(AJ103*INDEX(Premissas!$C$64:$G$64,AJ$7)+(AJ101-AJ103)*INDEX(Premissas!$C$65:$G$65,AJ$7)+IF(AJ$4&gt;=Premissas!$B$62,INDEX(Premissas!$C$63:$G$63,AJ$7),0))</f>
        <v>-96550.0061765345</v>
      </c>
      <c r="AK120" s="84" t="n">
        <f aca="false">-(AK103*INDEX(Premissas!$C$64:$G$64,AK$7)+(AK101-AK103)*INDEX(Premissas!$C$65:$G$65,AK$7)+IF(AK$4&gt;=Premissas!$B$62,INDEX(Premissas!$C$63:$G$63,AK$7),0))</f>
        <v>-99889.2960677078</v>
      </c>
      <c r="AL120" s="84" t="n">
        <f aca="false">-(AL103*INDEX(Premissas!$C$64:$G$64,AL$7)+(AL101-AL103)*INDEX(Premissas!$C$65:$G$65,AL$7)+IF(AL$4&gt;=Premissas!$B$62,INDEX(Premissas!$C$63:$G$63,AL$7),0))</f>
        <v>-108266.473507048</v>
      </c>
      <c r="AM120" s="84" t="n">
        <f aca="false">-(AM103*INDEX(Premissas!$C$64:$G$64,AM$7)+(AM101-AM103)*INDEX(Premissas!$C$65:$G$65,AM$7)+IF(AM$4&gt;=Premissas!$B$62,INDEX(Premissas!$C$63:$G$63,AM$7),0))</f>
        <v>-114817.12189871</v>
      </c>
      <c r="AN120" s="84" t="n">
        <f aca="false">-(AN103*INDEX(Premissas!$C$64:$G$64,AN$7)+(AN101-AN103)*INDEX(Premissas!$C$65:$G$65,AN$7)+IF(AN$4&gt;=Premissas!$B$62,INDEX(Premissas!$C$63:$G$63,AN$7),0))</f>
        <v>-121053.362807572</v>
      </c>
      <c r="AO120" s="84" t="n">
        <f aca="false">-(AO103*INDEX(Premissas!$C$64:$G$64,AO$7)+(AO101-AO103)*INDEX(Premissas!$C$65:$G$65,AO$7)+IF(AO$4&gt;=Premissas!$B$62,INDEX(Premissas!$C$63:$G$63,AO$7),0))</f>
        <v>-126989.200352808</v>
      </c>
      <c r="AP120" s="84" t="n">
        <f aca="false">-(AP103*INDEX(Premissas!$C$64:$G$64,AP$7)+(AP101-AP103)*INDEX(Premissas!$C$65:$G$65,AP$7)+IF(AP$4&gt;=Premissas!$B$62,INDEX(Premissas!$C$63:$G$63,AP$7),0))</f>
        <v>-132641.488815874</v>
      </c>
      <c r="AQ120" s="84" t="n">
        <f aca="false">-(AQ103*INDEX(Premissas!$C$64:$G$64,AQ$7)+(AQ101-AQ103)*INDEX(Premissas!$C$65:$G$65,AQ$7)+IF(AQ$4&gt;=Premissas!$B$62,INDEX(Premissas!$C$63:$G$63,AQ$7),0))</f>
        <v>-138022.057672712</v>
      </c>
      <c r="AR120" s="84" t="n">
        <f aca="false">-(AR103*INDEX(Premissas!$C$64:$G$64,AR$7)+(AR101-AR103)*INDEX(Premissas!$C$65:$G$65,AR$7)+IF(AR$4&gt;=Premissas!$B$62,INDEX(Premissas!$C$63:$G$63,AR$7),0))</f>
        <v>-143143.626384421</v>
      </c>
      <c r="AS120" s="84" t="n">
        <f aca="false">-(AS103*INDEX(Premissas!$C$64:$G$64,AS$7)+(AS101-AS103)*INDEX(Premissas!$C$65:$G$65,AS$7)+IF(AS$4&gt;=Premissas!$B$62,INDEX(Premissas!$C$63:$G$63,AS$7),0))</f>
        <v>-148020.793957969</v>
      </c>
      <c r="AT120" s="84" t="n">
        <f aca="false">-(AT103*INDEX(Premissas!$C$64:$G$64,AT$7)+(AT101-AT103)*INDEX(Premissas!$C$65:$G$65,AT$7)+IF(AT$4&gt;=Premissas!$B$62,INDEX(Premissas!$C$63:$G$63,AT$7),0))</f>
        <v>-152662.163287987</v>
      </c>
      <c r="AU120" s="84" t="n">
        <f aca="false">-(AU103*INDEX(Premissas!$C$64:$G$64,AU$7)+(AU101-AU103)*INDEX(Premissas!$C$65:$G$65,AU$7)+IF(AU$4&gt;=Premissas!$B$62,INDEX(Premissas!$C$63:$G$63,AU$7),0))</f>
        <v>-157082.165290163</v>
      </c>
      <c r="AV120" s="84" t="n">
        <f aca="false">-(AV103*INDEX(Premissas!$C$64:$G$64,AV$7)+(AV101-AV103)*INDEX(Premissas!$C$65:$G$65,AV$7)+IF(AV$4&gt;=Premissas!$B$62,INDEX(Premissas!$C$63:$G$63,AV$7),0))</f>
        <v>-161289.242836236</v>
      </c>
      <c r="AW120" s="84" t="n">
        <f aca="false">-(AW103*INDEX(Premissas!$C$64:$G$64,AW$7)+(AW101-AW103)*INDEX(Premissas!$C$65:$G$65,AW$7)+IF(AW$4&gt;=Premissas!$B$62,INDEX(Premissas!$C$63:$G$63,AW$7),0))</f>
        <v>-165294.719500096</v>
      </c>
      <c r="AX120" s="84" t="n">
        <f aca="false">-(AX103*INDEX(Premissas!$C$64:$G$64,AX$7)+(AX101-AX103)*INDEX(Premissas!$C$65:$G$65,AX$7)+IF(AX$4&gt;=Premissas!$B$62,INDEX(Premissas!$C$63:$G$63,AX$7),0))</f>
        <v>-185263.451647592</v>
      </c>
      <c r="AY120" s="84" t="n">
        <f aca="false">-(AY103*INDEX(Premissas!$C$64:$G$64,AY$7)+(AY101-AY103)*INDEX(Premissas!$C$65:$G$65,AY$7)+IF(AY$4&gt;=Premissas!$B$62,INDEX(Premissas!$C$63:$G$63,AY$7),0))</f>
        <v>-193076.72904845</v>
      </c>
      <c r="AZ120" s="84" t="n">
        <f aca="false">-(AZ103*INDEX(Premissas!$C$64:$G$64,AZ$7)+(AZ101-AZ103)*INDEX(Premissas!$C$65:$G$65,AZ$7)+IF(AZ$4&gt;=Premissas!$B$62,INDEX(Premissas!$C$63:$G$63,AZ$7),0))</f>
        <v>-200539.03289127</v>
      </c>
      <c r="BA120" s="84" t="n">
        <f aca="false">-(BA103*INDEX(Premissas!$C$64:$G$64,BA$7)+(BA101-BA103)*INDEX(Premissas!$C$65:$G$65,BA$7)+IF(BA$4&gt;=Premissas!$B$62,INDEX(Premissas!$C$63:$G$63,BA$7),0))</f>
        <v>-207665.046311163</v>
      </c>
      <c r="BB120" s="84" t="n">
        <f aca="false">-(BB103*INDEX(Premissas!$C$64:$G$64,BB$7)+(BB101-BB103)*INDEX(Premissas!$C$65:$G$65,BB$7)+IF(BB$4&gt;=Premissas!$B$62,INDEX(Premissas!$C$63:$G$63,BB$7),0))</f>
        <v>-214471.119252161</v>
      </c>
      <c r="BC120" s="84" t="n">
        <f aca="false">-(BC103*INDEX(Premissas!$C$64:$G$64,BC$7)+(BC101-BC103)*INDEX(Premissas!$C$65:$G$65,BC$7)+IF(BC$4&gt;=Premissas!$B$62,INDEX(Premissas!$C$63:$G$63,BC$7),0))</f>
        <v>-220969.963110813</v>
      </c>
      <c r="BD120" s="84" t="n">
        <f aca="false">-(BD103*INDEX(Premissas!$C$64:$G$64,BD$7)+(BD101-BD103)*INDEX(Premissas!$C$65:$G$65,BD$7)+IF(BD$4&gt;=Premissas!$B$62,INDEX(Premissas!$C$63:$G$63,BD$7),0))</f>
        <v>-227176.850170827</v>
      </c>
      <c r="BE120" s="84" t="n">
        <f aca="false">-(BE103*INDEX(Premissas!$C$64:$G$64,BE$7)+(BE101-BE103)*INDEX(Premissas!$C$65:$G$65,BE$7)+IF(BE$4&gt;=Premissas!$B$62,INDEX(Premissas!$C$63:$G$63,BE$7),0))</f>
        <v>-233104.307838139</v>
      </c>
      <c r="BF120" s="84" t="n">
        <f aca="false">-(BF103*INDEX(Premissas!$C$64:$G$64,BF$7)+(BF101-BF103)*INDEX(Premissas!$C$65:$G$65,BF$7)+IF(BF$4&gt;=Premissas!$B$62,INDEX(Premissas!$C$63:$G$63,BF$7),0))</f>
        <v>-238765.662685423</v>
      </c>
      <c r="BG120" s="84" t="n">
        <f aca="false">-(BG103*INDEX(Premissas!$C$64:$G$64,BG$7)+(BG101-BG103)*INDEX(Premissas!$C$65:$G$65,BG$7)+IF(BG$4&gt;=Premissas!$B$62,INDEX(Premissas!$C$63:$G$63,BG$7),0))</f>
        <v>-244171.504314579</v>
      </c>
      <c r="BH120" s="84" t="n">
        <f aca="false">-(BH103*INDEX(Premissas!$C$64:$G$64,BH$7)+(BH101-BH103)*INDEX(Premissas!$C$65:$G$65,BH$7)+IF(BH$4&gt;=Premissas!$B$62,INDEX(Premissas!$C$63:$G$63,BH$7),0))</f>
        <v>-249334.114045423</v>
      </c>
      <c r="BI120" s="84" t="n">
        <f aca="false">-(BI103*INDEX(Premissas!$C$64:$G$64,BI$7)+(BI101-BI103)*INDEX(Premissas!$C$65:$G$65,BI$7)+IF(BI$4&gt;=Premissas!$B$62,INDEX(Premissas!$C$63:$G$63,BI$7),0))</f>
        <v>-254264.813438379</v>
      </c>
      <c r="BJ120" s="69" t="n">
        <f aca="false">SUM(B120:BI120)</f>
        <v>-5670051.41888829</v>
      </c>
    </row>
    <row r="121" customFormat="false" ht="15" hidden="false" customHeight="false" outlineLevel="0" collapsed="false">
      <c r="A121" s="12" t="s">
        <v>210</v>
      </c>
      <c r="B121" s="84" t="n">
        <f aca="false">-(B103*INDEX(Premissas!$C$66:$G$66,B$7)+IF(B$4&gt;=Premissas!$B$10,INDEX(Premissas!$C$67:$G$67,B$7),0))</f>
        <v>-0</v>
      </c>
      <c r="C121" s="84" t="n">
        <f aca="false">-(C103*INDEX(Premissas!$C$66:$G$66,C$7)+IF(C$4&gt;=Premissas!$B$10,INDEX(Premissas!$C$67:$G$67,C$7),0))</f>
        <v>-0</v>
      </c>
      <c r="D121" s="84" t="n">
        <f aca="false">-(D103*INDEX(Premissas!$C$66:$G$66,D$7)+IF(D$4&gt;=Premissas!$B$10,INDEX(Premissas!$C$67:$G$67,D$7),0))</f>
        <v>-0</v>
      </c>
      <c r="E121" s="84" t="n">
        <f aca="false">-(E103*INDEX(Premissas!$C$66:$G$66,E$7)+IF(E$4&gt;=Premissas!$B$10,INDEX(Premissas!$C$67:$G$67,E$7),0))</f>
        <v>-0</v>
      </c>
      <c r="F121" s="84" t="n">
        <f aca="false">-(F103*INDEX(Premissas!$C$66:$G$66,F$7)+IF(F$4&gt;=Premissas!$B$10,INDEX(Premissas!$C$67:$G$67,F$7),0))</f>
        <v>-0</v>
      </c>
      <c r="G121" s="84" t="n">
        <f aca="false">-(G103*INDEX(Premissas!$C$66:$G$66,G$7)+IF(G$4&gt;=Premissas!$B$10,INDEX(Premissas!$C$67:$G$67,G$7),0))</f>
        <v>-0</v>
      </c>
      <c r="H121" s="84" t="n">
        <f aca="false">-(H103*INDEX(Premissas!$C$66:$G$66,H$7)+IF(H$4&gt;=Premissas!$B$10,INDEX(Premissas!$C$67:$G$67,H$7),0))</f>
        <v>-0</v>
      </c>
      <c r="I121" s="84" t="n">
        <f aca="false">-(I103*INDEX(Premissas!$C$66:$G$66,I$7)+IF(I$4&gt;=Premissas!$B$10,INDEX(Premissas!$C$67:$G$67,I$7),0))</f>
        <v>-0</v>
      </c>
      <c r="J121" s="84" t="n">
        <f aca="false">-(J103*INDEX(Premissas!$C$66:$G$66,J$7)+IF(J$4&gt;=Premissas!$B$10,INDEX(Premissas!$C$67:$G$67,J$7),0))</f>
        <v>-0</v>
      </c>
      <c r="K121" s="84" t="n">
        <f aca="false">-(K103*INDEX(Premissas!$C$66:$G$66,K$7)+IF(K$4&gt;=Premissas!$B$10,INDEX(Premissas!$C$67:$G$67,K$7),0))</f>
        <v>-620.9</v>
      </c>
      <c r="L121" s="84" t="n">
        <f aca="false">-(L103*INDEX(Premissas!$C$66:$G$66,L$7)+IF(L$4&gt;=Premissas!$B$10,INDEX(Premissas!$C$67:$G$67,L$7),0))</f>
        <v>-1204.35</v>
      </c>
      <c r="M121" s="84" t="n">
        <f aca="false">-(M103*INDEX(Premissas!$C$66:$G$66,M$7)+IF(M$4&gt;=Premissas!$B$10,INDEX(Premissas!$C$67:$G$67,M$7),0))</f>
        <v>-1753.15</v>
      </c>
      <c r="N121" s="84" t="n">
        <f aca="false">-(N103*INDEX(Premissas!$C$66:$G$66,N$7)+IF(N$4&gt;=Premissas!$B$10,INDEX(Premissas!$C$67:$G$67,N$7),0))</f>
        <v>-5817.15</v>
      </c>
      <c r="O121" s="84" t="n">
        <f aca="false">-(O103*INDEX(Premissas!$C$66:$G$66,O$7)+IF(O$4&gt;=Premissas!$B$10,INDEX(Premissas!$C$67:$G$67,O$7),0))</f>
        <v>-6586.1</v>
      </c>
      <c r="P121" s="84" t="n">
        <f aca="false">-(P103*INDEX(Premissas!$C$66:$G$66,P$7)+IF(P$4&gt;=Premissas!$B$10,INDEX(Premissas!$C$67:$G$67,P$7),0))</f>
        <v>-7313.05</v>
      </c>
      <c r="Q121" s="84" t="n">
        <f aca="false">-(Q103*INDEX(Premissas!$C$66:$G$66,Q$7)+IF(Q$4&gt;=Premissas!$B$10,INDEX(Premissas!$C$67:$G$67,Q$7),0))</f>
        <v>-7999.75</v>
      </c>
      <c r="R121" s="84" t="n">
        <f aca="false">-(R103*INDEX(Premissas!$C$66:$G$66,R$7)+IF(R$4&gt;=Premissas!$B$10,INDEX(Premissas!$C$67:$G$67,R$7),0))</f>
        <v>-8648.65</v>
      </c>
      <c r="S121" s="84" t="n">
        <f aca="false">-(S103*INDEX(Premissas!$C$66:$G$66,S$7)+IF(S$4&gt;=Premissas!$B$10,INDEX(Premissas!$C$67:$G$67,S$7),0))</f>
        <v>-9262.2</v>
      </c>
      <c r="T121" s="84" t="n">
        <f aca="false">-(T103*INDEX(Premissas!$C$66:$G$66,T$7)+IF(T$4&gt;=Premissas!$B$10,INDEX(Premissas!$C$67:$G$67,T$7),0))</f>
        <v>-9841.8</v>
      </c>
      <c r="U121" s="84" t="n">
        <f aca="false">-(U103*INDEX(Premissas!$C$66:$G$66,U$7)+IF(U$4&gt;=Premissas!$B$10,INDEX(Premissas!$C$67:$G$67,U$7),0))</f>
        <v>-10389.55</v>
      </c>
      <c r="V121" s="84" t="n">
        <f aca="false">-(V103*INDEX(Premissas!$C$66:$G$66,V$7)+IF(V$4&gt;=Premissas!$B$10,INDEX(Premissas!$C$67:$G$67,V$7),0))</f>
        <v>-10906.85</v>
      </c>
      <c r="W121" s="84" t="n">
        <f aca="false">-(W103*INDEX(Premissas!$C$66:$G$66,W$7)+IF(W$4&gt;=Premissas!$B$10,INDEX(Premissas!$C$67:$G$67,W$7),0))</f>
        <v>-11396.15</v>
      </c>
      <c r="X121" s="84" t="n">
        <f aca="false">-(X103*INDEX(Premissas!$C$66:$G$66,X$7)+IF(X$4&gt;=Premissas!$B$10,INDEX(Premissas!$C$67:$G$67,X$7),0))</f>
        <v>-11858.5</v>
      </c>
      <c r="Y121" s="84" t="n">
        <f aca="false">-(Y103*INDEX(Premissas!$C$66:$G$66,Y$7)+IF(Y$4&gt;=Premissas!$B$10,INDEX(Premissas!$C$67:$G$67,Y$7),0))</f>
        <v>-12294.95</v>
      </c>
      <c r="Z121" s="84" t="n">
        <f aca="false">-(Z103*INDEX(Premissas!$C$66:$G$66,Z$7)+IF(Z$4&gt;=Premissas!$B$10,INDEX(Premissas!$C$67:$G$67,Z$7),0))</f>
        <v>-24775.8</v>
      </c>
      <c r="AA121" s="84" t="n">
        <f aca="false">-(AA103*INDEX(Premissas!$C$66:$G$66,AA$7)+IF(AA$4&gt;=Premissas!$B$10,INDEX(Premissas!$C$67:$G$67,AA$7),0))</f>
        <v>-26021.1</v>
      </c>
      <c r="AB121" s="84" t="n">
        <f aca="false">-(AB103*INDEX(Premissas!$C$66:$G$66,AB$7)+IF(AB$4&gt;=Premissas!$B$10,INDEX(Premissas!$C$67:$G$67,AB$7),0))</f>
        <v>-27204</v>
      </c>
      <c r="AC121" s="84" t="n">
        <f aca="false">-(AC103*INDEX(Premissas!$C$66:$G$66,AC$7)+IF(AC$4&gt;=Premissas!$B$10,INDEX(Premissas!$C$67:$G$67,AC$7),0))</f>
        <v>-28327.8</v>
      </c>
      <c r="AD121" s="84" t="n">
        <f aca="false">-(AD103*INDEX(Premissas!$C$66:$G$66,AD$7)+IF(AD$4&gt;=Premissas!$B$10,INDEX(Premissas!$C$67:$G$67,AD$7),0))</f>
        <v>-29395.5</v>
      </c>
      <c r="AE121" s="84" t="n">
        <f aca="false">-(AE103*INDEX(Premissas!$C$66:$G$66,AE$7)+IF(AE$4&gt;=Premissas!$B$10,INDEX(Premissas!$C$67:$G$67,AE$7),0))</f>
        <v>-30409.8</v>
      </c>
      <c r="AF121" s="84" t="n">
        <f aca="false">-(AF103*INDEX(Premissas!$C$66:$G$66,AF$7)+IF(AF$4&gt;=Premissas!$B$10,INDEX(Premissas!$C$67:$G$67,AF$7),0))</f>
        <v>-31373.1</v>
      </c>
      <c r="AG121" s="84" t="n">
        <f aca="false">-(AG103*INDEX(Premissas!$C$66:$G$66,AG$7)+IF(AG$4&gt;=Premissas!$B$10,INDEX(Premissas!$C$67:$G$67,AG$7),0))</f>
        <v>-32288.7</v>
      </c>
      <c r="AH121" s="84" t="n">
        <f aca="false">-(AH103*INDEX(Premissas!$C$66:$G$66,AH$7)+IF(AH$4&gt;=Premissas!$B$10,INDEX(Premissas!$C$67:$G$67,AH$7),0))</f>
        <v>-33158.1</v>
      </c>
      <c r="AI121" s="84" t="n">
        <f aca="false">-(AI103*INDEX(Premissas!$C$66:$G$66,AI$7)+IF(AI$4&gt;=Premissas!$B$10,INDEX(Premissas!$C$67:$G$67,AI$7),0))</f>
        <v>-33984.3</v>
      </c>
      <c r="AJ121" s="84" t="n">
        <f aca="false">-(AJ103*INDEX(Premissas!$C$66:$G$66,AJ$7)+IF(AJ$4&gt;=Premissas!$B$10,INDEX(Premissas!$C$67:$G$67,AJ$7),0))</f>
        <v>-34769.1</v>
      </c>
      <c r="AK121" s="84" t="n">
        <f aca="false">-(AK103*INDEX(Premissas!$C$66:$G$66,AK$7)+IF(AK$4&gt;=Premissas!$B$10,INDEX(Premissas!$C$67:$G$67,AK$7),0))</f>
        <v>-35514.6</v>
      </c>
      <c r="AL121" s="84" t="n">
        <f aca="false">-(AL103*INDEX(Premissas!$C$66:$G$66,AL$7)+IF(AL$4&gt;=Premissas!$B$10,INDEX(Premissas!$C$67:$G$67,AL$7),0))</f>
        <v>-66946.12</v>
      </c>
      <c r="AM121" s="84" t="n">
        <f aca="false">-(AM103*INDEX(Premissas!$C$66:$G$66,AM$7)+IF(AM$4&gt;=Premissas!$B$10,INDEX(Premissas!$C$67:$G$67,AM$7),0))</f>
        <v>-68538.76</v>
      </c>
      <c r="AN121" s="84" t="n">
        <f aca="false">-(AN103*INDEX(Premissas!$C$66:$G$66,AN$7)+IF(AN$4&gt;=Premissas!$B$10,INDEX(Premissas!$C$67:$G$67,AN$7),0))</f>
        <v>-70054.96</v>
      </c>
      <c r="AO121" s="84" t="n">
        <f aca="false">-(AO103*INDEX(Premissas!$C$66:$G$66,AO$7)+IF(AO$4&gt;=Premissas!$B$10,INDEX(Premissas!$C$67:$G$67,AO$7),0))</f>
        <v>-71498.08</v>
      </c>
      <c r="AP121" s="84" t="n">
        <f aca="false">-(AP103*INDEX(Premissas!$C$66:$G$66,AP$7)+IF(AP$4&gt;=Premissas!$B$10,INDEX(Premissas!$C$67:$G$67,AP$7),0))</f>
        <v>-72872.32</v>
      </c>
      <c r="AQ121" s="84" t="n">
        <f aca="false">-(AQ103*INDEX(Premissas!$C$66:$G$66,AQ$7)+IF(AQ$4&gt;=Premissas!$B$10,INDEX(Premissas!$C$67:$G$67,AQ$7),0))</f>
        <v>-74180.48</v>
      </c>
      <c r="AR121" s="84" t="n">
        <f aca="false">-(AR103*INDEX(Premissas!$C$66:$G$66,AR$7)+IF(AR$4&gt;=Premissas!$B$10,INDEX(Premissas!$C$67:$G$67,AR$7),0))</f>
        <v>-75425.64</v>
      </c>
      <c r="AS121" s="84" t="n">
        <f aca="false">-(AS103*INDEX(Premissas!$C$66:$G$66,AS$7)+IF(AS$4&gt;=Premissas!$B$10,INDEX(Premissas!$C$67:$G$67,AS$7),0))</f>
        <v>-76611.44</v>
      </c>
      <c r="AT121" s="84" t="n">
        <f aca="false">-(AT103*INDEX(Premissas!$C$66:$G$66,AT$7)+IF(AT$4&gt;=Premissas!$B$10,INDEX(Premissas!$C$67:$G$67,AT$7),0))</f>
        <v>-77739.84</v>
      </c>
      <c r="AU121" s="84" t="n">
        <f aca="false">-(AU103*INDEX(Premissas!$C$66:$G$66,AU$7)+IF(AU$4&gt;=Premissas!$B$10,INDEX(Premissas!$C$67:$G$67,AU$7),0))</f>
        <v>-78814.48</v>
      </c>
      <c r="AV121" s="84" t="n">
        <f aca="false">-(AV103*INDEX(Premissas!$C$66:$G$66,AV$7)+IF(AV$4&gt;=Premissas!$B$10,INDEX(Premissas!$C$67:$G$67,AV$7),0))</f>
        <v>-79837.32</v>
      </c>
      <c r="AW121" s="84" t="n">
        <f aca="false">-(AW103*INDEX(Premissas!$C$66:$G$66,AW$7)+IF(AW$4&gt;=Premissas!$B$10,INDEX(Premissas!$C$67:$G$67,AW$7),0))</f>
        <v>-80811.16</v>
      </c>
      <c r="AX121" s="84" t="n">
        <f aca="false">-(AX103*INDEX(Premissas!$C$66:$G$66,AX$7)+IF(AX$4&gt;=Premissas!$B$10,INDEX(Premissas!$C$67:$G$67,AX$7),0))</f>
        <v>-127503.25</v>
      </c>
      <c r="AY121" s="84" t="n">
        <f aca="false">-(AY103*INDEX(Premissas!$C$66:$G$66,AY$7)+IF(AY$4&gt;=Premissas!$B$10,INDEX(Premissas!$C$67:$G$67,AY$7),0))</f>
        <v>-129390.5</v>
      </c>
      <c r="AZ121" s="84" t="n">
        <f aca="false">-(AZ103*INDEX(Premissas!$C$66:$G$66,AZ$7)+IF(AZ$4&gt;=Premissas!$B$10,INDEX(Premissas!$C$67:$G$67,AZ$7),0))</f>
        <v>-131193</v>
      </c>
      <c r="BA121" s="84" t="n">
        <f aca="false">-(BA103*INDEX(Premissas!$C$66:$G$66,BA$7)+IF(BA$4&gt;=Premissas!$B$10,INDEX(Premissas!$C$67:$G$67,BA$7),0))</f>
        <v>-132914.25</v>
      </c>
      <c r="BB121" s="84" t="n">
        <f aca="false">-(BB103*INDEX(Premissas!$C$66:$G$66,BB$7)+IF(BB$4&gt;=Premissas!$B$10,INDEX(Premissas!$C$67:$G$67,BB$7),0))</f>
        <v>-134558.25</v>
      </c>
      <c r="BC121" s="84" t="n">
        <f aca="false">-(BC103*INDEX(Premissas!$C$66:$G$66,BC$7)+IF(BC$4&gt;=Premissas!$B$10,INDEX(Premissas!$C$67:$G$67,BC$7),0))</f>
        <v>-136128</v>
      </c>
      <c r="BD121" s="84" t="n">
        <f aca="false">-(BD103*INDEX(Premissas!$C$66:$G$66,BD$7)+IF(BD$4&gt;=Premissas!$B$10,INDEX(Premissas!$C$67:$G$67,BD$7),0))</f>
        <v>-137627.25</v>
      </c>
      <c r="BE121" s="84" t="n">
        <f aca="false">-(BE103*INDEX(Premissas!$C$66:$G$66,BE$7)+IF(BE$4&gt;=Premissas!$B$10,INDEX(Premissas!$C$67:$G$67,BE$7),0))</f>
        <v>-139059</v>
      </c>
      <c r="BF121" s="84" t="n">
        <f aca="false">-(BF103*INDEX(Premissas!$C$66:$G$66,BF$7)+IF(BF$4&gt;=Premissas!$B$10,INDEX(Premissas!$C$67:$G$67,BF$7),0))</f>
        <v>-140426.5</v>
      </c>
      <c r="BG121" s="84" t="n">
        <f aca="false">-(BG103*INDEX(Premissas!$C$66:$G$66,BG$7)+IF(BG$4&gt;=Premissas!$B$10,INDEX(Premissas!$C$67:$G$67,BG$7),0))</f>
        <v>-141732.25</v>
      </c>
      <c r="BH121" s="84" t="n">
        <f aca="false">-(BH103*INDEX(Premissas!$C$66:$G$66,BH$7)+IF(BH$4&gt;=Premissas!$B$10,INDEX(Premissas!$C$67:$G$67,BH$7),0))</f>
        <v>-142979.25</v>
      </c>
      <c r="BI121" s="84" t="n">
        <f aca="false">-(BI103*INDEX(Premissas!$C$66:$G$66,BI$7)+IF(BI$4&gt;=Premissas!$B$10,INDEX(Premissas!$C$67:$G$67,BI$7),0))</f>
        <v>-144170.25</v>
      </c>
      <c r="BJ121" s="69" t="n">
        <f aca="false">SUM(B121:BI121)</f>
        <v>-3014127.35</v>
      </c>
    </row>
    <row r="122" customFormat="false" ht="15" hidden="false" customHeight="false" outlineLevel="0" collapsed="false">
      <c r="A122" s="12" t="s">
        <v>354</v>
      </c>
      <c r="B122" s="84" t="n">
        <f aca="false">-(IF(B$4&gt;=Premissas!$B$68,INDEX(Premissas!$C$69:$G$69,B$7),0)+IF(B$4&gt;=Premissas!$B$70,INDEX(Premissas!$C$71:$G$71,B$7),0))</f>
        <v>-0</v>
      </c>
      <c r="C122" s="84" t="n">
        <f aca="false">-(IF(C$4&gt;=Premissas!$B$68,INDEX(Premissas!$C$69:$G$69,C$7),0)+IF(C$4&gt;=Premissas!$B$70,INDEX(Premissas!$C$71:$G$71,C$7),0))</f>
        <v>-0</v>
      </c>
      <c r="D122" s="84" t="n">
        <f aca="false">-(IF(D$4&gt;=Premissas!$B$68,INDEX(Premissas!$C$69:$G$69,D$7),0)+IF(D$4&gt;=Premissas!$B$70,INDEX(Premissas!$C$71:$G$71,D$7),0))</f>
        <v>-0</v>
      </c>
      <c r="E122" s="84" t="n">
        <f aca="false">-(IF(E$4&gt;=Premissas!$B$68,INDEX(Premissas!$C$69:$G$69,E$7),0)+IF(E$4&gt;=Premissas!$B$70,INDEX(Premissas!$C$71:$G$71,E$7),0))</f>
        <v>-0</v>
      </c>
      <c r="F122" s="84" t="n">
        <f aca="false">-(IF(F$4&gt;=Premissas!$B$68,INDEX(Premissas!$C$69:$G$69,F$7),0)+IF(F$4&gt;=Premissas!$B$70,INDEX(Premissas!$C$71:$G$71,F$7),0))</f>
        <v>-0</v>
      </c>
      <c r="G122" s="84" t="n">
        <f aca="false">-(IF(G$4&gt;=Premissas!$B$68,INDEX(Premissas!$C$69:$G$69,G$7),0)+IF(G$4&gt;=Premissas!$B$70,INDEX(Premissas!$C$71:$G$71,G$7),0))</f>
        <v>-0</v>
      </c>
      <c r="H122" s="84" t="n">
        <f aca="false">-(IF(H$4&gt;=Premissas!$B$68,INDEX(Premissas!$C$69:$G$69,H$7),0)+IF(H$4&gt;=Premissas!$B$70,INDEX(Premissas!$C$71:$G$71,H$7),0))</f>
        <v>-0</v>
      </c>
      <c r="I122" s="84" t="n">
        <f aca="false">-(IF(I$4&gt;=Premissas!$B$68,INDEX(Premissas!$C$69:$G$69,I$7),0)+IF(I$4&gt;=Premissas!$B$70,INDEX(Premissas!$C$71:$G$71,I$7),0))</f>
        <v>-0</v>
      </c>
      <c r="J122" s="84" t="n">
        <f aca="false">-(IF(J$4&gt;=Premissas!$B$68,INDEX(Premissas!$C$69:$G$69,J$7),0)+IF(J$4&gt;=Premissas!$B$70,INDEX(Premissas!$C$71:$G$71,J$7),0))</f>
        <v>-0</v>
      </c>
      <c r="K122" s="84" t="n">
        <f aca="false">-(IF(K$4&gt;=Premissas!$B$68,INDEX(Premissas!$C$69:$G$69,K$7),0)+IF(K$4&gt;=Premissas!$B$70,INDEX(Premissas!$C$71:$G$71,K$7),0))</f>
        <v>-0</v>
      </c>
      <c r="L122" s="84" t="n">
        <f aca="false">-(IF(L$4&gt;=Premissas!$B$68,INDEX(Premissas!$C$69:$G$69,L$7),0)+IF(L$4&gt;=Premissas!$B$70,INDEX(Premissas!$C$71:$G$71,L$7),0))</f>
        <v>-4000</v>
      </c>
      <c r="M122" s="84" t="n">
        <f aca="false">-(IF(M$4&gt;=Premissas!$B$68,INDEX(Premissas!$C$69:$G$69,M$7),0)+IF(M$4&gt;=Premissas!$B$70,INDEX(Premissas!$C$71:$G$71,M$7),0))</f>
        <v>-4000</v>
      </c>
      <c r="N122" s="84" t="n">
        <f aca="false">-(IF(N$4&gt;=Premissas!$B$68,INDEX(Premissas!$C$69:$G$69,N$7),0)+IF(N$4&gt;=Premissas!$B$70,INDEX(Premissas!$C$71:$G$71,N$7),0))</f>
        <v>-40000</v>
      </c>
      <c r="O122" s="84" t="n">
        <f aca="false">-(IF(O$4&gt;=Premissas!$B$68,INDEX(Premissas!$C$69:$G$69,O$7),0)+IF(O$4&gt;=Premissas!$B$70,INDEX(Premissas!$C$71:$G$71,O$7),0))</f>
        <v>-40000</v>
      </c>
      <c r="P122" s="84" t="n">
        <f aca="false">-(IF(P$4&gt;=Premissas!$B$68,INDEX(Premissas!$C$69:$G$69,P$7),0)+IF(P$4&gt;=Premissas!$B$70,INDEX(Premissas!$C$71:$G$71,P$7),0))</f>
        <v>-40000</v>
      </c>
      <c r="Q122" s="84" t="n">
        <f aca="false">-(IF(Q$4&gt;=Premissas!$B$68,INDEX(Premissas!$C$69:$G$69,Q$7),0)+IF(Q$4&gt;=Premissas!$B$70,INDEX(Premissas!$C$71:$G$71,Q$7),0))</f>
        <v>-40000</v>
      </c>
      <c r="R122" s="84" t="n">
        <f aca="false">-(IF(R$4&gt;=Premissas!$B$68,INDEX(Premissas!$C$69:$G$69,R$7),0)+IF(R$4&gt;=Premissas!$B$70,INDEX(Premissas!$C$71:$G$71,R$7),0))</f>
        <v>-40000</v>
      </c>
      <c r="S122" s="84" t="n">
        <f aca="false">-(IF(S$4&gt;=Premissas!$B$68,INDEX(Premissas!$C$69:$G$69,S$7),0)+IF(S$4&gt;=Premissas!$B$70,INDEX(Premissas!$C$71:$G$71,S$7),0))</f>
        <v>-40000</v>
      </c>
      <c r="T122" s="84" t="n">
        <f aca="false">-(IF(T$4&gt;=Premissas!$B$68,INDEX(Premissas!$C$69:$G$69,T$7),0)+IF(T$4&gt;=Premissas!$B$70,INDEX(Premissas!$C$71:$G$71,T$7),0))</f>
        <v>-40000</v>
      </c>
      <c r="U122" s="84" t="n">
        <f aca="false">-(IF(U$4&gt;=Premissas!$B$68,INDEX(Premissas!$C$69:$G$69,U$7),0)+IF(U$4&gt;=Premissas!$B$70,INDEX(Premissas!$C$71:$G$71,U$7),0))</f>
        <v>-40000</v>
      </c>
      <c r="V122" s="84" t="n">
        <f aca="false">-(IF(V$4&gt;=Premissas!$B$68,INDEX(Premissas!$C$69:$G$69,V$7),0)+IF(V$4&gt;=Premissas!$B$70,INDEX(Premissas!$C$71:$G$71,V$7),0))</f>
        <v>-40000</v>
      </c>
      <c r="W122" s="84" t="n">
        <f aca="false">-(IF(W$4&gt;=Premissas!$B$68,INDEX(Premissas!$C$69:$G$69,W$7),0)+IF(W$4&gt;=Premissas!$B$70,INDEX(Premissas!$C$71:$G$71,W$7),0))</f>
        <v>-40000</v>
      </c>
      <c r="X122" s="84" t="n">
        <f aca="false">-(IF(X$4&gt;=Premissas!$B$68,INDEX(Premissas!$C$69:$G$69,X$7),0)+IF(X$4&gt;=Premissas!$B$70,INDEX(Premissas!$C$71:$G$71,X$7),0))</f>
        <v>-40000</v>
      </c>
      <c r="Y122" s="84" t="n">
        <f aca="false">-(IF(Y$4&gt;=Premissas!$B$68,INDEX(Premissas!$C$69:$G$69,Y$7),0)+IF(Y$4&gt;=Premissas!$B$70,INDEX(Premissas!$C$71:$G$71,Y$7),0))</f>
        <v>-40000</v>
      </c>
      <c r="Z122" s="84" t="n">
        <f aca="false">-(IF(Z$4&gt;=Premissas!$B$68,INDEX(Premissas!$C$69:$G$69,Z$7),0)+IF(Z$4&gt;=Premissas!$B$70,INDEX(Premissas!$C$71:$G$71,Z$7),0))</f>
        <v>-130000</v>
      </c>
      <c r="AA122" s="84" t="n">
        <f aca="false">-(IF(AA$4&gt;=Premissas!$B$68,INDEX(Premissas!$C$69:$G$69,AA$7),0)+IF(AA$4&gt;=Premissas!$B$70,INDEX(Premissas!$C$71:$G$71,AA$7),0))</f>
        <v>-130000</v>
      </c>
      <c r="AB122" s="84" t="n">
        <f aca="false">-(IF(AB$4&gt;=Premissas!$B$68,INDEX(Premissas!$C$69:$G$69,AB$7),0)+IF(AB$4&gt;=Premissas!$B$70,INDEX(Premissas!$C$71:$G$71,AB$7),0))</f>
        <v>-130000</v>
      </c>
      <c r="AC122" s="84" t="n">
        <f aca="false">-(IF(AC$4&gt;=Premissas!$B$68,INDEX(Premissas!$C$69:$G$69,AC$7),0)+IF(AC$4&gt;=Premissas!$B$70,INDEX(Premissas!$C$71:$G$71,AC$7),0))</f>
        <v>-130000</v>
      </c>
      <c r="AD122" s="84" t="n">
        <f aca="false">-(IF(AD$4&gt;=Premissas!$B$68,INDEX(Premissas!$C$69:$G$69,AD$7),0)+IF(AD$4&gt;=Premissas!$B$70,INDEX(Premissas!$C$71:$G$71,AD$7),0))</f>
        <v>-130000</v>
      </c>
      <c r="AE122" s="84" t="n">
        <f aca="false">-(IF(AE$4&gt;=Premissas!$B$68,INDEX(Premissas!$C$69:$G$69,AE$7),0)+IF(AE$4&gt;=Premissas!$B$70,INDEX(Premissas!$C$71:$G$71,AE$7),0))</f>
        <v>-130000</v>
      </c>
      <c r="AF122" s="84" t="n">
        <f aca="false">-(IF(AF$4&gt;=Premissas!$B$68,INDEX(Premissas!$C$69:$G$69,AF$7),0)+IF(AF$4&gt;=Premissas!$B$70,INDEX(Premissas!$C$71:$G$71,AF$7),0))</f>
        <v>-130000</v>
      </c>
      <c r="AG122" s="84" t="n">
        <f aca="false">-(IF(AG$4&gt;=Premissas!$B$68,INDEX(Premissas!$C$69:$G$69,AG$7),0)+IF(AG$4&gt;=Premissas!$B$70,INDEX(Premissas!$C$71:$G$71,AG$7),0))</f>
        <v>-130000</v>
      </c>
      <c r="AH122" s="84" t="n">
        <f aca="false">-(IF(AH$4&gt;=Premissas!$B$68,INDEX(Premissas!$C$69:$G$69,AH$7),0)+IF(AH$4&gt;=Premissas!$B$70,INDEX(Premissas!$C$71:$G$71,AH$7),0))</f>
        <v>-130000</v>
      </c>
      <c r="AI122" s="84" t="n">
        <f aca="false">-(IF(AI$4&gt;=Premissas!$B$68,INDEX(Premissas!$C$69:$G$69,AI$7),0)+IF(AI$4&gt;=Premissas!$B$70,INDEX(Premissas!$C$71:$G$71,AI$7),0))</f>
        <v>-130000</v>
      </c>
      <c r="AJ122" s="84" t="n">
        <f aca="false">-(IF(AJ$4&gt;=Premissas!$B$68,INDEX(Premissas!$C$69:$G$69,AJ$7),0)+IF(AJ$4&gt;=Premissas!$B$70,INDEX(Premissas!$C$71:$G$71,AJ$7),0))</f>
        <v>-130000</v>
      </c>
      <c r="AK122" s="84" t="n">
        <f aca="false">-(IF(AK$4&gt;=Premissas!$B$68,INDEX(Premissas!$C$69:$G$69,AK$7),0)+IF(AK$4&gt;=Premissas!$B$70,INDEX(Premissas!$C$71:$G$71,AK$7),0))</f>
        <v>-130000</v>
      </c>
      <c r="AL122" s="84" t="n">
        <f aca="false">-(IF(AL$4&gt;=Premissas!$B$68,INDEX(Premissas!$C$69:$G$69,AL$7),0)+IF(AL$4&gt;=Premissas!$B$70,INDEX(Premissas!$C$71:$G$71,AL$7),0))</f>
        <v>-300000</v>
      </c>
      <c r="AM122" s="84" t="n">
        <f aca="false">-(IF(AM$4&gt;=Premissas!$B$68,INDEX(Premissas!$C$69:$G$69,AM$7),0)+IF(AM$4&gt;=Premissas!$B$70,INDEX(Premissas!$C$71:$G$71,AM$7),0))</f>
        <v>-300000</v>
      </c>
      <c r="AN122" s="84" t="n">
        <f aca="false">-(IF(AN$4&gt;=Premissas!$B$68,INDEX(Premissas!$C$69:$G$69,AN$7),0)+IF(AN$4&gt;=Premissas!$B$70,INDEX(Premissas!$C$71:$G$71,AN$7),0))</f>
        <v>-300000</v>
      </c>
      <c r="AO122" s="84" t="n">
        <f aca="false">-(IF(AO$4&gt;=Premissas!$B$68,INDEX(Premissas!$C$69:$G$69,AO$7),0)+IF(AO$4&gt;=Premissas!$B$70,INDEX(Premissas!$C$71:$G$71,AO$7),0))</f>
        <v>-300000</v>
      </c>
      <c r="AP122" s="84" t="n">
        <f aca="false">-(IF(AP$4&gt;=Premissas!$B$68,INDEX(Premissas!$C$69:$G$69,AP$7),0)+IF(AP$4&gt;=Premissas!$B$70,INDEX(Premissas!$C$71:$G$71,AP$7),0))</f>
        <v>-300000</v>
      </c>
      <c r="AQ122" s="84" t="n">
        <f aca="false">-(IF(AQ$4&gt;=Premissas!$B$68,INDEX(Premissas!$C$69:$G$69,AQ$7),0)+IF(AQ$4&gt;=Premissas!$B$70,INDEX(Premissas!$C$71:$G$71,AQ$7),0))</f>
        <v>-300000</v>
      </c>
      <c r="AR122" s="84" t="n">
        <f aca="false">-(IF(AR$4&gt;=Premissas!$B$68,INDEX(Premissas!$C$69:$G$69,AR$7),0)+IF(AR$4&gt;=Premissas!$B$70,INDEX(Premissas!$C$71:$G$71,AR$7),0))</f>
        <v>-300000</v>
      </c>
      <c r="AS122" s="84" t="n">
        <f aca="false">-(IF(AS$4&gt;=Premissas!$B$68,INDEX(Premissas!$C$69:$G$69,AS$7),0)+IF(AS$4&gt;=Premissas!$B$70,INDEX(Premissas!$C$71:$G$71,AS$7),0))</f>
        <v>-300000</v>
      </c>
      <c r="AT122" s="84" t="n">
        <f aca="false">-(IF(AT$4&gt;=Premissas!$B$68,INDEX(Premissas!$C$69:$G$69,AT$7),0)+IF(AT$4&gt;=Premissas!$B$70,INDEX(Premissas!$C$71:$G$71,AT$7),0))</f>
        <v>-300000</v>
      </c>
      <c r="AU122" s="84" t="n">
        <f aca="false">-(IF(AU$4&gt;=Premissas!$B$68,INDEX(Premissas!$C$69:$G$69,AU$7),0)+IF(AU$4&gt;=Premissas!$B$70,INDEX(Premissas!$C$71:$G$71,AU$7),0))</f>
        <v>-300000</v>
      </c>
      <c r="AV122" s="84" t="n">
        <f aca="false">-(IF(AV$4&gt;=Premissas!$B$68,INDEX(Premissas!$C$69:$G$69,AV$7),0)+IF(AV$4&gt;=Premissas!$B$70,INDEX(Premissas!$C$71:$G$71,AV$7),0))</f>
        <v>-300000</v>
      </c>
      <c r="AW122" s="84" t="n">
        <f aca="false">-(IF(AW$4&gt;=Premissas!$B$68,INDEX(Premissas!$C$69:$G$69,AW$7),0)+IF(AW$4&gt;=Premissas!$B$70,INDEX(Premissas!$C$71:$G$71,AW$7),0))</f>
        <v>-300000</v>
      </c>
      <c r="AX122" s="84" t="n">
        <f aca="false">-(IF(AX$4&gt;=Premissas!$B$68,INDEX(Premissas!$C$69:$G$69,AX$7),0)+IF(AX$4&gt;=Premissas!$B$70,INDEX(Premissas!$C$71:$G$71,AX$7),0))</f>
        <v>-560000</v>
      </c>
      <c r="AY122" s="84" t="n">
        <f aca="false">-(IF(AY$4&gt;=Premissas!$B$68,INDEX(Premissas!$C$69:$G$69,AY$7),0)+IF(AY$4&gt;=Premissas!$B$70,INDEX(Premissas!$C$71:$G$71,AY$7),0))</f>
        <v>-560000</v>
      </c>
      <c r="AZ122" s="84" t="n">
        <f aca="false">-(IF(AZ$4&gt;=Premissas!$B$68,INDEX(Premissas!$C$69:$G$69,AZ$7),0)+IF(AZ$4&gt;=Premissas!$B$70,INDEX(Premissas!$C$71:$G$71,AZ$7),0))</f>
        <v>-560000</v>
      </c>
      <c r="BA122" s="84" t="n">
        <f aca="false">-(IF(BA$4&gt;=Premissas!$B$68,INDEX(Premissas!$C$69:$G$69,BA$7),0)+IF(BA$4&gt;=Premissas!$B$70,INDEX(Premissas!$C$71:$G$71,BA$7),0))</f>
        <v>-560000</v>
      </c>
      <c r="BB122" s="84" t="n">
        <f aca="false">-(IF(BB$4&gt;=Premissas!$B$68,INDEX(Premissas!$C$69:$G$69,BB$7),0)+IF(BB$4&gt;=Premissas!$B$70,INDEX(Premissas!$C$71:$G$71,BB$7),0))</f>
        <v>-560000</v>
      </c>
      <c r="BC122" s="84" t="n">
        <f aca="false">-(IF(BC$4&gt;=Premissas!$B$68,INDEX(Premissas!$C$69:$G$69,BC$7),0)+IF(BC$4&gt;=Premissas!$B$70,INDEX(Premissas!$C$71:$G$71,BC$7),0))</f>
        <v>-560000</v>
      </c>
      <c r="BD122" s="84" t="n">
        <f aca="false">-(IF(BD$4&gt;=Premissas!$B$68,INDEX(Premissas!$C$69:$G$69,BD$7),0)+IF(BD$4&gt;=Premissas!$B$70,INDEX(Premissas!$C$71:$G$71,BD$7),0))</f>
        <v>-560000</v>
      </c>
      <c r="BE122" s="84" t="n">
        <f aca="false">-(IF(BE$4&gt;=Premissas!$B$68,INDEX(Premissas!$C$69:$G$69,BE$7),0)+IF(BE$4&gt;=Premissas!$B$70,INDEX(Premissas!$C$71:$G$71,BE$7),0))</f>
        <v>-560000</v>
      </c>
      <c r="BF122" s="84" t="n">
        <f aca="false">-(IF(BF$4&gt;=Premissas!$B$68,INDEX(Premissas!$C$69:$G$69,BF$7),0)+IF(BF$4&gt;=Premissas!$B$70,INDEX(Premissas!$C$71:$G$71,BF$7),0))</f>
        <v>-560000</v>
      </c>
      <c r="BG122" s="84" t="n">
        <f aca="false">-(IF(BG$4&gt;=Premissas!$B$68,INDEX(Premissas!$C$69:$G$69,BG$7),0)+IF(BG$4&gt;=Premissas!$B$70,INDEX(Premissas!$C$71:$G$71,BG$7),0))</f>
        <v>-560000</v>
      </c>
      <c r="BH122" s="84" t="n">
        <f aca="false">-(IF(BH$4&gt;=Premissas!$B$68,INDEX(Premissas!$C$69:$G$69,BH$7),0)+IF(BH$4&gt;=Premissas!$B$70,INDEX(Premissas!$C$71:$G$71,BH$7),0))</f>
        <v>-560000</v>
      </c>
      <c r="BI122" s="84" t="n">
        <f aca="false">-(IF(BI$4&gt;=Premissas!$B$68,INDEX(Premissas!$C$69:$G$69,BI$7),0)+IF(BI$4&gt;=Premissas!$B$70,INDEX(Premissas!$C$71:$G$71,BI$7),0))</f>
        <v>-560000</v>
      </c>
      <c r="BJ122" s="69" t="n">
        <f aca="false">SUM(B122:BI122)</f>
        <v>-12368000</v>
      </c>
    </row>
    <row r="123" customFormat="false" ht="15" hidden="false" customHeight="false" outlineLevel="0" collapsed="false">
      <c r="A123" s="12" t="s">
        <v>215</v>
      </c>
      <c r="B123" s="84" t="n">
        <f aca="false">-(B98*(1-INDEX(Premissas!$C$50:$G$50,B$7))*INDEX(Premissas!$C$49:$G$49,B$7)+IF(B$4&gt;=Premissas!$B$75,INDEX(Premissas!$C$74:$G$74,B$7),0)+IF(B$4=DATE(YEAR(Premissas!$B$77),MONTH(Premissas!$B$77),1),Premissas!$B$76,0))</f>
        <v>-0</v>
      </c>
      <c r="C123" s="84" t="n">
        <f aca="false">-(C98*(1-INDEX(Premissas!$C$50:$G$50,C$7))*INDEX(Premissas!$C$49:$G$49,C$7)+IF(C$4&gt;=Premissas!$B$75,INDEX(Premissas!$C$74:$G$74,C$7),0)+IF(C$4=DATE(YEAR(Premissas!$B$77),MONTH(Premissas!$B$77),1),Premissas!$B$76,0))</f>
        <v>-0</v>
      </c>
      <c r="D123" s="84" t="n">
        <f aca="false">-(D98*(1-INDEX(Premissas!$C$50:$G$50,D$7))*INDEX(Premissas!$C$49:$G$49,D$7)+IF(D$4&gt;=Premissas!$B$75,INDEX(Premissas!$C$74:$G$74,D$7),0)+IF(D$4=DATE(YEAR(Premissas!$B$77),MONTH(Premissas!$B$77),1),Premissas!$B$76,0))</f>
        <v>-0</v>
      </c>
      <c r="E123" s="84" t="n">
        <f aca="false">-(E98*(1-INDEX(Premissas!$C$50:$G$50,E$7))*INDEX(Premissas!$C$49:$G$49,E$7)+IF(E$4&gt;=Premissas!$B$75,INDEX(Premissas!$C$74:$G$74,E$7),0)+IF(E$4=DATE(YEAR(Premissas!$B$77),MONTH(Premissas!$B$77),1),Premissas!$B$76,0))</f>
        <v>-0</v>
      </c>
      <c r="F123" s="84" t="n">
        <f aca="false">-(F98*(1-INDEX(Premissas!$C$50:$G$50,F$7))*INDEX(Premissas!$C$49:$G$49,F$7)+IF(F$4&gt;=Premissas!$B$75,INDEX(Premissas!$C$74:$G$74,F$7),0)+IF(F$4=DATE(YEAR(Premissas!$B$77),MONTH(Premissas!$B$77),1),Premissas!$B$76,0))</f>
        <v>-0</v>
      </c>
      <c r="G123" s="84" t="n">
        <f aca="false">-(G98*(1-INDEX(Premissas!$C$50:$G$50,G$7))*INDEX(Premissas!$C$49:$G$49,G$7)+IF(G$4&gt;=Premissas!$B$75,INDEX(Premissas!$C$74:$G$74,G$7),0)+IF(G$4=DATE(YEAR(Premissas!$B$77),MONTH(Premissas!$B$77),1),Premissas!$B$76,0))</f>
        <v>-0</v>
      </c>
      <c r="H123" s="84" t="n">
        <f aca="false">-(H98*(1-INDEX(Premissas!$C$50:$G$50,H$7))*INDEX(Premissas!$C$49:$G$49,H$7)+IF(H$4&gt;=Premissas!$B$75,INDEX(Premissas!$C$74:$G$74,H$7),0)+IF(H$4=DATE(YEAR(Premissas!$B$77),MONTH(Premissas!$B$77),1),Premissas!$B$76,0))</f>
        <v>-0</v>
      </c>
      <c r="I123" s="84" t="n">
        <f aca="false">-(I98*(1-INDEX(Premissas!$C$50:$G$50,I$7))*INDEX(Premissas!$C$49:$G$49,I$7)+IF(I$4&gt;=Premissas!$B$75,INDEX(Premissas!$C$74:$G$74,I$7),0)+IF(I$4=DATE(YEAR(Premissas!$B$77),MONTH(Premissas!$B$77),1),Premissas!$B$76,0))</f>
        <v>-0</v>
      </c>
      <c r="J123" s="84" t="n">
        <f aca="false">-(J98*(1-INDEX(Premissas!$C$50:$G$50,J$7))*INDEX(Premissas!$C$49:$G$49,J$7)+IF(J$4&gt;=Premissas!$B$75,INDEX(Premissas!$C$74:$G$74,J$7),0)+IF(J$4=DATE(YEAR(Premissas!$B$77),MONTH(Premissas!$B$77),1),Premissas!$B$76,0))</f>
        <v>-0</v>
      </c>
      <c r="K123" s="84" t="n">
        <f aca="false">-(K98*(1-INDEX(Premissas!$C$50:$G$50,K$7))*INDEX(Premissas!$C$49:$G$49,K$7)+IF(K$4&gt;=Premissas!$B$75,INDEX(Premissas!$C$74:$G$74,K$7),0)+IF(K$4=DATE(YEAR(Premissas!$B$77),MONTH(Premissas!$B$77),1),Premissas!$B$76,0))</f>
        <v>-54607</v>
      </c>
      <c r="L123" s="84" t="n">
        <f aca="false">-(L98*(1-INDEX(Premissas!$C$50:$G$50,L$7))*INDEX(Premissas!$C$49:$G$49,L$7)+IF(L$4&gt;=Premissas!$B$75,INDEX(Premissas!$C$74:$G$74,L$7),0)+IF(L$4=DATE(YEAR(Premissas!$B$77),MONTH(Premissas!$B$77),1),Premissas!$B$76,0))</f>
        <v>-29607</v>
      </c>
      <c r="M123" s="84" t="n">
        <f aca="false">-(M98*(1-INDEX(Premissas!$C$50:$G$50,M$7))*INDEX(Premissas!$C$49:$G$49,M$7)+IF(M$4&gt;=Premissas!$B$75,INDEX(Premissas!$C$74:$G$74,M$7),0)+IF(M$4=DATE(YEAR(Premissas!$B$77),MONTH(Premissas!$B$77),1),Premissas!$B$76,0))</f>
        <v>-29607</v>
      </c>
      <c r="N123" s="84" t="n">
        <f aca="false">-(N98*(1-INDEX(Premissas!$C$50:$G$50,N$7))*INDEX(Premissas!$C$49:$G$49,N$7)+IF(N$4&gt;=Premissas!$B$75,INDEX(Premissas!$C$74:$G$74,N$7),0)+IF(N$4=DATE(YEAR(Premissas!$B$77),MONTH(Premissas!$B$77),1),Premissas!$B$76,0))</f>
        <v>-55392</v>
      </c>
      <c r="O123" s="84" t="n">
        <f aca="false">-(O98*(1-INDEX(Premissas!$C$50:$G$50,O$7))*INDEX(Premissas!$C$49:$G$49,O$7)+IF(O$4&gt;=Premissas!$B$75,INDEX(Premissas!$C$74:$G$74,O$7),0)+IF(O$4=DATE(YEAR(Premissas!$B$77),MONTH(Premissas!$B$77),1),Premissas!$B$76,0))</f>
        <v>-55392</v>
      </c>
      <c r="P123" s="84" t="n">
        <f aca="false">-(P98*(1-INDEX(Premissas!$C$50:$G$50,P$7))*INDEX(Premissas!$C$49:$G$49,P$7)+IF(P$4&gt;=Premissas!$B$75,INDEX(Premissas!$C$74:$G$74,P$7),0)+IF(P$4=DATE(YEAR(Premissas!$B$77),MONTH(Premissas!$B$77),1),Premissas!$B$76,0))</f>
        <v>-55392</v>
      </c>
      <c r="Q123" s="84" t="n">
        <f aca="false">-(Q98*(1-INDEX(Premissas!$C$50:$G$50,Q$7))*INDEX(Premissas!$C$49:$G$49,Q$7)+IF(Q$4&gt;=Premissas!$B$75,INDEX(Premissas!$C$74:$G$74,Q$7),0)+IF(Q$4=DATE(YEAR(Premissas!$B$77),MONTH(Premissas!$B$77),1),Premissas!$B$76,0))</f>
        <v>-55392</v>
      </c>
      <c r="R123" s="84" t="n">
        <f aca="false">-(R98*(1-INDEX(Premissas!$C$50:$G$50,R$7))*INDEX(Premissas!$C$49:$G$49,R$7)+IF(R$4&gt;=Premissas!$B$75,INDEX(Premissas!$C$74:$G$74,R$7),0)+IF(R$4=DATE(YEAR(Premissas!$B$77),MONTH(Premissas!$B$77),1),Premissas!$B$76,0))</f>
        <v>-55392</v>
      </c>
      <c r="S123" s="84" t="n">
        <f aca="false">-(S98*(1-INDEX(Premissas!$C$50:$G$50,S$7))*INDEX(Premissas!$C$49:$G$49,S$7)+IF(S$4&gt;=Premissas!$B$75,INDEX(Premissas!$C$74:$G$74,S$7),0)+IF(S$4=DATE(YEAR(Premissas!$B$77),MONTH(Premissas!$B$77),1),Premissas!$B$76,0))</f>
        <v>-55392</v>
      </c>
      <c r="T123" s="84" t="n">
        <f aca="false">-(T98*(1-INDEX(Premissas!$C$50:$G$50,T$7))*INDEX(Premissas!$C$49:$G$49,T$7)+IF(T$4&gt;=Premissas!$B$75,INDEX(Premissas!$C$74:$G$74,T$7),0)+IF(T$4=DATE(YEAR(Premissas!$B$77),MONTH(Premissas!$B$77),1),Premissas!$B$76,0))</f>
        <v>-55392</v>
      </c>
      <c r="U123" s="84" t="n">
        <f aca="false">-(U98*(1-INDEX(Premissas!$C$50:$G$50,U$7))*INDEX(Premissas!$C$49:$G$49,U$7)+IF(U$4&gt;=Premissas!$B$75,INDEX(Premissas!$C$74:$G$74,U$7),0)+IF(U$4=DATE(YEAR(Premissas!$B$77),MONTH(Premissas!$B$77),1),Premissas!$B$76,0))</f>
        <v>-55392</v>
      </c>
      <c r="V123" s="84" t="n">
        <f aca="false">-(V98*(1-INDEX(Premissas!$C$50:$G$50,V$7))*INDEX(Premissas!$C$49:$G$49,V$7)+IF(V$4&gt;=Premissas!$B$75,INDEX(Premissas!$C$74:$G$74,V$7),0)+IF(V$4=DATE(YEAR(Premissas!$B$77),MONTH(Premissas!$B$77),1),Premissas!$B$76,0))</f>
        <v>-55392</v>
      </c>
      <c r="W123" s="84" t="n">
        <f aca="false">-(W98*(1-INDEX(Premissas!$C$50:$G$50,W$7))*INDEX(Premissas!$C$49:$G$49,W$7)+IF(W$4&gt;=Premissas!$B$75,INDEX(Premissas!$C$74:$G$74,W$7),0)+IF(W$4=DATE(YEAR(Premissas!$B$77),MONTH(Premissas!$B$77),1),Premissas!$B$76,0))</f>
        <v>-55392</v>
      </c>
      <c r="X123" s="84" t="n">
        <f aca="false">-(X98*(1-INDEX(Premissas!$C$50:$G$50,X$7))*INDEX(Premissas!$C$49:$G$49,X$7)+IF(X$4&gt;=Premissas!$B$75,INDEX(Premissas!$C$74:$G$74,X$7),0)+IF(X$4=DATE(YEAR(Premissas!$B$77),MONTH(Premissas!$B$77),1),Premissas!$B$76,0))</f>
        <v>-55392</v>
      </c>
      <c r="Y123" s="84" t="n">
        <f aca="false">-(Y98*(1-INDEX(Premissas!$C$50:$G$50,Y$7))*INDEX(Premissas!$C$49:$G$49,Y$7)+IF(Y$4&gt;=Premissas!$B$75,INDEX(Premissas!$C$74:$G$74,Y$7),0)+IF(Y$4=DATE(YEAR(Premissas!$B$77),MONTH(Premissas!$B$77),1),Premissas!$B$76,0))</f>
        <v>-55392</v>
      </c>
      <c r="Z123" s="84" t="n">
        <f aca="false">-(Z98*(1-INDEX(Premissas!$C$50:$G$50,Z$7))*INDEX(Premissas!$C$49:$G$49,Z$7)+IF(Z$4&gt;=Premissas!$B$75,INDEX(Premissas!$C$74:$G$74,Z$7),0)+IF(Z$4=DATE(YEAR(Premissas!$B$77),MONTH(Premissas!$B$77),1),Premissas!$B$76,0))</f>
        <v>-157240</v>
      </c>
      <c r="AA123" s="84" t="n">
        <f aca="false">-(AA98*(1-INDEX(Premissas!$C$50:$G$50,AA$7))*INDEX(Premissas!$C$49:$G$49,AA$7)+IF(AA$4&gt;=Premissas!$B$75,INDEX(Premissas!$C$74:$G$74,AA$7),0)+IF(AA$4=DATE(YEAR(Premissas!$B$77),MONTH(Premissas!$B$77),1),Premissas!$B$76,0))</f>
        <v>-157240</v>
      </c>
      <c r="AB123" s="84" t="n">
        <f aca="false">-(AB98*(1-INDEX(Premissas!$C$50:$G$50,AB$7))*INDEX(Premissas!$C$49:$G$49,AB$7)+IF(AB$4&gt;=Premissas!$B$75,INDEX(Premissas!$C$74:$G$74,AB$7),0)+IF(AB$4=DATE(YEAR(Premissas!$B$77),MONTH(Premissas!$B$77),1),Premissas!$B$76,0))</f>
        <v>-157240</v>
      </c>
      <c r="AC123" s="84" t="n">
        <f aca="false">-(AC98*(1-INDEX(Premissas!$C$50:$G$50,AC$7))*INDEX(Premissas!$C$49:$G$49,AC$7)+IF(AC$4&gt;=Premissas!$B$75,INDEX(Premissas!$C$74:$G$74,AC$7),0)+IF(AC$4=DATE(YEAR(Premissas!$B$77),MONTH(Premissas!$B$77),1),Premissas!$B$76,0))</f>
        <v>-157240</v>
      </c>
      <c r="AD123" s="84" t="n">
        <f aca="false">-(AD98*(1-INDEX(Premissas!$C$50:$G$50,AD$7))*INDEX(Premissas!$C$49:$G$49,AD$7)+IF(AD$4&gt;=Premissas!$B$75,INDEX(Premissas!$C$74:$G$74,AD$7),0)+IF(AD$4=DATE(YEAR(Premissas!$B$77),MONTH(Premissas!$B$77),1),Premissas!$B$76,0))</f>
        <v>-157240</v>
      </c>
      <c r="AE123" s="84" t="n">
        <f aca="false">-(AE98*(1-INDEX(Premissas!$C$50:$G$50,AE$7))*INDEX(Premissas!$C$49:$G$49,AE$7)+IF(AE$4&gt;=Premissas!$B$75,INDEX(Premissas!$C$74:$G$74,AE$7),0)+IF(AE$4=DATE(YEAR(Premissas!$B$77),MONTH(Premissas!$B$77),1),Premissas!$B$76,0))</f>
        <v>-157240</v>
      </c>
      <c r="AF123" s="84" t="n">
        <f aca="false">-(AF98*(1-INDEX(Premissas!$C$50:$G$50,AF$7))*INDEX(Premissas!$C$49:$G$49,AF$7)+IF(AF$4&gt;=Premissas!$B$75,INDEX(Premissas!$C$74:$G$74,AF$7),0)+IF(AF$4=DATE(YEAR(Premissas!$B$77),MONTH(Premissas!$B$77),1),Premissas!$B$76,0))</f>
        <v>-157240</v>
      </c>
      <c r="AG123" s="84" t="n">
        <f aca="false">-(AG98*(1-INDEX(Premissas!$C$50:$G$50,AG$7))*INDEX(Premissas!$C$49:$G$49,AG$7)+IF(AG$4&gt;=Premissas!$B$75,INDEX(Premissas!$C$74:$G$74,AG$7),0)+IF(AG$4=DATE(YEAR(Premissas!$B$77),MONTH(Premissas!$B$77),1),Premissas!$B$76,0))</f>
        <v>-157240</v>
      </c>
      <c r="AH123" s="84" t="n">
        <f aca="false">-(AH98*(1-INDEX(Premissas!$C$50:$G$50,AH$7))*INDEX(Premissas!$C$49:$G$49,AH$7)+IF(AH$4&gt;=Premissas!$B$75,INDEX(Premissas!$C$74:$G$74,AH$7),0)+IF(AH$4=DATE(YEAR(Premissas!$B$77),MONTH(Premissas!$B$77),1),Premissas!$B$76,0))</f>
        <v>-157240</v>
      </c>
      <c r="AI123" s="84" t="n">
        <f aca="false">-(AI98*(1-INDEX(Premissas!$C$50:$G$50,AI$7))*INDEX(Premissas!$C$49:$G$49,AI$7)+IF(AI$4&gt;=Premissas!$B$75,INDEX(Premissas!$C$74:$G$74,AI$7),0)+IF(AI$4=DATE(YEAR(Premissas!$B$77),MONTH(Premissas!$B$77),1),Premissas!$B$76,0))</f>
        <v>-157240</v>
      </c>
      <c r="AJ123" s="84" t="n">
        <f aca="false">-(AJ98*(1-INDEX(Premissas!$C$50:$G$50,AJ$7))*INDEX(Premissas!$C$49:$G$49,AJ$7)+IF(AJ$4&gt;=Premissas!$B$75,INDEX(Premissas!$C$74:$G$74,AJ$7),0)+IF(AJ$4=DATE(YEAR(Premissas!$B$77),MONTH(Premissas!$B$77),1),Premissas!$B$76,0))</f>
        <v>-157240</v>
      </c>
      <c r="AK123" s="84" t="n">
        <f aca="false">-(AK98*(1-INDEX(Premissas!$C$50:$G$50,AK$7))*INDEX(Premissas!$C$49:$G$49,AK$7)+IF(AK$4&gt;=Premissas!$B$75,INDEX(Premissas!$C$74:$G$74,AK$7),0)+IF(AK$4=DATE(YEAR(Premissas!$B$77),MONTH(Premissas!$B$77),1),Premissas!$B$76,0))</f>
        <v>-157240</v>
      </c>
      <c r="AL123" s="84" t="n">
        <f aca="false">-(AL98*(1-INDEX(Premissas!$C$50:$G$50,AL$7))*INDEX(Premissas!$C$49:$G$49,AL$7)+IF(AL$4&gt;=Premissas!$B$75,INDEX(Premissas!$C$74:$G$74,AL$7),0)+IF(AL$4=DATE(YEAR(Premissas!$B$77),MONTH(Premissas!$B$77),1),Premissas!$B$76,0))</f>
        <v>-309260</v>
      </c>
      <c r="AM123" s="84" t="n">
        <f aca="false">-(AM98*(1-INDEX(Premissas!$C$50:$G$50,AM$7))*INDEX(Premissas!$C$49:$G$49,AM$7)+IF(AM$4&gt;=Premissas!$B$75,INDEX(Premissas!$C$74:$G$74,AM$7),0)+IF(AM$4=DATE(YEAR(Premissas!$B$77),MONTH(Premissas!$B$77),1),Premissas!$B$76,0))</f>
        <v>-309260</v>
      </c>
      <c r="AN123" s="84" t="n">
        <f aca="false">-(AN98*(1-INDEX(Premissas!$C$50:$G$50,AN$7))*INDEX(Premissas!$C$49:$G$49,AN$7)+IF(AN$4&gt;=Premissas!$B$75,INDEX(Premissas!$C$74:$G$74,AN$7),0)+IF(AN$4=DATE(YEAR(Premissas!$B$77),MONTH(Premissas!$B$77),1),Premissas!$B$76,0))</f>
        <v>-309260</v>
      </c>
      <c r="AO123" s="84" t="n">
        <f aca="false">-(AO98*(1-INDEX(Premissas!$C$50:$G$50,AO$7))*INDEX(Premissas!$C$49:$G$49,AO$7)+IF(AO$4&gt;=Premissas!$B$75,INDEX(Premissas!$C$74:$G$74,AO$7),0)+IF(AO$4=DATE(YEAR(Premissas!$B$77),MONTH(Premissas!$B$77),1),Premissas!$B$76,0))</f>
        <v>-309260</v>
      </c>
      <c r="AP123" s="84" t="n">
        <f aca="false">-(AP98*(1-INDEX(Premissas!$C$50:$G$50,AP$7))*INDEX(Premissas!$C$49:$G$49,AP$7)+IF(AP$4&gt;=Premissas!$B$75,INDEX(Premissas!$C$74:$G$74,AP$7),0)+IF(AP$4=DATE(YEAR(Premissas!$B$77),MONTH(Premissas!$B$77),1),Premissas!$B$76,0))</f>
        <v>-309260</v>
      </c>
      <c r="AQ123" s="84" t="n">
        <f aca="false">-(AQ98*(1-INDEX(Premissas!$C$50:$G$50,AQ$7))*INDEX(Premissas!$C$49:$G$49,AQ$7)+IF(AQ$4&gt;=Premissas!$B$75,INDEX(Premissas!$C$74:$G$74,AQ$7),0)+IF(AQ$4=DATE(YEAR(Premissas!$B$77),MONTH(Premissas!$B$77),1),Premissas!$B$76,0))</f>
        <v>-309260</v>
      </c>
      <c r="AR123" s="84" t="n">
        <f aca="false">-(AR98*(1-INDEX(Premissas!$C$50:$G$50,AR$7))*INDEX(Premissas!$C$49:$G$49,AR$7)+IF(AR$4&gt;=Premissas!$B$75,INDEX(Premissas!$C$74:$G$74,AR$7),0)+IF(AR$4=DATE(YEAR(Premissas!$B$77),MONTH(Premissas!$B$77),1),Premissas!$B$76,0))</f>
        <v>-309260</v>
      </c>
      <c r="AS123" s="84" t="n">
        <f aca="false">-(AS98*(1-INDEX(Premissas!$C$50:$G$50,AS$7))*INDEX(Premissas!$C$49:$G$49,AS$7)+IF(AS$4&gt;=Premissas!$B$75,INDEX(Premissas!$C$74:$G$74,AS$7),0)+IF(AS$4=DATE(YEAR(Premissas!$B$77),MONTH(Premissas!$B$77),1),Premissas!$B$76,0))</f>
        <v>-309260</v>
      </c>
      <c r="AT123" s="84" t="n">
        <f aca="false">-(AT98*(1-INDEX(Premissas!$C$50:$G$50,AT$7))*INDEX(Premissas!$C$49:$G$49,AT$7)+IF(AT$4&gt;=Premissas!$B$75,INDEX(Premissas!$C$74:$G$74,AT$7),0)+IF(AT$4=DATE(YEAR(Premissas!$B$77),MONTH(Premissas!$B$77),1),Premissas!$B$76,0))</f>
        <v>-309260</v>
      </c>
      <c r="AU123" s="84" t="n">
        <f aca="false">-(AU98*(1-INDEX(Premissas!$C$50:$G$50,AU$7))*INDEX(Premissas!$C$49:$G$49,AU$7)+IF(AU$4&gt;=Premissas!$B$75,INDEX(Premissas!$C$74:$G$74,AU$7),0)+IF(AU$4=DATE(YEAR(Premissas!$B$77),MONTH(Premissas!$B$77),1),Premissas!$B$76,0))</f>
        <v>-309260</v>
      </c>
      <c r="AV123" s="84" t="n">
        <f aca="false">-(AV98*(1-INDEX(Premissas!$C$50:$G$50,AV$7))*INDEX(Premissas!$C$49:$G$49,AV$7)+IF(AV$4&gt;=Premissas!$B$75,INDEX(Premissas!$C$74:$G$74,AV$7),0)+IF(AV$4=DATE(YEAR(Premissas!$B$77),MONTH(Premissas!$B$77),1),Premissas!$B$76,0))</f>
        <v>-309260</v>
      </c>
      <c r="AW123" s="84" t="n">
        <f aca="false">-(AW98*(1-INDEX(Premissas!$C$50:$G$50,AW$7))*INDEX(Premissas!$C$49:$G$49,AW$7)+IF(AW$4&gt;=Premissas!$B$75,INDEX(Premissas!$C$74:$G$74,AW$7),0)+IF(AW$4=DATE(YEAR(Premissas!$B$77),MONTH(Premissas!$B$77),1),Premissas!$B$76,0))</f>
        <v>-309260</v>
      </c>
      <c r="AX123" s="84" t="n">
        <f aca="false">-(AX98*(1-INDEX(Premissas!$C$50:$G$50,AX$7))*INDEX(Premissas!$C$49:$G$49,AX$7)+IF(AX$4&gt;=Premissas!$B$75,INDEX(Premissas!$C$74:$G$74,AX$7),0)+IF(AX$4=DATE(YEAR(Premissas!$B$77),MONTH(Premissas!$B$77),1),Premissas!$B$76,0))</f>
        <v>-507400</v>
      </c>
      <c r="AY123" s="84" t="n">
        <f aca="false">-(AY98*(1-INDEX(Premissas!$C$50:$G$50,AY$7))*INDEX(Premissas!$C$49:$G$49,AY$7)+IF(AY$4&gt;=Premissas!$B$75,INDEX(Premissas!$C$74:$G$74,AY$7),0)+IF(AY$4=DATE(YEAR(Premissas!$B$77),MONTH(Premissas!$B$77),1),Premissas!$B$76,0))</f>
        <v>-507400</v>
      </c>
      <c r="AZ123" s="84" t="n">
        <f aca="false">-(AZ98*(1-INDEX(Premissas!$C$50:$G$50,AZ$7))*INDEX(Premissas!$C$49:$G$49,AZ$7)+IF(AZ$4&gt;=Premissas!$B$75,INDEX(Premissas!$C$74:$G$74,AZ$7),0)+IF(AZ$4=DATE(YEAR(Premissas!$B$77),MONTH(Premissas!$B$77),1),Premissas!$B$76,0))</f>
        <v>-507400</v>
      </c>
      <c r="BA123" s="84" t="n">
        <f aca="false">-(BA98*(1-INDEX(Premissas!$C$50:$G$50,BA$7))*INDEX(Premissas!$C$49:$G$49,BA$7)+IF(BA$4&gt;=Premissas!$B$75,INDEX(Premissas!$C$74:$G$74,BA$7),0)+IF(BA$4=DATE(YEAR(Premissas!$B$77),MONTH(Premissas!$B$77),1),Premissas!$B$76,0))</f>
        <v>-507400</v>
      </c>
      <c r="BB123" s="84" t="n">
        <f aca="false">-(BB98*(1-INDEX(Premissas!$C$50:$G$50,BB$7))*INDEX(Premissas!$C$49:$G$49,BB$7)+IF(BB$4&gt;=Premissas!$B$75,INDEX(Premissas!$C$74:$G$74,BB$7),0)+IF(BB$4=DATE(YEAR(Premissas!$B$77),MONTH(Premissas!$B$77),1),Premissas!$B$76,0))</f>
        <v>-507400</v>
      </c>
      <c r="BC123" s="84" t="n">
        <f aca="false">-(BC98*(1-INDEX(Premissas!$C$50:$G$50,BC$7))*INDEX(Premissas!$C$49:$G$49,BC$7)+IF(BC$4&gt;=Premissas!$B$75,INDEX(Premissas!$C$74:$G$74,BC$7),0)+IF(BC$4=DATE(YEAR(Premissas!$B$77),MONTH(Premissas!$B$77),1),Premissas!$B$76,0))</f>
        <v>-507400</v>
      </c>
      <c r="BD123" s="84" t="n">
        <f aca="false">-(BD98*(1-INDEX(Premissas!$C$50:$G$50,BD$7))*INDEX(Premissas!$C$49:$G$49,BD$7)+IF(BD$4&gt;=Premissas!$B$75,INDEX(Premissas!$C$74:$G$74,BD$7),0)+IF(BD$4=DATE(YEAR(Premissas!$B$77),MONTH(Premissas!$B$77),1),Premissas!$B$76,0))</f>
        <v>-507400</v>
      </c>
      <c r="BE123" s="84" t="n">
        <f aca="false">-(BE98*(1-INDEX(Premissas!$C$50:$G$50,BE$7))*INDEX(Premissas!$C$49:$G$49,BE$7)+IF(BE$4&gt;=Premissas!$B$75,INDEX(Premissas!$C$74:$G$74,BE$7),0)+IF(BE$4=DATE(YEAR(Premissas!$B$77),MONTH(Premissas!$B$77),1),Premissas!$B$76,0))</f>
        <v>-507400</v>
      </c>
      <c r="BF123" s="84" t="n">
        <f aca="false">-(BF98*(1-INDEX(Premissas!$C$50:$G$50,BF$7))*INDEX(Premissas!$C$49:$G$49,BF$7)+IF(BF$4&gt;=Premissas!$B$75,INDEX(Premissas!$C$74:$G$74,BF$7),0)+IF(BF$4=DATE(YEAR(Premissas!$B$77),MONTH(Premissas!$B$77),1),Premissas!$B$76,0))</f>
        <v>-507400</v>
      </c>
      <c r="BG123" s="84" t="n">
        <f aca="false">-(BG98*(1-INDEX(Premissas!$C$50:$G$50,BG$7))*INDEX(Premissas!$C$49:$G$49,BG$7)+IF(BG$4&gt;=Premissas!$B$75,INDEX(Premissas!$C$74:$G$74,BG$7),0)+IF(BG$4=DATE(YEAR(Premissas!$B$77),MONTH(Premissas!$B$77),1),Premissas!$B$76,0))</f>
        <v>-507400</v>
      </c>
      <c r="BH123" s="84" t="n">
        <f aca="false">-(BH98*(1-INDEX(Premissas!$C$50:$G$50,BH$7))*INDEX(Premissas!$C$49:$G$49,BH$7)+IF(BH$4&gt;=Premissas!$B$75,INDEX(Premissas!$C$74:$G$74,BH$7),0)+IF(BH$4=DATE(YEAR(Premissas!$B$77),MONTH(Premissas!$B$77),1),Premissas!$B$76,0))</f>
        <v>-507400</v>
      </c>
      <c r="BI123" s="84" t="n">
        <f aca="false">-(BI98*(1-INDEX(Premissas!$C$50:$G$50,BI$7))*INDEX(Premissas!$C$49:$G$49,BI$7)+IF(BI$4&gt;=Premissas!$B$75,INDEX(Premissas!$C$74:$G$74,BI$7),0)+IF(BI$4=DATE(YEAR(Premissas!$B$77),MONTH(Premissas!$B$77),1),Premissas!$B$76,0))</f>
        <v>-507400</v>
      </c>
      <c r="BJ123" s="69" t="n">
        <f aca="false">SUM(B123:BI123)</f>
        <v>-12465325</v>
      </c>
    </row>
    <row r="124" customFormat="false" ht="15" hidden="false" customHeight="false" outlineLevel="0" collapsed="false">
      <c r="A124" s="12" t="s">
        <v>217</v>
      </c>
      <c r="B124" s="84" t="n">
        <f aca="false">-IF(B$4&gt;=Premissas!$B$72,INDEX(Premissas!$C$73:$G$73,B$7),0)</f>
        <v>-0</v>
      </c>
      <c r="C124" s="84" t="n">
        <f aca="false">-IF(C$4&gt;=Premissas!$B$72,INDEX(Premissas!$C$73:$G$73,C$7),0)</f>
        <v>-0</v>
      </c>
      <c r="D124" s="84" t="n">
        <f aca="false">-IF(D$4&gt;=Premissas!$B$72,INDEX(Premissas!$C$73:$G$73,D$7),0)</f>
        <v>-0</v>
      </c>
      <c r="E124" s="84" t="n">
        <f aca="false">-IF(E$4&gt;=Premissas!$B$72,INDEX(Premissas!$C$73:$G$73,E$7),0)</f>
        <v>-1500</v>
      </c>
      <c r="F124" s="84" t="n">
        <f aca="false">-IF(F$4&gt;=Premissas!$B$72,INDEX(Premissas!$C$73:$G$73,F$7),0)</f>
        <v>-1500</v>
      </c>
      <c r="G124" s="84" t="n">
        <f aca="false">-IF(G$4&gt;=Premissas!$B$72,INDEX(Premissas!$C$73:$G$73,G$7),0)</f>
        <v>-1500</v>
      </c>
      <c r="H124" s="84" t="n">
        <f aca="false">-IF(H$4&gt;=Premissas!$B$72,INDEX(Premissas!$C$73:$G$73,H$7),0)</f>
        <v>-1500</v>
      </c>
      <c r="I124" s="84" t="n">
        <f aca="false">-IF(I$4&gt;=Premissas!$B$72,INDEX(Premissas!$C$73:$G$73,I$7),0)</f>
        <v>-1500</v>
      </c>
      <c r="J124" s="84" t="n">
        <f aca="false">-IF(J$4&gt;=Premissas!$B$72,INDEX(Premissas!$C$73:$G$73,J$7),0)</f>
        <v>-1500</v>
      </c>
      <c r="K124" s="84" t="n">
        <f aca="false">-IF(K$4&gt;=Premissas!$B$72,INDEX(Premissas!$C$73:$G$73,K$7),0)</f>
        <v>-1500</v>
      </c>
      <c r="L124" s="84" t="n">
        <f aca="false">-IF(L$4&gt;=Premissas!$B$72,INDEX(Premissas!$C$73:$G$73,L$7),0)</f>
        <v>-1500</v>
      </c>
      <c r="M124" s="84" t="n">
        <f aca="false">-IF(M$4&gt;=Premissas!$B$72,INDEX(Premissas!$C$73:$G$73,M$7),0)</f>
        <v>-1500</v>
      </c>
      <c r="N124" s="84" t="n">
        <f aca="false">-IF(N$4&gt;=Premissas!$B$72,INDEX(Premissas!$C$73:$G$73,N$7),0)</f>
        <v>-6000</v>
      </c>
      <c r="O124" s="84" t="n">
        <f aca="false">-IF(O$4&gt;=Premissas!$B$72,INDEX(Premissas!$C$73:$G$73,O$7),0)</f>
        <v>-6000</v>
      </c>
      <c r="P124" s="84" t="n">
        <f aca="false">-IF(P$4&gt;=Premissas!$B$72,INDEX(Premissas!$C$73:$G$73,P$7),0)</f>
        <v>-6000</v>
      </c>
      <c r="Q124" s="84" t="n">
        <f aca="false">-IF(Q$4&gt;=Premissas!$B$72,INDEX(Premissas!$C$73:$G$73,Q$7),0)</f>
        <v>-6000</v>
      </c>
      <c r="R124" s="84" t="n">
        <f aca="false">-IF(R$4&gt;=Premissas!$B$72,INDEX(Premissas!$C$73:$G$73,R$7),0)</f>
        <v>-6000</v>
      </c>
      <c r="S124" s="84" t="n">
        <f aca="false">-IF(S$4&gt;=Premissas!$B$72,INDEX(Premissas!$C$73:$G$73,S$7),0)</f>
        <v>-6000</v>
      </c>
      <c r="T124" s="84" t="n">
        <f aca="false">-IF(T$4&gt;=Premissas!$B$72,INDEX(Premissas!$C$73:$G$73,T$7),0)</f>
        <v>-6000</v>
      </c>
      <c r="U124" s="84" t="n">
        <f aca="false">-IF(U$4&gt;=Premissas!$B$72,INDEX(Premissas!$C$73:$G$73,U$7),0)</f>
        <v>-6000</v>
      </c>
      <c r="V124" s="84" t="n">
        <f aca="false">-IF(V$4&gt;=Premissas!$B$72,INDEX(Premissas!$C$73:$G$73,V$7),0)</f>
        <v>-6000</v>
      </c>
      <c r="W124" s="84" t="n">
        <f aca="false">-IF(W$4&gt;=Premissas!$B$72,INDEX(Premissas!$C$73:$G$73,W$7),0)</f>
        <v>-6000</v>
      </c>
      <c r="X124" s="84" t="n">
        <f aca="false">-IF(X$4&gt;=Premissas!$B$72,INDEX(Premissas!$C$73:$G$73,X$7),0)</f>
        <v>-6000</v>
      </c>
      <c r="Y124" s="84" t="n">
        <f aca="false">-IF(Y$4&gt;=Premissas!$B$72,INDEX(Premissas!$C$73:$G$73,Y$7),0)</f>
        <v>-6000</v>
      </c>
      <c r="Z124" s="84" t="n">
        <f aca="false">-IF(Z$4&gt;=Premissas!$B$72,INDEX(Premissas!$C$73:$G$73,Z$7),0)</f>
        <v>-25000</v>
      </c>
      <c r="AA124" s="84" t="n">
        <f aca="false">-IF(AA$4&gt;=Premissas!$B$72,INDEX(Premissas!$C$73:$G$73,AA$7),0)</f>
        <v>-25000</v>
      </c>
      <c r="AB124" s="84" t="n">
        <f aca="false">-IF(AB$4&gt;=Premissas!$B$72,INDEX(Premissas!$C$73:$G$73,AB$7),0)</f>
        <v>-25000</v>
      </c>
      <c r="AC124" s="84" t="n">
        <f aca="false">-IF(AC$4&gt;=Premissas!$B$72,INDEX(Premissas!$C$73:$G$73,AC$7),0)</f>
        <v>-25000</v>
      </c>
      <c r="AD124" s="84" t="n">
        <f aca="false">-IF(AD$4&gt;=Premissas!$B$72,INDEX(Premissas!$C$73:$G$73,AD$7),0)</f>
        <v>-25000</v>
      </c>
      <c r="AE124" s="84" t="n">
        <f aca="false">-IF(AE$4&gt;=Premissas!$B$72,INDEX(Premissas!$C$73:$G$73,AE$7),0)</f>
        <v>-25000</v>
      </c>
      <c r="AF124" s="84" t="n">
        <f aca="false">-IF(AF$4&gt;=Premissas!$B$72,INDEX(Premissas!$C$73:$G$73,AF$7),0)</f>
        <v>-25000</v>
      </c>
      <c r="AG124" s="84" t="n">
        <f aca="false">-IF(AG$4&gt;=Premissas!$B$72,INDEX(Premissas!$C$73:$G$73,AG$7),0)</f>
        <v>-25000</v>
      </c>
      <c r="AH124" s="84" t="n">
        <f aca="false">-IF(AH$4&gt;=Premissas!$B$72,INDEX(Premissas!$C$73:$G$73,AH$7),0)</f>
        <v>-25000</v>
      </c>
      <c r="AI124" s="84" t="n">
        <f aca="false">-IF(AI$4&gt;=Premissas!$B$72,INDEX(Premissas!$C$73:$G$73,AI$7),0)</f>
        <v>-25000</v>
      </c>
      <c r="AJ124" s="84" t="n">
        <f aca="false">-IF(AJ$4&gt;=Premissas!$B$72,INDEX(Premissas!$C$73:$G$73,AJ$7),0)</f>
        <v>-25000</v>
      </c>
      <c r="AK124" s="84" t="n">
        <f aca="false">-IF(AK$4&gt;=Premissas!$B$72,INDEX(Premissas!$C$73:$G$73,AK$7),0)</f>
        <v>-25000</v>
      </c>
      <c r="AL124" s="84" t="n">
        <f aca="false">-IF(AL$4&gt;=Premissas!$B$72,INDEX(Premissas!$C$73:$G$73,AL$7),0)</f>
        <v>-60000</v>
      </c>
      <c r="AM124" s="84" t="n">
        <f aca="false">-IF(AM$4&gt;=Premissas!$B$72,INDEX(Premissas!$C$73:$G$73,AM$7),0)</f>
        <v>-60000</v>
      </c>
      <c r="AN124" s="84" t="n">
        <f aca="false">-IF(AN$4&gt;=Premissas!$B$72,INDEX(Premissas!$C$73:$G$73,AN$7),0)</f>
        <v>-60000</v>
      </c>
      <c r="AO124" s="84" t="n">
        <f aca="false">-IF(AO$4&gt;=Premissas!$B$72,INDEX(Premissas!$C$73:$G$73,AO$7),0)</f>
        <v>-60000</v>
      </c>
      <c r="AP124" s="84" t="n">
        <f aca="false">-IF(AP$4&gt;=Premissas!$B$72,INDEX(Premissas!$C$73:$G$73,AP$7),0)</f>
        <v>-60000</v>
      </c>
      <c r="AQ124" s="84" t="n">
        <f aca="false">-IF(AQ$4&gt;=Premissas!$B$72,INDEX(Premissas!$C$73:$G$73,AQ$7),0)</f>
        <v>-60000</v>
      </c>
      <c r="AR124" s="84" t="n">
        <f aca="false">-IF(AR$4&gt;=Premissas!$B$72,INDEX(Premissas!$C$73:$G$73,AR$7),0)</f>
        <v>-60000</v>
      </c>
      <c r="AS124" s="84" t="n">
        <f aca="false">-IF(AS$4&gt;=Premissas!$B$72,INDEX(Premissas!$C$73:$G$73,AS$7),0)</f>
        <v>-60000</v>
      </c>
      <c r="AT124" s="84" t="n">
        <f aca="false">-IF(AT$4&gt;=Premissas!$B$72,INDEX(Premissas!$C$73:$G$73,AT$7),0)</f>
        <v>-60000</v>
      </c>
      <c r="AU124" s="84" t="n">
        <f aca="false">-IF(AU$4&gt;=Premissas!$B$72,INDEX(Premissas!$C$73:$G$73,AU$7),0)</f>
        <v>-60000</v>
      </c>
      <c r="AV124" s="84" t="n">
        <f aca="false">-IF(AV$4&gt;=Premissas!$B$72,INDEX(Premissas!$C$73:$G$73,AV$7),0)</f>
        <v>-60000</v>
      </c>
      <c r="AW124" s="84" t="n">
        <f aca="false">-IF(AW$4&gt;=Premissas!$B$72,INDEX(Premissas!$C$73:$G$73,AW$7),0)</f>
        <v>-60000</v>
      </c>
      <c r="AX124" s="84" t="n">
        <f aca="false">-IF(AX$4&gt;=Premissas!$B$72,INDEX(Premissas!$C$73:$G$73,AX$7),0)</f>
        <v>-110000</v>
      </c>
      <c r="AY124" s="84" t="n">
        <f aca="false">-IF(AY$4&gt;=Premissas!$B$72,INDEX(Premissas!$C$73:$G$73,AY$7),0)</f>
        <v>-110000</v>
      </c>
      <c r="AZ124" s="84" t="n">
        <f aca="false">-IF(AZ$4&gt;=Premissas!$B$72,INDEX(Premissas!$C$73:$G$73,AZ$7),0)</f>
        <v>-110000</v>
      </c>
      <c r="BA124" s="84" t="n">
        <f aca="false">-IF(BA$4&gt;=Premissas!$B$72,INDEX(Premissas!$C$73:$G$73,BA$7),0)</f>
        <v>-110000</v>
      </c>
      <c r="BB124" s="84" t="n">
        <f aca="false">-IF(BB$4&gt;=Premissas!$B$72,INDEX(Premissas!$C$73:$G$73,BB$7),0)</f>
        <v>-110000</v>
      </c>
      <c r="BC124" s="84" t="n">
        <f aca="false">-IF(BC$4&gt;=Premissas!$B$72,INDEX(Premissas!$C$73:$G$73,BC$7),0)</f>
        <v>-110000</v>
      </c>
      <c r="BD124" s="84" t="n">
        <f aca="false">-IF(BD$4&gt;=Premissas!$B$72,INDEX(Premissas!$C$73:$G$73,BD$7),0)</f>
        <v>-110000</v>
      </c>
      <c r="BE124" s="84" t="n">
        <f aca="false">-IF(BE$4&gt;=Premissas!$B$72,INDEX(Premissas!$C$73:$G$73,BE$7),0)</f>
        <v>-110000</v>
      </c>
      <c r="BF124" s="84" t="n">
        <f aca="false">-IF(BF$4&gt;=Premissas!$B$72,INDEX(Premissas!$C$73:$G$73,BF$7),0)</f>
        <v>-110000</v>
      </c>
      <c r="BG124" s="84" t="n">
        <f aca="false">-IF(BG$4&gt;=Premissas!$B$72,INDEX(Premissas!$C$73:$G$73,BG$7),0)</f>
        <v>-110000</v>
      </c>
      <c r="BH124" s="84" t="n">
        <f aca="false">-IF(BH$4&gt;=Premissas!$B$72,INDEX(Premissas!$C$73:$G$73,BH$7),0)</f>
        <v>-110000</v>
      </c>
      <c r="BI124" s="84" t="n">
        <f aca="false">-IF(BI$4&gt;=Premissas!$B$72,INDEX(Premissas!$C$73:$G$73,BI$7),0)</f>
        <v>-110000</v>
      </c>
      <c r="BJ124" s="69" t="n">
        <f aca="false">SUM(B124:BI124)</f>
        <v>-2425500</v>
      </c>
    </row>
    <row r="125" customFormat="false" ht="15" hidden="false" customHeight="false" outlineLevel="0" collapsed="false">
      <c r="A125" s="34" t="s">
        <v>355</v>
      </c>
      <c r="B125" s="69" t="n">
        <f aca="false">SUM(B119:B124)</f>
        <v>0</v>
      </c>
      <c r="C125" s="69" t="n">
        <f aca="false">SUM(C119:C124)</f>
        <v>0</v>
      </c>
      <c r="D125" s="69" t="n">
        <f aca="false">SUM(D119:D124)</f>
        <v>0</v>
      </c>
      <c r="E125" s="69" t="n">
        <f aca="false">SUM(E119:E124)</f>
        <v>-1500</v>
      </c>
      <c r="F125" s="69" t="n">
        <f aca="false">SUM(F119:F124)</f>
        <v>-2100</v>
      </c>
      <c r="G125" s="69" t="n">
        <f aca="false">SUM(G119:G124)</f>
        <v>-2100</v>
      </c>
      <c r="H125" s="69" t="n">
        <f aca="false">SUM(H119:H124)</f>
        <v>-2100</v>
      </c>
      <c r="I125" s="69" t="n">
        <f aca="false">SUM(I119:I124)</f>
        <v>-2100</v>
      </c>
      <c r="J125" s="69" t="n">
        <f aca="false">SUM(J119:J124)</f>
        <v>-2100</v>
      </c>
      <c r="K125" s="69" t="n">
        <f aca="false">SUM(K119:K124)</f>
        <v>-22039.96505</v>
      </c>
      <c r="L125" s="69" t="n">
        <f aca="false">SUM(L119:L124)</f>
        <v>31589.694425</v>
      </c>
      <c r="M125" s="69" t="n">
        <f aca="false">SUM(M119:M124)</f>
        <v>62245.444345</v>
      </c>
      <c r="N125" s="69" t="n">
        <f aca="false">SUM(N119:N124)</f>
        <v>68317.9423681477</v>
      </c>
      <c r="O125" s="69" t="n">
        <f aca="false">SUM(O119:O124)</f>
        <v>109183.966862466</v>
      </c>
      <c r="P125" s="69" t="n">
        <f aca="false">SUM(P119:P124)</f>
        <v>147144.850761349</v>
      </c>
      <c r="Q125" s="69" t="n">
        <f aca="false">SUM(Q119:Q124)</f>
        <v>181891.250831807</v>
      </c>
      <c r="R125" s="69" t="n">
        <f aca="false">SUM(R119:R124)</f>
        <v>215552.012093154</v>
      </c>
      <c r="S125" s="69" t="n">
        <f aca="false">SUM(S119:S124)</f>
        <v>244145.41903219</v>
      </c>
      <c r="T125" s="69" t="n">
        <f aca="false">SUM(T119:T124)</f>
        <v>269489.077919089</v>
      </c>
      <c r="U125" s="69" t="n">
        <f aca="false">SUM(U119:U124)</f>
        <v>294207.987831614</v>
      </c>
      <c r="V125" s="69" t="n">
        <f aca="false">SUM(V119:V124)</f>
        <v>328724.438449647</v>
      </c>
      <c r="W125" s="69" t="n">
        <f aca="false">SUM(W119:W124)</f>
        <v>337690.49322965</v>
      </c>
      <c r="X125" s="69" t="n">
        <f aca="false">SUM(X119:X124)</f>
        <v>379654.271440758</v>
      </c>
      <c r="Y125" s="69" t="n">
        <f aca="false">SUM(Y119:Y124)</f>
        <v>403598.867912684</v>
      </c>
      <c r="Z125" s="69" t="n">
        <f aca="false">SUM(Z119:Z124)</f>
        <v>386183.748738841</v>
      </c>
      <c r="AA125" s="69" t="n">
        <f aca="false">SUM(AA119:AA124)</f>
        <v>478073.896586735</v>
      </c>
      <c r="AB125" s="69" t="n">
        <f aca="false">SUM(AB119:AB124)</f>
        <v>565388.123339545</v>
      </c>
      <c r="AC125" s="69" t="n">
        <f aca="false">SUM(AC119:AC124)</f>
        <v>648287.363045231</v>
      </c>
      <c r="AD125" s="69" t="n">
        <f aca="false">SUM(AD119:AD124)</f>
        <v>727089.458480727</v>
      </c>
      <c r="AE125" s="69" t="n">
        <f aca="false">SUM(AE119:AE124)</f>
        <v>801926.610742085</v>
      </c>
      <c r="AF125" s="69" t="n">
        <f aca="false">SUM(AF119:AF124)</f>
        <v>873056.817800123</v>
      </c>
      <c r="AG125" s="69" t="n">
        <f aca="false">SUM(AG119:AG124)</f>
        <v>940577.567879035</v>
      </c>
      <c r="AH125" s="69" t="n">
        <f aca="false">SUM(AH119:AH124)</f>
        <v>1004782.00763485</v>
      </c>
      <c r="AI125" s="69" t="n">
        <f aca="false">SUM(AI119:AI124)</f>
        <v>1065737.49568981</v>
      </c>
      <c r="AJ125" s="69" t="n">
        <f aca="false">SUM(AJ119:AJ124)</f>
        <v>1123641.76950267</v>
      </c>
      <c r="AK125" s="69" t="n">
        <f aca="false">SUM(AK119:AK124)</f>
        <v>1178628.55337859</v>
      </c>
      <c r="AL125" s="69" t="n">
        <f aca="false">SUM(AL119:AL124)</f>
        <v>1243986.43989197</v>
      </c>
      <c r="AM125" s="69" t="n">
        <f aca="false">SUM(AM119:AM124)</f>
        <v>1387450.46470765</v>
      </c>
      <c r="AN125" s="69" t="n">
        <f aca="false">SUM(AN119:AN124)</f>
        <v>1524012.62473119</v>
      </c>
      <c r="AO125" s="69" t="n">
        <f aca="false">SUM(AO119:AO124)</f>
        <v>1653948.55839105</v>
      </c>
      <c r="AP125" s="69" t="n">
        <f aca="false">SUM(AP119:AP124)</f>
        <v>1777708.97572349</v>
      </c>
      <c r="AQ125" s="69" t="n">
        <f aca="false">SUM(AQ119:AQ124)</f>
        <v>1895505.5259633</v>
      </c>
      <c r="AR125" s="69" t="n">
        <f aca="false">SUM(AR119:AR124)</f>
        <v>2007645.96724496</v>
      </c>
      <c r="AS125" s="69" t="n">
        <f aca="false">SUM(AS119:AS124)</f>
        <v>2114402.09877313</v>
      </c>
      <c r="AT125" s="69" t="n">
        <f aca="false">SUM(AT119:AT124)</f>
        <v>2216020.56231447</v>
      </c>
      <c r="AU125" s="69" t="n">
        <f aca="false">SUM(AU119:AU124)</f>
        <v>2312804.77066733</v>
      </c>
      <c r="AV125" s="69" t="n">
        <f aca="false">SUM(AV119:AV124)</f>
        <v>2404902.28049265</v>
      </c>
      <c r="AW125" s="69" t="n">
        <f aca="false">SUM(AW119:AW124)</f>
        <v>2492603.22762203</v>
      </c>
      <c r="AX125" s="69" t="n">
        <f aca="false">SUM(AX119:AX124)</f>
        <v>2918983.94514189</v>
      </c>
      <c r="AY125" s="69" t="n">
        <f aca="false">SUM(AY119:AY124)</f>
        <v>3131208.98034196</v>
      </c>
      <c r="AZ125" s="69" t="n">
        <f aca="false">SUM(AZ119:AZ124)</f>
        <v>3333852.79512199</v>
      </c>
      <c r="BA125" s="69" t="n">
        <f aca="false">SUM(BA119:BA124)</f>
        <v>3527362.55060238</v>
      </c>
      <c r="BB125" s="69" t="n">
        <f aca="false">SUM(BB119:BB124)</f>
        <v>3712182.11667686</v>
      </c>
      <c r="BC125" s="69" t="n">
        <f aca="false">SUM(BC119:BC124)</f>
        <v>3888690.91679082</v>
      </c>
      <c r="BD125" s="69" t="n">
        <f aca="false">SUM(BD119:BD124)</f>
        <v>4057229.67861479</v>
      </c>
      <c r="BE125" s="69" t="n">
        <f aca="false">SUM(BE119:BE124)</f>
        <v>4218176.31015552</v>
      </c>
      <c r="BF125" s="69" t="n">
        <f aca="false">SUM(BF119:BF124)</f>
        <v>4371906.79180733</v>
      </c>
      <c r="BG125" s="69" t="n">
        <f aca="false">SUM(BG119:BG124)</f>
        <v>4518765.83207802</v>
      </c>
      <c r="BH125" s="69" t="n">
        <f aca="false">SUM(BH119:BH124)</f>
        <v>4658940.88937699</v>
      </c>
      <c r="BI125" s="69" t="n">
        <f aca="false">SUM(BI119:BI124)</f>
        <v>4792808.44971357</v>
      </c>
      <c r="BJ125" s="69" t="n">
        <f aca="false">SUM(B125:BI125)</f>
        <v>82993869.9182161</v>
      </c>
    </row>
    <row r="126" customFormat="false" ht="15" hidden="false" customHeight="false" outlineLevel="0" collapsed="false">
      <c r="A126" s="12" t="s">
        <v>356</v>
      </c>
      <c r="B126" s="84" t="n">
        <f aca="false">-Investimentos!B32</f>
        <v>-0</v>
      </c>
      <c r="C126" s="84" t="n">
        <f aca="false">-Investimentos!C32</f>
        <v>-0</v>
      </c>
      <c r="D126" s="84" t="n">
        <f aca="false">-Investimentos!D32</f>
        <v>-0</v>
      </c>
      <c r="E126" s="84" t="n">
        <f aca="false">-Investimentos!E32</f>
        <v>-0</v>
      </c>
      <c r="F126" s="84" t="n">
        <f aca="false">-Investimentos!F32</f>
        <v>-6000</v>
      </c>
      <c r="G126" s="84" t="n">
        <f aca="false">-Investimentos!G32</f>
        <v>-0</v>
      </c>
      <c r="H126" s="84" t="n">
        <f aca="false">-Investimentos!H32</f>
        <v>-0</v>
      </c>
      <c r="I126" s="84" t="n">
        <f aca="false">-Investimentos!I32</f>
        <v>-16127.82</v>
      </c>
      <c r="J126" s="84" t="n">
        <f aca="false">-Investimentos!J32</f>
        <v>-7000</v>
      </c>
      <c r="K126" s="84" t="n">
        <f aca="false">-Investimentos!K32</f>
        <v>-7000</v>
      </c>
      <c r="L126" s="84" t="n">
        <f aca="false">-Investimentos!L32</f>
        <v>-0</v>
      </c>
      <c r="M126" s="84" t="n">
        <f aca="false">-Investimentos!M32</f>
        <v>-0</v>
      </c>
      <c r="N126" s="84" t="n">
        <f aca="false">-Investimentos!N32</f>
        <v>-15000</v>
      </c>
      <c r="O126" s="84" t="n">
        <f aca="false">-Investimentos!O32</f>
        <v>-0</v>
      </c>
      <c r="P126" s="84" t="n">
        <f aca="false">-Investimentos!P32</f>
        <v>-12000</v>
      </c>
      <c r="Q126" s="84" t="n">
        <f aca="false">-Investimentos!Q32</f>
        <v>-0</v>
      </c>
      <c r="R126" s="84" t="n">
        <f aca="false">-Investimentos!R32</f>
        <v>-0</v>
      </c>
      <c r="S126" s="84" t="n">
        <f aca="false">-Investimentos!S32</f>
        <v>-6000</v>
      </c>
      <c r="T126" s="84" t="n">
        <f aca="false">-Investimentos!T32</f>
        <v>-25000</v>
      </c>
      <c r="U126" s="84" t="n">
        <f aca="false">-Investimentos!U32</f>
        <v>-0</v>
      </c>
      <c r="V126" s="84" t="n">
        <f aca="false">-Investimentos!V32</f>
        <v>-0</v>
      </c>
      <c r="W126" s="84" t="n">
        <f aca="false">-Investimentos!W32</f>
        <v>-0</v>
      </c>
      <c r="X126" s="84" t="n">
        <f aca="false">-Investimentos!X32</f>
        <v>-0</v>
      </c>
      <c r="Y126" s="84" t="n">
        <f aca="false">-Investimentos!Y32</f>
        <v>-0</v>
      </c>
      <c r="Z126" s="84" t="n">
        <f aca="false">-Investimentos!Z32</f>
        <v>-45000</v>
      </c>
      <c r="AA126" s="84" t="n">
        <f aca="false">-Investimentos!AA32</f>
        <v>-0</v>
      </c>
      <c r="AB126" s="84" t="n">
        <f aca="false">-Investimentos!AB32</f>
        <v>-0</v>
      </c>
      <c r="AC126" s="84" t="n">
        <f aca="false">-Investimentos!AC32</f>
        <v>-0</v>
      </c>
      <c r="AD126" s="84" t="n">
        <f aca="false">-Investimentos!AD32</f>
        <v>-0</v>
      </c>
      <c r="AE126" s="84" t="n">
        <f aca="false">-Investimentos!AE32</f>
        <v>-15000</v>
      </c>
      <c r="AF126" s="84" t="n">
        <f aca="false">-Investimentos!AF32</f>
        <v>-0</v>
      </c>
      <c r="AG126" s="84" t="n">
        <f aca="false">-Investimentos!AG32</f>
        <v>-0</v>
      </c>
      <c r="AH126" s="84" t="n">
        <f aca="false">-Investimentos!AH32</f>
        <v>-0</v>
      </c>
      <c r="AI126" s="84" t="n">
        <f aca="false">-Investimentos!AI32</f>
        <v>-0</v>
      </c>
      <c r="AJ126" s="84" t="n">
        <f aca="false">-Investimentos!AJ32</f>
        <v>-0</v>
      </c>
      <c r="AK126" s="84" t="n">
        <f aca="false">-Investimentos!AK32</f>
        <v>-0</v>
      </c>
      <c r="AL126" s="84" t="n">
        <f aca="false">-Investimentos!AL32</f>
        <v>-60000</v>
      </c>
      <c r="AM126" s="84" t="n">
        <f aca="false">-Investimentos!AM32</f>
        <v>-0</v>
      </c>
      <c r="AN126" s="84" t="n">
        <f aca="false">-Investimentos!AN32</f>
        <v>-0</v>
      </c>
      <c r="AO126" s="84" t="n">
        <f aca="false">-Investimentos!AO32</f>
        <v>-0</v>
      </c>
      <c r="AP126" s="84" t="n">
        <f aca="false">-Investimentos!AP32</f>
        <v>-0</v>
      </c>
      <c r="AQ126" s="84" t="n">
        <f aca="false">-Investimentos!AQ32</f>
        <v>-25000</v>
      </c>
      <c r="AR126" s="84" t="n">
        <f aca="false">-Investimentos!AR32</f>
        <v>-0</v>
      </c>
      <c r="AS126" s="84" t="n">
        <f aca="false">-Investimentos!AS32</f>
        <v>-0</v>
      </c>
      <c r="AT126" s="84" t="n">
        <f aca="false">-Investimentos!AT32</f>
        <v>-0</v>
      </c>
      <c r="AU126" s="84" t="n">
        <f aca="false">-Investimentos!AU32</f>
        <v>-0</v>
      </c>
      <c r="AV126" s="84" t="n">
        <f aca="false">-Investimentos!AV32</f>
        <v>-0</v>
      </c>
      <c r="AW126" s="84" t="n">
        <f aca="false">-Investimentos!AW32</f>
        <v>-0</v>
      </c>
      <c r="AX126" s="84" t="n">
        <f aca="false">-Investimentos!AX32</f>
        <v>-70000</v>
      </c>
      <c r="AY126" s="84" t="n">
        <f aca="false">-Investimentos!AY32</f>
        <v>-0</v>
      </c>
      <c r="AZ126" s="84" t="n">
        <f aca="false">-Investimentos!AZ32</f>
        <v>-0</v>
      </c>
      <c r="BA126" s="84" t="n">
        <f aca="false">-Investimentos!BA32</f>
        <v>-0</v>
      </c>
      <c r="BB126" s="84" t="n">
        <f aca="false">-Investimentos!BB32</f>
        <v>-0</v>
      </c>
      <c r="BC126" s="84" t="n">
        <f aca="false">-Investimentos!BC32</f>
        <v>-30000</v>
      </c>
      <c r="BD126" s="84" t="n">
        <f aca="false">-Investimentos!BD32</f>
        <v>-0</v>
      </c>
      <c r="BE126" s="84" t="n">
        <f aca="false">-Investimentos!BE32</f>
        <v>-0</v>
      </c>
      <c r="BF126" s="84" t="n">
        <f aca="false">-Investimentos!BF32</f>
        <v>-0</v>
      </c>
      <c r="BG126" s="84" t="n">
        <f aca="false">-Investimentos!BG32</f>
        <v>-0</v>
      </c>
      <c r="BH126" s="84" t="n">
        <f aca="false">-Investimentos!BH32</f>
        <v>-0</v>
      </c>
      <c r="BI126" s="84" t="n">
        <f aca="false">-Investimentos!BI32</f>
        <v>-0</v>
      </c>
      <c r="BJ126" s="69" t="n">
        <f aca="false">SUM(B126:BI126)</f>
        <v>-339127.82</v>
      </c>
    </row>
    <row r="127" customFormat="false" ht="15" hidden="false" customHeight="false" outlineLevel="0" collapsed="false">
      <c r="A127" s="34" t="s">
        <v>266</v>
      </c>
      <c r="B127" s="69" t="n">
        <f aca="false">B125+B126</f>
        <v>0</v>
      </c>
      <c r="C127" s="69" t="n">
        <f aca="false">C125+C126</f>
        <v>0</v>
      </c>
      <c r="D127" s="69" t="n">
        <f aca="false">D125+D126</f>
        <v>0</v>
      </c>
      <c r="E127" s="69" t="n">
        <f aca="false">E125+E126</f>
        <v>-1500</v>
      </c>
      <c r="F127" s="69" t="n">
        <f aca="false">F125+F126</f>
        <v>-8100</v>
      </c>
      <c r="G127" s="69" t="n">
        <f aca="false">G125+G126</f>
        <v>-2100</v>
      </c>
      <c r="H127" s="69" t="n">
        <f aca="false">H125+H126</f>
        <v>-2100</v>
      </c>
      <c r="I127" s="69" t="n">
        <f aca="false">I125+I126</f>
        <v>-18227.82</v>
      </c>
      <c r="J127" s="69" t="n">
        <f aca="false">J125+J126</f>
        <v>-9100</v>
      </c>
      <c r="K127" s="69" t="n">
        <f aca="false">K125+K126</f>
        <v>-29039.96505</v>
      </c>
      <c r="L127" s="69" t="n">
        <f aca="false">L125+L126</f>
        <v>31589.694425</v>
      </c>
      <c r="M127" s="69" t="n">
        <f aca="false">M125+M126</f>
        <v>62245.444345</v>
      </c>
      <c r="N127" s="69" t="n">
        <f aca="false">N125+N126</f>
        <v>53317.9423681477</v>
      </c>
      <c r="O127" s="69" t="n">
        <f aca="false">O125+O126</f>
        <v>109183.966862466</v>
      </c>
      <c r="P127" s="69" t="n">
        <f aca="false">P125+P126</f>
        <v>135144.850761349</v>
      </c>
      <c r="Q127" s="69" t="n">
        <f aca="false">Q125+Q126</f>
        <v>181891.250831807</v>
      </c>
      <c r="R127" s="69" t="n">
        <f aca="false">R125+R126</f>
        <v>215552.012093154</v>
      </c>
      <c r="S127" s="69" t="n">
        <f aca="false">S125+S126</f>
        <v>238145.41903219</v>
      </c>
      <c r="T127" s="69" t="n">
        <f aca="false">T125+T126</f>
        <v>244489.077919089</v>
      </c>
      <c r="U127" s="69" t="n">
        <f aca="false">U125+U126</f>
        <v>294207.987831614</v>
      </c>
      <c r="V127" s="69" t="n">
        <f aca="false">V125+V126</f>
        <v>328724.438449647</v>
      </c>
      <c r="W127" s="69" t="n">
        <f aca="false">W125+W126</f>
        <v>337690.49322965</v>
      </c>
      <c r="X127" s="69" t="n">
        <f aca="false">X125+X126</f>
        <v>379654.271440758</v>
      </c>
      <c r="Y127" s="69" t="n">
        <f aca="false">Y125+Y126</f>
        <v>403598.867912684</v>
      </c>
      <c r="Z127" s="69" t="n">
        <f aca="false">Z125+Z126</f>
        <v>341183.748738841</v>
      </c>
      <c r="AA127" s="69" t="n">
        <f aca="false">AA125+AA126</f>
        <v>478073.896586735</v>
      </c>
      <c r="AB127" s="69" t="n">
        <f aca="false">AB125+AB126</f>
        <v>565388.123339545</v>
      </c>
      <c r="AC127" s="69" t="n">
        <f aca="false">AC125+AC126</f>
        <v>648287.363045231</v>
      </c>
      <c r="AD127" s="69" t="n">
        <f aca="false">AD125+AD126</f>
        <v>727089.458480727</v>
      </c>
      <c r="AE127" s="69" t="n">
        <f aca="false">AE125+AE126</f>
        <v>786926.610742085</v>
      </c>
      <c r="AF127" s="69" t="n">
        <f aca="false">AF125+AF126</f>
        <v>873056.817800123</v>
      </c>
      <c r="AG127" s="69" t="n">
        <f aca="false">AG125+AG126</f>
        <v>940577.567879035</v>
      </c>
      <c r="AH127" s="69" t="n">
        <f aca="false">AH125+AH126</f>
        <v>1004782.00763485</v>
      </c>
      <c r="AI127" s="69" t="n">
        <f aca="false">AI125+AI126</f>
        <v>1065737.49568981</v>
      </c>
      <c r="AJ127" s="69" t="n">
        <f aca="false">AJ125+AJ126</f>
        <v>1123641.76950267</v>
      </c>
      <c r="AK127" s="69" t="n">
        <f aca="false">AK125+AK126</f>
        <v>1178628.55337859</v>
      </c>
      <c r="AL127" s="69" t="n">
        <f aca="false">AL125+AL126</f>
        <v>1183986.43989197</v>
      </c>
      <c r="AM127" s="69" t="n">
        <f aca="false">AM125+AM126</f>
        <v>1387450.46470765</v>
      </c>
      <c r="AN127" s="69" t="n">
        <f aca="false">AN125+AN126</f>
        <v>1524012.62473119</v>
      </c>
      <c r="AO127" s="69" t="n">
        <f aca="false">AO125+AO126</f>
        <v>1653948.55839105</v>
      </c>
      <c r="AP127" s="69" t="n">
        <f aca="false">AP125+AP126</f>
        <v>1777708.97572349</v>
      </c>
      <c r="AQ127" s="69" t="n">
        <f aca="false">AQ125+AQ126</f>
        <v>1870505.5259633</v>
      </c>
      <c r="AR127" s="69" t="n">
        <f aca="false">AR125+AR126</f>
        <v>2007645.96724496</v>
      </c>
      <c r="AS127" s="69" t="n">
        <f aca="false">AS125+AS126</f>
        <v>2114402.09877313</v>
      </c>
      <c r="AT127" s="69" t="n">
        <f aca="false">AT125+AT126</f>
        <v>2216020.56231447</v>
      </c>
      <c r="AU127" s="69" t="n">
        <f aca="false">AU125+AU126</f>
        <v>2312804.77066733</v>
      </c>
      <c r="AV127" s="69" t="n">
        <f aca="false">AV125+AV126</f>
        <v>2404902.28049265</v>
      </c>
      <c r="AW127" s="69" t="n">
        <f aca="false">AW125+AW126</f>
        <v>2492603.22762203</v>
      </c>
      <c r="AX127" s="69" t="n">
        <f aca="false">AX125+AX126</f>
        <v>2848983.94514189</v>
      </c>
      <c r="AY127" s="69" t="n">
        <f aca="false">AY125+AY126</f>
        <v>3131208.98034196</v>
      </c>
      <c r="AZ127" s="69" t="n">
        <f aca="false">AZ125+AZ126</f>
        <v>3333852.79512199</v>
      </c>
      <c r="BA127" s="69" t="n">
        <f aca="false">BA125+BA126</f>
        <v>3527362.55060238</v>
      </c>
      <c r="BB127" s="69" t="n">
        <f aca="false">BB125+BB126</f>
        <v>3712182.11667686</v>
      </c>
      <c r="BC127" s="69" t="n">
        <f aca="false">BC125+BC126</f>
        <v>3858690.91679082</v>
      </c>
      <c r="BD127" s="69" t="n">
        <f aca="false">BD125+BD126</f>
        <v>4057229.67861479</v>
      </c>
      <c r="BE127" s="69" t="n">
        <f aca="false">BE125+BE126</f>
        <v>4218176.31015552</v>
      </c>
      <c r="BF127" s="69" t="n">
        <f aca="false">BF125+BF126</f>
        <v>4371906.79180733</v>
      </c>
      <c r="BG127" s="69" t="n">
        <f aca="false">BG125+BG126</f>
        <v>4518765.83207802</v>
      </c>
      <c r="BH127" s="69" t="n">
        <f aca="false">BH125+BH126</f>
        <v>4658940.88937699</v>
      </c>
      <c r="BI127" s="69" t="n">
        <f aca="false">BI125+BI126</f>
        <v>4792808.44971357</v>
      </c>
      <c r="BJ127" s="69" t="n">
        <f aca="false">SUM(B127:BI127)</f>
        <v>82654742.0982161</v>
      </c>
    </row>
    <row r="128" customFormat="false" ht="15" hidden="false" customHeight="false" outlineLevel="0" collapsed="false">
      <c r="A128" s="12" t="s">
        <v>268</v>
      </c>
      <c r="B128" s="84" t="n">
        <f aca="false">B127/(1+Premissas!$B$12)^B$5</f>
        <v>0</v>
      </c>
      <c r="C128" s="84" t="n">
        <f aca="false">C127/(1+Premissas!$B$12)^C$5</f>
        <v>0</v>
      </c>
      <c r="D128" s="84" t="n">
        <f aca="false">D127/(1+Premissas!$B$12)^D$5</f>
        <v>0</v>
      </c>
      <c r="E128" s="84" t="n">
        <f aca="false">E127/(1+Premissas!$B$12)^E$5</f>
        <v>-1392.47665008383</v>
      </c>
      <c r="F128" s="84" t="n">
        <f aca="false">F127/(1+Premissas!$B$12)^F$5</f>
        <v>-7380.84094984538</v>
      </c>
      <c r="G128" s="84" t="n">
        <f aca="false">G127/(1+Premissas!$B$12)^G$5</f>
        <v>-1878.29710109982</v>
      </c>
      <c r="H128" s="84" t="n">
        <f aca="false">H127/(1+Premissas!$B$12)^H$5</f>
        <v>-1843.69235056949</v>
      </c>
      <c r="I128" s="84" t="n">
        <f aca="false">I127/(1+Premissas!$B$12)^I$5</f>
        <v>-15708.2590926628</v>
      </c>
      <c r="J128" s="84" t="n">
        <f aca="false">J127/(1+Premissas!$B$12)^J$5</f>
        <v>-7697.6627978473</v>
      </c>
      <c r="K128" s="84" t="n">
        <f aca="false">K127/(1+Premissas!$B$12)^K$5</f>
        <v>-24112.2504075747</v>
      </c>
      <c r="L128" s="84" t="n">
        <f aca="false">L127/(1+Premissas!$B$12)^L$5</f>
        <v>25746.0878198161</v>
      </c>
      <c r="M128" s="84" t="n">
        <f aca="false">M127/(1+Premissas!$B$12)^M$5</f>
        <v>49796.3554759999</v>
      </c>
      <c r="N128" s="84" t="n">
        <f aca="false">N127/(1+Premissas!$B$12)^N$5</f>
        <v>41868.512679788</v>
      </c>
      <c r="O128" s="84" t="n">
        <f aca="false">O127/(1+Premissas!$B$12)^O$5</f>
        <v>84158.3451561453</v>
      </c>
      <c r="P128" s="84" t="n">
        <f aca="false">P127/(1+Premissas!$B$12)^P$5</f>
        <v>102249.686886025</v>
      </c>
      <c r="Q128" s="84" t="n">
        <f aca="false">Q127/(1+Premissas!$B$12)^Q$5</f>
        <v>135082.303806844</v>
      </c>
      <c r="R128" s="84" t="n">
        <f aca="false">R127/(1+Premissas!$B$12)^R$5</f>
        <v>157131.36964728</v>
      </c>
      <c r="S128" s="84" t="n">
        <f aca="false">S127/(1+Premissas!$B$12)^S$5</f>
        <v>170402.990555567</v>
      </c>
      <c r="T128" s="84" t="n">
        <f aca="false">T127/(1+Premissas!$B$12)^T$5</f>
        <v>171719.102002748</v>
      </c>
      <c r="U128" s="84" t="n">
        <f aca="false">U127/(1+Premissas!$B$12)^U$5</f>
        <v>202832.60642205</v>
      </c>
      <c r="V128" s="84" t="n">
        <f aca="false">V127/(1+Premissas!$B$12)^V$5</f>
        <v>222453.615876667</v>
      </c>
      <c r="W128" s="84" t="n">
        <f aca="false">W127/(1+Premissas!$B$12)^W$5</f>
        <v>224310.951311169</v>
      </c>
      <c r="X128" s="84" t="n">
        <f aca="false">X127/(1+Premissas!$B$12)^X$5</f>
        <v>247539.265994202</v>
      </c>
      <c r="Y128" s="84" t="n">
        <f aca="false">Y127/(1+Premissas!$B$12)^Y$5</f>
        <v>258303.275464117</v>
      </c>
      <c r="Z128" s="84" t="n">
        <f aca="false">Z127/(1+Premissas!$B$12)^Z$5</f>
        <v>214334.694487289</v>
      </c>
      <c r="AA128" s="84" t="n">
        <f aca="false">AA127/(1+Premissas!$B$12)^AA$5</f>
        <v>294797.187940756</v>
      </c>
      <c r="AB128" s="84" t="n">
        <f aca="false">AB127/(1+Premissas!$B$12)^AB$5</f>
        <v>342215.087026193</v>
      </c>
      <c r="AC128" s="84" t="n">
        <f aca="false">AC127/(1+Premissas!$B$12)^AC$5</f>
        <v>385162.673316225</v>
      </c>
      <c r="AD128" s="84" t="n">
        <f aca="false">AD127/(1+Premissas!$B$12)^AD$5</f>
        <v>424022.253776233</v>
      </c>
      <c r="AE128" s="84" t="n">
        <f aca="false">AE127/(1+Premissas!$B$12)^AE$5</f>
        <v>450463.077100241</v>
      </c>
      <c r="AF128" s="84" t="n">
        <f aca="false">AF127/(1+Premissas!$B$12)^AF$5</f>
        <v>490559.444294286</v>
      </c>
      <c r="AG128" s="84" t="n">
        <f aca="false">AG127/(1+Premissas!$B$12)^AG$5</f>
        <v>518761.712871528</v>
      </c>
      <c r="AH128" s="84" t="n">
        <f aca="false">AH127/(1+Premissas!$B$12)^AH$5</f>
        <v>543962.941898345</v>
      </c>
      <c r="AI128" s="84" t="n">
        <f aca="false">AI127/(1+Premissas!$B$12)^AI$5</f>
        <v>566333.009188006</v>
      </c>
      <c r="AJ128" s="84" t="n">
        <f aca="false">AJ127/(1+Premissas!$B$12)^AJ$5</f>
        <v>586102.630285343</v>
      </c>
      <c r="AK128" s="84" t="n">
        <f aca="false">AK127/(1+Premissas!$B$12)^AK$5</f>
        <v>603457.819329835</v>
      </c>
      <c r="AL128" s="84" t="n">
        <f aca="false">AL127/(1+Premissas!$B$12)^AL$5</f>
        <v>595032.730156405</v>
      </c>
      <c r="AM128" s="84" t="n">
        <f aca="false">AM127/(1+Premissas!$B$12)^AM$5</f>
        <v>684440.624469367</v>
      </c>
      <c r="AN128" s="84" t="n">
        <f aca="false">AN127/(1+Premissas!$B$12)^AN$5</f>
        <v>737956.941749464</v>
      </c>
      <c r="AO128" s="84" t="n">
        <f aca="false">AO127/(1+Premissas!$B$12)^AO$5</f>
        <v>786119.593983777</v>
      </c>
      <c r="AP128" s="84" t="n">
        <f aca="false">AP127/(1+Premissas!$B$12)^AP$5</f>
        <v>829375.981348508</v>
      </c>
      <c r="AQ128" s="84" t="n">
        <f aca="false">AQ127/(1+Premissas!$B$12)^AQ$5</f>
        <v>856591.873708629</v>
      </c>
      <c r="AR128" s="84" t="n">
        <f aca="false">AR127/(1+Premissas!$B$12)^AR$5</f>
        <v>902456.444942925</v>
      </c>
      <c r="AS128" s="84" t="n">
        <f aca="false">AS127/(1+Premissas!$B$12)^AS$5</f>
        <v>932933.883959918</v>
      </c>
      <c r="AT128" s="84" t="n">
        <f aca="false">AT127/(1+Premissas!$B$12)^AT$5</f>
        <v>959756.886747019</v>
      </c>
      <c r="AU128" s="84" t="n">
        <f aca="false">AU127/(1+Premissas!$B$12)^AU$5</f>
        <v>983219.744624726</v>
      </c>
      <c r="AV128" s="84" t="n">
        <f aca="false">AV127/(1+Premissas!$B$12)^AV$5</f>
        <v>1003536.60067288</v>
      </c>
      <c r="AW128" s="84" t="n">
        <f aca="false">AW127/(1+Premissas!$B$12)^AW$5</f>
        <v>1020970.28203398</v>
      </c>
      <c r="AX128" s="84" t="n">
        <f aca="false">AX127/(1+Premissas!$B$12)^AX$5</f>
        <v>1145444.66925093</v>
      </c>
      <c r="AY128" s="84" t="n">
        <f aca="false">AY127/(1+Premissas!$B$12)^AY$5</f>
        <v>1235720.73201239</v>
      </c>
      <c r="AZ128" s="84" t="n">
        <f aca="false">AZ127/(1+Premissas!$B$12)^AZ$5</f>
        <v>1291453.77039908</v>
      </c>
      <c r="BA128" s="84" t="n">
        <f aca="false">BA127/(1+Premissas!$B$12)^BA$5</f>
        <v>1341240.65808219</v>
      </c>
      <c r="BB128" s="84" t="n">
        <f aca="false">BB127/(1+Premissas!$B$12)^BB$5</f>
        <v>1385511.22956906</v>
      </c>
      <c r="BC128" s="84" t="n">
        <f aca="false">BC127/(1+Premissas!$B$12)^BC$5</f>
        <v>1413659.8846022</v>
      </c>
      <c r="BD128" s="84" t="n">
        <f aca="false">BD127/(1+Premissas!$B$12)^BD$5</f>
        <v>1459011.45194605</v>
      </c>
      <c r="BE128" s="84" t="n">
        <f aca="false">BE127/(1+Premissas!$B$12)^BE$5</f>
        <v>1488942.75522883</v>
      </c>
      <c r="BF128" s="84" t="n">
        <f aca="false">BF127/(1+Premissas!$B$12)^BF$5</f>
        <v>1514775.71030145</v>
      </c>
      <c r="BG128" s="84" t="n">
        <f aca="false">BG127/(1+Premissas!$B$12)^BG$5</f>
        <v>1536814.46658473</v>
      </c>
      <c r="BH128" s="84" t="n">
        <f aca="false">BH127/(1+Premissas!$B$12)^BH$5</f>
        <v>1555295.6943942</v>
      </c>
      <c r="BI128" s="84" t="n">
        <f aca="false">BI127/(1+Premissas!$B$12)^BI$5</f>
        <v>1570507.47280214</v>
      </c>
      <c r="BJ128" s="69" t="n">
        <f aca="false">SUM(B128:BI128)</f>
        <v>34684523.6048338</v>
      </c>
    </row>
    <row r="129" customFormat="false" ht="15" hidden="false" customHeight="false" outlineLevel="0" collapsed="false">
      <c r="A129" s="12" t="s">
        <v>269</v>
      </c>
      <c r="B129" s="84" t="n">
        <f aca="false">B128</f>
        <v>0</v>
      </c>
      <c r="C129" s="84" t="n">
        <f aca="false">B129+C128</f>
        <v>0</v>
      </c>
      <c r="D129" s="84" t="n">
        <f aca="false">C129+D128</f>
        <v>0</v>
      </c>
      <c r="E129" s="84" t="n">
        <f aca="false">D129+E128</f>
        <v>-1392.47665008383</v>
      </c>
      <c r="F129" s="84" t="n">
        <f aca="false">E129+F128</f>
        <v>-8773.31759992921</v>
      </c>
      <c r="G129" s="84" t="n">
        <f aca="false">F129+G128</f>
        <v>-10651.614701029</v>
      </c>
      <c r="H129" s="84" t="n">
        <f aca="false">G129+H128</f>
        <v>-12495.3070515985</v>
      </c>
      <c r="I129" s="84" t="n">
        <f aca="false">H129+I128</f>
        <v>-28203.5661442613</v>
      </c>
      <c r="J129" s="84" t="n">
        <f aca="false">I129+J128</f>
        <v>-35901.2289421086</v>
      </c>
      <c r="K129" s="84" t="n">
        <f aca="false">J129+K128</f>
        <v>-60013.4793496833</v>
      </c>
      <c r="L129" s="84" t="n">
        <f aca="false">K129+L128</f>
        <v>-34267.3915298672</v>
      </c>
      <c r="M129" s="84" t="n">
        <f aca="false">L129+M128</f>
        <v>15528.9639461327</v>
      </c>
      <c r="N129" s="84" t="n">
        <f aca="false">M129+N128</f>
        <v>57397.4766259207</v>
      </c>
      <c r="O129" s="84" t="n">
        <f aca="false">N129+O128</f>
        <v>141555.821782066</v>
      </c>
      <c r="P129" s="84" t="n">
        <f aca="false">O129+P128</f>
        <v>243805.508668092</v>
      </c>
      <c r="Q129" s="84" t="n">
        <f aca="false">P129+Q128</f>
        <v>378887.812474936</v>
      </c>
      <c r="R129" s="84" t="n">
        <f aca="false">Q129+R128</f>
        <v>536019.182122216</v>
      </c>
      <c r="S129" s="84" t="n">
        <f aca="false">R129+S128</f>
        <v>706422.172677783</v>
      </c>
      <c r="T129" s="84" t="n">
        <f aca="false">S129+T128</f>
        <v>878141.274680531</v>
      </c>
      <c r="U129" s="84" t="n">
        <f aca="false">T129+U128</f>
        <v>1080973.88110258</v>
      </c>
      <c r="V129" s="84" t="n">
        <f aca="false">U129+V128</f>
        <v>1303427.49697925</v>
      </c>
      <c r="W129" s="84" t="n">
        <f aca="false">V129+W128</f>
        <v>1527738.44829042</v>
      </c>
      <c r="X129" s="84" t="n">
        <f aca="false">W129+X128</f>
        <v>1775277.71428462</v>
      </c>
      <c r="Y129" s="84" t="n">
        <f aca="false">X129+Y128</f>
        <v>2033580.98974874</v>
      </c>
      <c r="Z129" s="84" t="n">
        <f aca="false">Y129+Z128</f>
        <v>2247915.68423603</v>
      </c>
      <c r="AA129" s="84" t="n">
        <f aca="false">Z129+AA128</f>
        <v>2542712.87217678</v>
      </c>
      <c r="AB129" s="84" t="n">
        <f aca="false">AA129+AB128</f>
        <v>2884927.95920297</v>
      </c>
      <c r="AC129" s="84" t="n">
        <f aca="false">AB129+AC128</f>
        <v>3270090.6325192</v>
      </c>
      <c r="AD129" s="84" t="n">
        <f aca="false">AC129+AD128</f>
        <v>3694112.88629543</v>
      </c>
      <c r="AE129" s="84" t="n">
        <f aca="false">AD129+AE128</f>
        <v>4144575.96339567</v>
      </c>
      <c r="AF129" s="84" t="n">
        <f aca="false">AE129+AF128</f>
        <v>4635135.40768996</v>
      </c>
      <c r="AG129" s="84" t="n">
        <f aca="false">AF129+AG128</f>
        <v>5153897.12056149</v>
      </c>
      <c r="AH129" s="84" t="n">
        <f aca="false">AG129+AH128</f>
        <v>5697860.06245983</v>
      </c>
      <c r="AI129" s="84" t="n">
        <f aca="false">AH129+AI128</f>
        <v>6264193.07164784</v>
      </c>
      <c r="AJ129" s="84" t="n">
        <f aca="false">AI129+AJ128</f>
        <v>6850295.70193318</v>
      </c>
      <c r="AK129" s="84" t="n">
        <f aca="false">AJ129+AK128</f>
        <v>7453753.52126302</v>
      </c>
      <c r="AL129" s="84" t="n">
        <f aca="false">AK129+AL128</f>
        <v>8048786.25141942</v>
      </c>
      <c r="AM129" s="84" t="n">
        <f aca="false">AL129+AM128</f>
        <v>8733226.87588879</v>
      </c>
      <c r="AN129" s="84" t="n">
        <f aca="false">AM129+AN128</f>
        <v>9471183.81763825</v>
      </c>
      <c r="AO129" s="84" t="n">
        <f aca="false">AN129+AO128</f>
        <v>10257303.411622</v>
      </c>
      <c r="AP129" s="84" t="n">
        <f aca="false">AO129+AP128</f>
        <v>11086679.3929705</v>
      </c>
      <c r="AQ129" s="84" t="n">
        <f aca="false">AP129+AQ128</f>
        <v>11943271.2666792</v>
      </c>
      <c r="AR129" s="84" t="n">
        <f aca="false">AQ129+AR128</f>
        <v>12845727.7116221</v>
      </c>
      <c r="AS129" s="84" t="n">
        <f aca="false">AR129+AS128</f>
        <v>13778661.595582</v>
      </c>
      <c r="AT129" s="84" t="n">
        <f aca="false">AS129+AT128</f>
        <v>14738418.482329</v>
      </c>
      <c r="AU129" s="84" t="n">
        <f aca="false">AT129+AU128</f>
        <v>15721638.2269538</v>
      </c>
      <c r="AV129" s="84" t="n">
        <f aca="false">AU129+AV128</f>
        <v>16725174.8276266</v>
      </c>
      <c r="AW129" s="84" t="n">
        <f aca="false">AV129+AW128</f>
        <v>17746145.1096606</v>
      </c>
      <c r="AX129" s="84" t="n">
        <f aca="false">AW129+AX128</f>
        <v>18891589.7789115</v>
      </c>
      <c r="AY129" s="84" t="n">
        <f aca="false">AX129+AY128</f>
        <v>20127310.5109239</v>
      </c>
      <c r="AZ129" s="84" t="n">
        <f aca="false">AY129+AZ128</f>
        <v>21418764.281323</v>
      </c>
      <c r="BA129" s="84" t="n">
        <f aca="false">AZ129+BA128</f>
        <v>22760004.9394052</v>
      </c>
      <c r="BB129" s="84" t="n">
        <f aca="false">BA129+BB128</f>
        <v>24145516.1689743</v>
      </c>
      <c r="BC129" s="84" t="n">
        <f aca="false">BB129+BC128</f>
        <v>25559176.0535765</v>
      </c>
      <c r="BD129" s="84" t="n">
        <f aca="false">BC129+BD128</f>
        <v>27018187.5055225</v>
      </c>
      <c r="BE129" s="84" t="n">
        <f aca="false">BD129+BE128</f>
        <v>28507130.2607513</v>
      </c>
      <c r="BF129" s="84" t="n">
        <f aca="false">BE129+BF128</f>
        <v>30021905.9710528</v>
      </c>
      <c r="BG129" s="84" t="n">
        <f aca="false">BF129+BG128</f>
        <v>31558720.4376375</v>
      </c>
      <c r="BH129" s="84" t="n">
        <f aca="false">BG129+BH128</f>
        <v>33114016.1320317</v>
      </c>
      <c r="BI129" s="84" t="n">
        <f aca="false">BH129+BI128</f>
        <v>34684523.6048339</v>
      </c>
      <c r="BJ129" s="69" t="n">
        <f aca="false">BI129</f>
        <v>34684523.6048339</v>
      </c>
      <c r="BK129" s="14" t="s">
        <v>344</v>
      </c>
    </row>
    <row r="130" customFormat="false" ht="15" hidden="false" customHeight="false" outlineLevel="0" collapsed="false">
      <c r="A130" s="12" t="s">
        <v>270</v>
      </c>
      <c r="B130" s="84" t="n">
        <f aca="false">B127</f>
        <v>0</v>
      </c>
      <c r="C130" s="84" t="n">
        <f aca="false">B130+C127</f>
        <v>0</v>
      </c>
      <c r="D130" s="84" t="n">
        <f aca="false">C130+D127</f>
        <v>0</v>
      </c>
      <c r="E130" s="84" t="n">
        <f aca="false">D130+E127</f>
        <v>-1500</v>
      </c>
      <c r="F130" s="84" t="n">
        <f aca="false">E130+F127</f>
        <v>-9600</v>
      </c>
      <c r="G130" s="84" t="n">
        <f aca="false">F130+G127</f>
        <v>-11700</v>
      </c>
      <c r="H130" s="84" t="n">
        <f aca="false">G130+H127</f>
        <v>-13800</v>
      </c>
      <c r="I130" s="84" t="n">
        <f aca="false">H130+I127</f>
        <v>-32027.82</v>
      </c>
      <c r="J130" s="84" t="n">
        <f aca="false">I130+J127</f>
        <v>-41127.82</v>
      </c>
      <c r="K130" s="84" t="n">
        <f aca="false">J130+K127</f>
        <v>-70167.78505</v>
      </c>
      <c r="L130" s="84" t="n">
        <f aca="false">K130+L127</f>
        <v>-38578.090625</v>
      </c>
      <c r="M130" s="84" t="n">
        <f aca="false">L130+M127</f>
        <v>23667.35372</v>
      </c>
      <c r="N130" s="84" t="n">
        <f aca="false">M130+N127</f>
        <v>76985.2960881477</v>
      </c>
      <c r="O130" s="84" t="n">
        <f aca="false">N130+O127</f>
        <v>186169.262950614</v>
      </c>
      <c r="P130" s="84" t="n">
        <f aca="false">O130+P127</f>
        <v>321314.113711963</v>
      </c>
      <c r="Q130" s="84" t="n">
        <f aca="false">P130+Q127</f>
        <v>503205.36454377</v>
      </c>
      <c r="R130" s="84" t="n">
        <f aca="false">Q130+R127</f>
        <v>718757.376636924</v>
      </c>
      <c r="S130" s="84" t="n">
        <f aca="false">R130+S127</f>
        <v>956902.795669114</v>
      </c>
      <c r="T130" s="84" t="n">
        <f aca="false">S130+T127</f>
        <v>1201391.8735882</v>
      </c>
      <c r="U130" s="84" t="n">
        <f aca="false">T130+U127</f>
        <v>1495599.86141982</v>
      </c>
      <c r="V130" s="84" t="n">
        <f aca="false">U130+V127</f>
        <v>1824324.29986946</v>
      </c>
      <c r="W130" s="84" t="n">
        <f aca="false">V130+W127</f>
        <v>2162014.79309911</v>
      </c>
      <c r="X130" s="84" t="n">
        <f aca="false">W130+X127</f>
        <v>2541669.06453987</v>
      </c>
      <c r="Y130" s="84" t="n">
        <f aca="false">X130+Y127</f>
        <v>2945267.93245256</v>
      </c>
      <c r="Z130" s="84" t="n">
        <f aca="false">Y130+Z127</f>
        <v>3286451.6811914</v>
      </c>
      <c r="AA130" s="84" t="n">
        <f aca="false">Z130+AA127</f>
        <v>3764525.57777813</v>
      </c>
      <c r="AB130" s="84" t="n">
        <f aca="false">AA130+AB127</f>
        <v>4329913.70111768</v>
      </c>
      <c r="AC130" s="84" t="n">
        <f aca="false">AB130+AC127</f>
        <v>4978201.06416291</v>
      </c>
      <c r="AD130" s="84" t="n">
        <f aca="false">AC130+AD127</f>
        <v>5705290.52264363</v>
      </c>
      <c r="AE130" s="84" t="n">
        <f aca="false">AD130+AE127</f>
        <v>6492217.13338572</v>
      </c>
      <c r="AF130" s="84" t="n">
        <f aca="false">AE130+AF127</f>
        <v>7365273.95118584</v>
      </c>
      <c r="AG130" s="84" t="n">
        <f aca="false">AF130+AG127</f>
        <v>8305851.51906488</v>
      </c>
      <c r="AH130" s="84" t="n">
        <f aca="false">AG130+AH127</f>
        <v>9310633.52669973</v>
      </c>
      <c r="AI130" s="84" t="n">
        <f aca="false">AH130+AI127</f>
        <v>10376371.0223895</v>
      </c>
      <c r="AJ130" s="84" t="n">
        <f aca="false">AI130+AJ127</f>
        <v>11500012.7918922</v>
      </c>
      <c r="AK130" s="84" t="n">
        <f aca="false">AJ130+AK127</f>
        <v>12678641.3452708</v>
      </c>
      <c r="AL130" s="84" t="n">
        <f aca="false">AK130+AL127</f>
        <v>13862627.7851628</v>
      </c>
      <c r="AM130" s="84" t="n">
        <f aca="false">AL130+AM127</f>
        <v>15250078.2498704</v>
      </c>
      <c r="AN130" s="84" t="n">
        <f aca="false">AM130+AN127</f>
        <v>16774090.8746016</v>
      </c>
      <c r="AO130" s="84" t="n">
        <f aca="false">AN130+AO127</f>
        <v>18428039.4329927</v>
      </c>
      <c r="AP130" s="84" t="n">
        <f aca="false">AO130+AP127</f>
        <v>20205748.4087161</v>
      </c>
      <c r="AQ130" s="84" t="n">
        <f aca="false">AP130+AQ127</f>
        <v>22076253.9346794</v>
      </c>
      <c r="AR130" s="84" t="n">
        <f aca="false">AQ130+AR127</f>
        <v>24083899.9019244</v>
      </c>
      <c r="AS130" s="84" t="n">
        <f aca="false">AR130+AS127</f>
        <v>26198302.0006975</v>
      </c>
      <c r="AT130" s="84" t="n">
        <f aca="false">AS130+AT127</f>
        <v>28414322.563012</v>
      </c>
      <c r="AU130" s="84" t="n">
        <f aca="false">AT130+AU127</f>
        <v>30727127.3336793</v>
      </c>
      <c r="AV130" s="84" t="n">
        <f aca="false">AU130+AV127</f>
        <v>33132029.614172</v>
      </c>
      <c r="AW130" s="84" t="n">
        <f aca="false">AV130+AW127</f>
        <v>35624632.841794</v>
      </c>
      <c r="AX130" s="84" t="n">
        <f aca="false">AW130+AX127</f>
        <v>38473616.7869359</v>
      </c>
      <c r="AY130" s="84" t="n">
        <f aca="false">AX130+AY127</f>
        <v>41604825.7672779</v>
      </c>
      <c r="AZ130" s="84" t="n">
        <f aca="false">AY130+AZ127</f>
        <v>44938678.5623999</v>
      </c>
      <c r="BA130" s="84" t="n">
        <f aca="false">AZ130+BA127</f>
        <v>48466041.1130022</v>
      </c>
      <c r="BB130" s="84" t="n">
        <f aca="false">BA130+BB127</f>
        <v>52178223.2296791</v>
      </c>
      <c r="BC130" s="84" t="n">
        <f aca="false">BB130+BC127</f>
        <v>56036914.1464699</v>
      </c>
      <c r="BD130" s="84" t="n">
        <f aca="false">BC130+BD127</f>
        <v>60094143.8250847</v>
      </c>
      <c r="BE130" s="84" t="n">
        <f aca="false">BD130+BE127</f>
        <v>64312320.1352402</v>
      </c>
      <c r="BF130" s="84" t="n">
        <f aca="false">BE130+BF127</f>
        <v>68684226.9270476</v>
      </c>
      <c r="BG130" s="84" t="n">
        <f aca="false">BF130+BG127</f>
        <v>73202992.7591256</v>
      </c>
      <c r="BH130" s="84" t="n">
        <f aca="false">BG130+BH127</f>
        <v>77861933.6485026</v>
      </c>
      <c r="BI130" s="84" t="n">
        <f aca="false">BH130+BI127</f>
        <v>82654742.0982161</v>
      </c>
      <c r="BJ130" s="69" t="n">
        <f aca="false">BI130</f>
        <v>82654742.0982161</v>
      </c>
      <c r="BK130" s="14" t="s">
        <v>344</v>
      </c>
    </row>
    <row r="131" customFormat="false" ht="15" hidden="false" customHeight="false" outlineLevel="0" collapsed="false">
      <c r="A131" s="73" t="s">
        <v>357</v>
      </c>
      <c r="B131" s="110" t="n">
        <f aca="false">IF(B125&gt;0,1,0)</f>
        <v>0</v>
      </c>
      <c r="C131" s="110" t="n">
        <f aca="false">IF(B131=1,1,IF(C125&gt;0,1,0))</f>
        <v>0</v>
      </c>
      <c r="D131" s="110" t="n">
        <f aca="false">IF(C131=1,1,IF(D125&gt;0,1,0))</f>
        <v>0</v>
      </c>
      <c r="E131" s="110" t="n">
        <f aca="false">IF(D131=1,1,IF(E125&gt;0,1,0))</f>
        <v>0</v>
      </c>
      <c r="F131" s="110" t="n">
        <f aca="false">IF(E131=1,1,IF(F125&gt;0,1,0))</f>
        <v>0</v>
      </c>
      <c r="G131" s="110" t="n">
        <f aca="false">IF(F131=1,1,IF(G125&gt;0,1,0))</f>
        <v>0</v>
      </c>
      <c r="H131" s="110" t="n">
        <f aca="false">IF(G131=1,1,IF(H125&gt;0,1,0))</f>
        <v>0</v>
      </c>
      <c r="I131" s="110" t="n">
        <f aca="false">IF(H131=1,1,IF(I125&gt;0,1,0))</f>
        <v>0</v>
      </c>
      <c r="J131" s="110" t="n">
        <f aca="false">IF(I131=1,1,IF(J125&gt;0,1,0))</f>
        <v>0</v>
      </c>
      <c r="K131" s="110" t="n">
        <f aca="false">IF(J131=1,1,IF(K125&gt;0,1,0))</f>
        <v>0</v>
      </c>
      <c r="L131" s="110" t="n">
        <f aca="false">IF(K131=1,1,IF(L125&gt;0,1,0))</f>
        <v>1</v>
      </c>
      <c r="M131" s="110" t="n">
        <f aca="false">IF(L131=1,1,IF(M125&gt;0,1,0))</f>
        <v>1</v>
      </c>
      <c r="N131" s="110" t="n">
        <f aca="false">IF(M131=1,1,IF(N125&gt;0,1,0))</f>
        <v>1</v>
      </c>
      <c r="O131" s="110" t="n">
        <f aca="false">IF(N131=1,1,IF(O125&gt;0,1,0))</f>
        <v>1</v>
      </c>
      <c r="P131" s="110" t="n">
        <f aca="false">IF(O131=1,1,IF(P125&gt;0,1,0))</f>
        <v>1</v>
      </c>
      <c r="Q131" s="110" t="n">
        <f aca="false">IF(P131=1,1,IF(Q125&gt;0,1,0))</f>
        <v>1</v>
      </c>
      <c r="R131" s="110" t="n">
        <f aca="false">IF(Q131=1,1,IF(R125&gt;0,1,0))</f>
        <v>1</v>
      </c>
      <c r="S131" s="110" t="n">
        <f aca="false">IF(R131=1,1,IF(S125&gt;0,1,0))</f>
        <v>1</v>
      </c>
      <c r="T131" s="110" t="n">
        <f aca="false">IF(S131=1,1,IF(T125&gt;0,1,0))</f>
        <v>1</v>
      </c>
      <c r="U131" s="110" t="n">
        <f aca="false">IF(T131=1,1,IF(U125&gt;0,1,0))</f>
        <v>1</v>
      </c>
      <c r="V131" s="110" t="n">
        <f aca="false">IF(U131=1,1,IF(V125&gt;0,1,0))</f>
        <v>1</v>
      </c>
      <c r="W131" s="110" t="n">
        <f aca="false">IF(V131=1,1,IF(W125&gt;0,1,0))</f>
        <v>1</v>
      </c>
      <c r="X131" s="110" t="n">
        <f aca="false">IF(W131=1,1,IF(X125&gt;0,1,0))</f>
        <v>1</v>
      </c>
      <c r="Y131" s="110" t="n">
        <f aca="false">IF(X131=1,1,IF(Y125&gt;0,1,0))</f>
        <v>1</v>
      </c>
      <c r="Z131" s="110" t="n">
        <f aca="false">IF(Y131=1,1,IF(Z125&gt;0,1,0))</f>
        <v>1</v>
      </c>
      <c r="AA131" s="110" t="n">
        <f aca="false">IF(Z131=1,1,IF(AA125&gt;0,1,0))</f>
        <v>1</v>
      </c>
      <c r="AB131" s="110" t="n">
        <f aca="false">IF(AA131=1,1,IF(AB125&gt;0,1,0))</f>
        <v>1</v>
      </c>
      <c r="AC131" s="110" t="n">
        <f aca="false">IF(AB131=1,1,IF(AC125&gt;0,1,0))</f>
        <v>1</v>
      </c>
      <c r="AD131" s="110" t="n">
        <f aca="false">IF(AC131=1,1,IF(AD125&gt;0,1,0))</f>
        <v>1</v>
      </c>
      <c r="AE131" s="110" t="n">
        <f aca="false">IF(AD131=1,1,IF(AE125&gt;0,1,0))</f>
        <v>1</v>
      </c>
      <c r="AF131" s="110" t="n">
        <f aca="false">IF(AE131=1,1,IF(AF125&gt;0,1,0))</f>
        <v>1</v>
      </c>
      <c r="AG131" s="110" t="n">
        <f aca="false">IF(AF131=1,1,IF(AG125&gt;0,1,0))</f>
        <v>1</v>
      </c>
      <c r="AH131" s="110" t="n">
        <f aca="false">IF(AG131=1,1,IF(AH125&gt;0,1,0))</f>
        <v>1</v>
      </c>
      <c r="AI131" s="110" t="n">
        <f aca="false">IF(AH131=1,1,IF(AI125&gt;0,1,0))</f>
        <v>1</v>
      </c>
      <c r="AJ131" s="110" t="n">
        <f aca="false">IF(AI131=1,1,IF(AJ125&gt;0,1,0))</f>
        <v>1</v>
      </c>
      <c r="AK131" s="110" t="n">
        <f aca="false">IF(AJ131=1,1,IF(AK125&gt;0,1,0))</f>
        <v>1</v>
      </c>
      <c r="AL131" s="110" t="n">
        <f aca="false">IF(AK131=1,1,IF(AL125&gt;0,1,0))</f>
        <v>1</v>
      </c>
      <c r="AM131" s="110" t="n">
        <f aca="false">IF(AL131=1,1,IF(AM125&gt;0,1,0))</f>
        <v>1</v>
      </c>
      <c r="AN131" s="110" t="n">
        <f aca="false">IF(AM131=1,1,IF(AN125&gt;0,1,0))</f>
        <v>1</v>
      </c>
      <c r="AO131" s="110" t="n">
        <f aca="false">IF(AN131=1,1,IF(AO125&gt;0,1,0))</f>
        <v>1</v>
      </c>
      <c r="AP131" s="110" t="n">
        <f aca="false">IF(AO131=1,1,IF(AP125&gt;0,1,0))</f>
        <v>1</v>
      </c>
      <c r="AQ131" s="110" t="n">
        <f aca="false">IF(AP131=1,1,IF(AQ125&gt;0,1,0))</f>
        <v>1</v>
      </c>
      <c r="AR131" s="110" t="n">
        <f aca="false">IF(AQ131=1,1,IF(AR125&gt;0,1,0))</f>
        <v>1</v>
      </c>
      <c r="AS131" s="110" t="n">
        <f aca="false">IF(AR131=1,1,IF(AS125&gt;0,1,0))</f>
        <v>1</v>
      </c>
      <c r="AT131" s="110" t="n">
        <f aca="false">IF(AS131=1,1,IF(AT125&gt;0,1,0))</f>
        <v>1</v>
      </c>
      <c r="AU131" s="110" t="n">
        <f aca="false">IF(AT131=1,1,IF(AU125&gt;0,1,0))</f>
        <v>1</v>
      </c>
      <c r="AV131" s="110" t="n">
        <f aca="false">IF(AU131=1,1,IF(AV125&gt;0,1,0))</f>
        <v>1</v>
      </c>
      <c r="AW131" s="110" t="n">
        <f aca="false">IF(AV131=1,1,IF(AW125&gt;0,1,0))</f>
        <v>1</v>
      </c>
      <c r="AX131" s="110" t="n">
        <f aca="false">IF(AW131=1,1,IF(AX125&gt;0,1,0))</f>
        <v>1</v>
      </c>
      <c r="AY131" s="110" t="n">
        <f aca="false">IF(AX131=1,1,IF(AY125&gt;0,1,0))</f>
        <v>1</v>
      </c>
      <c r="AZ131" s="110" t="n">
        <f aca="false">IF(AY131=1,1,IF(AZ125&gt;0,1,0))</f>
        <v>1</v>
      </c>
      <c r="BA131" s="110" t="n">
        <f aca="false">IF(AZ131=1,1,IF(BA125&gt;0,1,0))</f>
        <v>1</v>
      </c>
      <c r="BB131" s="110" t="n">
        <f aca="false">IF(BA131=1,1,IF(BB125&gt;0,1,0))</f>
        <v>1</v>
      </c>
      <c r="BC131" s="110" t="n">
        <f aca="false">IF(BB131=1,1,IF(BC125&gt;0,1,0))</f>
        <v>1</v>
      </c>
      <c r="BD131" s="110" t="n">
        <f aca="false">IF(BC131=1,1,IF(BD125&gt;0,1,0))</f>
        <v>1</v>
      </c>
      <c r="BE131" s="110" t="n">
        <f aca="false">IF(BD131=1,1,IF(BE125&gt;0,1,0))</f>
        <v>1</v>
      </c>
      <c r="BF131" s="110" t="n">
        <f aca="false">IF(BE131=1,1,IF(BF125&gt;0,1,0))</f>
        <v>1</v>
      </c>
      <c r="BG131" s="110" t="n">
        <f aca="false">IF(BF131=1,1,IF(BG125&gt;0,1,0))</f>
        <v>1</v>
      </c>
      <c r="BH131" s="110" t="n">
        <f aca="false">IF(BG131=1,1,IF(BH125&gt;0,1,0))</f>
        <v>1</v>
      </c>
      <c r="BI131" s="110" t="n">
        <f aca="false">IF(BH131=1,1,IF(BI125&gt;0,1,0))</f>
        <v>1</v>
      </c>
      <c r="BJ131" s="95" t="n">
        <f aca="false">BI131</f>
        <v>1</v>
      </c>
    </row>
    <row r="132" customFormat="false" ht="15" hidden="false" customHeight="false" outlineLevel="0" collapsed="false">
      <c r="A132" s="12" t="s">
        <v>271</v>
      </c>
      <c r="B132" s="84" t="n">
        <f aca="false">Aportes!B48</f>
        <v>0</v>
      </c>
      <c r="C132" s="84" t="n">
        <f aca="false">Aportes!C48</f>
        <v>0</v>
      </c>
      <c r="D132" s="84" t="n">
        <f aca="false">Aportes!D48</f>
        <v>0</v>
      </c>
      <c r="E132" s="84" t="n">
        <f aca="false">Aportes!E48</f>
        <v>10000</v>
      </c>
      <c r="F132" s="84" t="n">
        <f aca="false">Aportes!F48</f>
        <v>0</v>
      </c>
      <c r="G132" s="84" t="n">
        <f aca="false">Aportes!G48</f>
        <v>0</v>
      </c>
      <c r="H132" s="84" t="n">
        <f aca="false">Aportes!H48</f>
        <v>5000</v>
      </c>
      <c r="I132" s="84" t="n">
        <f aca="false">Aportes!I48</f>
        <v>18000</v>
      </c>
      <c r="J132" s="84" t="n">
        <f aca="false">Aportes!J48</f>
        <v>0</v>
      </c>
      <c r="K132" s="84" t="n">
        <f aca="false">Aportes!K48</f>
        <v>80000</v>
      </c>
      <c r="L132" s="84" t="n">
        <f aca="false">Aportes!L48</f>
        <v>40000</v>
      </c>
      <c r="M132" s="84" t="n">
        <f aca="false">Aportes!M48</f>
        <v>17000</v>
      </c>
      <c r="N132" s="84" t="n">
        <f aca="false">Aportes!N48</f>
        <v>0</v>
      </c>
      <c r="O132" s="84" t="n">
        <f aca="false">Aportes!O48</f>
        <v>0</v>
      </c>
      <c r="P132" s="84" t="n">
        <f aca="false">Aportes!P48</f>
        <v>0</v>
      </c>
      <c r="Q132" s="84" t="n">
        <f aca="false">Aportes!Q48</f>
        <v>0</v>
      </c>
      <c r="R132" s="84" t="n">
        <f aca="false">Aportes!R48</f>
        <v>0</v>
      </c>
      <c r="S132" s="84" t="n">
        <f aca="false">Aportes!S48</f>
        <v>15000</v>
      </c>
      <c r="T132" s="84" t="n">
        <f aca="false">Aportes!T48</f>
        <v>0</v>
      </c>
      <c r="U132" s="84" t="n">
        <f aca="false">Aportes!U48</f>
        <v>0</v>
      </c>
      <c r="V132" s="84" t="n">
        <f aca="false">Aportes!V48</f>
        <v>0</v>
      </c>
      <c r="W132" s="84" t="n">
        <f aca="false">Aportes!W48</f>
        <v>0</v>
      </c>
      <c r="X132" s="84" t="n">
        <f aca="false">Aportes!X48</f>
        <v>0</v>
      </c>
      <c r="Y132" s="84" t="n">
        <f aca="false">Aportes!Y48</f>
        <v>15000</v>
      </c>
      <c r="Z132" s="84" t="n">
        <f aca="false">Aportes!Z48</f>
        <v>0</v>
      </c>
      <c r="AA132" s="84" t="n">
        <f aca="false">Aportes!AA48</f>
        <v>0</v>
      </c>
      <c r="AB132" s="84" t="n">
        <f aca="false">Aportes!AB48</f>
        <v>0</v>
      </c>
      <c r="AC132" s="84" t="n">
        <f aca="false">Aportes!AC48</f>
        <v>0</v>
      </c>
      <c r="AD132" s="84" t="n">
        <f aca="false">Aportes!AD48</f>
        <v>0</v>
      </c>
      <c r="AE132" s="84" t="n">
        <f aca="false">Aportes!AE48</f>
        <v>0</v>
      </c>
      <c r="AF132" s="84" t="n">
        <f aca="false">Aportes!AF48</f>
        <v>0</v>
      </c>
      <c r="AG132" s="84" t="n">
        <f aca="false">Aportes!AG48</f>
        <v>0</v>
      </c>
      <c r="AH132" s="84" t="n">
        <f aca="false">Aportes!AH48</f>
        <v>0</v>
      </c>
      <c r="AI132" s="84" t="n">
        <f aca="false">Aportes!AI48</f>
        <v>0</v>
      </c>
      <c r="AJ132" s="84" t="n">
        <f aca="false">Aportes!AJ48</f>
        <v>0</v>
      </c>
      <c r="AK132" s="84" t="n">
        <f aca="false">Aportes!AK48</f>
        <v>0</v>
      </c>
      <c r="AL132" s="84" t="n">
        <f aca="false">Aportes!AL48</f>
        <v>0</v>
      </c>
      <c r="AM132" s="84" t="n">
        <f aca="false">Aportes!AM48</f>
        <v>0</v>
      </c>
      <c r="AN132" s="84" t="n">
        <f aca="false">Aportes!AN48</f>
        <v>0</v>
      </c>
      <c r="AO132" s="84" t="n">
        <f aca="false">Aportes!AO48</f>
        <v>0</v>
      </c>
      <c r="AP132" s="84" t="n">
        <f aca="false">Aportes!AP48</f>
        <v>0</v>
      </c>
      <c r="AQ132" s="84" t="n">
        <f aca="false">Aportes!AQ48</f>
        <v>0</v>
      </c>
      <c r="AR132" s="84" t="n">
        <f aca="false">Aportes!AR48</f>
        <v>0</v>
      </c>
      <c r="AS132" s="84" t="n">
        <f aca="false">Aportes!AS48</f>
        <v>0</v>
      </c>
      <c r="AT132" s="84" t="n">
        <f aca="false">Aportes!AT48</f>
        <v>0</v>
      </c>
      <c r="AU132" s="84" t="n">
        <f aca="false">Aportes!AU48</f>
        <v>0</v>
      </c>
      <c r="AV132" s="84" t="n">
        <f aca="false">Aportes!AV48</f>
        <v>0</v>
      </c>
      <c r="AW132" s="84" t="n">
        <f aca="false">Aportes!AW48</f>
        <v>0</v>
      </c>
      <c r="AX132" s="84" t="n">
        <f aca="false">Aportes!AX48</f>
        <v>0</v>
      </c>
      <c r="AY132" s="84" t="n">
        <f aca="false">Aportes!AY48</f>
        <v>0</v>
      </c>
      <c r="AZ132" s="84" t="n">
        <f aca="false">Aportes!AZ48</f>
        <v>0</v>
      </c>
      <c r="BA132" s="84" t="n">
        <f aca="false">Aportes!BA48</f>
        <v>0</v>
      </c>
      <c r="BB132" s="84" t="n">
        <f aca="false">Aportes!BB48</f>
        <v>0</v>
      </c>
      <c r="BC132" s="84" t="n">
        <f aca="false">Aportes!BC48</f>
        <v>0</v>
      </c>
      <c r="BD132" s="84" t="n">
        <f aca="false">Aportes!BD48</f>
        <v>0</v>
      </c>
      <c r="BE132" s="84" t="n">
        <f aca="false">Aportes!BE48</f>
        <v>0</v>
      </c>
      <c r="BF132" s="84" t="n">
        <f aca="false">Aportes!BF48</f>
        <v>0</v>
      </c>
      <c r="BG132" s="84" t="n">
        <f aca="false">Aportes!BG48</f>
        <v>0</v>
      </c>
      <c r="BH132" s="84" t="n">
        <f aca="false">Aportes!BH48</f>
        <v>0</v>
      </c>
      <c r="BI132" s="84" t="n">
        <f aca="false">Aportes!BI48</f>
        <v>0</v>
      </c>
      <c r="BJ132" s="69" t="n">
        <f aca="false">SUM(B132:BI132)</f>
        <v>200000</v>
      </c>
    </row>
    <row r="133" customFormat="false" ht="15" hidden="false" customHeight="false" outlineLevel="0" collapsed="false">
      <c r="A133" s="12" t="s">
        <v>358</v>
      </c>
      <c r="B133" s="84" t="n">
        <f aca="false">B127+B132</f>
        <v>0</v>
      </c>
      <c r="C133" s="84" t="n">
        <f aca="false">C127+C132</f>
        <v>0</v>
      </c>
      <c r="D133" s="84" t="n">
        <f aca="false">D127+D132</f>
        <v>0</v>
      </c>
      <c r="E133" s="84" t="n">
        <f aca="false">E127+E132</f>
        <v>8500</v>
      </c>
      <c r="F133" s="84" t="n">
        <f aca="false">F127+F132</f>
        <v>-8100</v>
      </c>
      <c r="G133" s="84" t="n">
        <f aca="false">G127+G132</f>
        <v>-2100</v>
      </c>
      <c r="H133" s="84" t="n">
        <f aca="false">H127+H132</f>
        <v>2900</v>
      </c>
      <c r="I133" s="84" t="n">
        <f aca="false">I127+I132</f>
        <v>-227.82</v>
      </c>
      <c r="J133" s="84" t="n">
        <f aca="false">J127+J132</f>
        <v>-9100</v>
      </c>
      <c r="K133" s="84" t="n">
        <f aca="false">K127+K132</f>
        <v>50960.03495</v>
      </c>
      <c r="L133" s="84" t="n">
        <f aca="false">L127+L132</f>
        <v>71589.694425</v>
      </c>
      <c r="M133" s="84" t="n">
        <f aca="false">M127+M132</f>
        <v>79245.444345</v>
      </c>
      <c r="N133" s="84" t="n">
        <f aca="false">N127+N132</f>
        <v>53317.9423681477</v>
      </c>
      <c r="O133" s="84" t="n">
        <f aca="false">O127+O132</f>
        <v>109183.966862466</v>
      </c>
      <c r="P133" s="84" t="n">
        <f aca="false">P127+P132</f>
        <v>135144.850761349</v>
      </c>
      <c r="Q133" s="84" t="n">
        <f aca="false">Q127+Q132</f>
        <v>181891.250831807</v>
      </c>
      <c r="R133" s="84" t="n">
        <f aca="false">R127+R132</f>
        <v>215552.012093154</v>
      </c>
      <c r="S133" s="84" t="n">
        <f aca="false">S127+S132</f>
        <v>253145.41903219</v>
      </c>
      <c r="T133" s="84" t="n">
        <f aca="false">T127+T132</f>
        <v>244489.077919089</v>
      </c>
      <c r="U133" s="84" t="n">
        <f aca="false">U127+U132</f>
        <v>294207.987831614</v>
      </c>
      <c r="V133" s="84" t="n">
        <f aca="false">V127+V132</f>
        <v>328724.438449647</v>
      </c>
      <c r="W133" s="84" t="n">
        <f aca="false">W127+W132</f>
        <v>337690.49322965</v>
      </c>
      <c r="X133" s="84" t="n">
        <f aca="false">X127+X132</f>
        <v>379654.271440758</v>
      </c>
      <c r="Y133" s="84" t="n">
        <f aca="false">Y127+Y132</f>
        <v>418598.867912684</v>
      </c>
      <c r="Z133" s="84" t="n">
        <f aca="false">Z127+Z132</f>
        <v>341183.748738841</v>
      </c>
      <c r="AA133" s="84" t="n">
        <f aca="false">AA127+AA132</f>
        <v>478073.896586735</v>
      </c>
      <c r="AB133" s="84" t="n">
        <f aca="false">AB127+AB132</f>
        <v>565388.123339545</v>
      </c>
      <c r="AC133" s="84" t="n">
        <f aca="false">AC127+AC132</f>
        <v>648287.363045231</v>
      </c>
      <c r="AD133" s="84" t="n">
        <f aca="false">AD127+AD132</f>
        <v>727089.458480727</v>
      </c>
      <c r="AE133" s="84" t="n">
        <f aca="false">AE127+AE132</f>
        <v>786926.610742085</v>
      </c>
      <c r="AF133" s="84" t="n">
        <f aca="false">AF127+AF132</f>
        <v>873056.817800123</v>
      </c>
      <c r="AG133" s="84" t="n">
        <f aca="false">AG127+AG132</f>
        <v>940577.567879035</v>
      </c>
      <c r="AH133" s="84" t="n">
        <f aca="false">AH127+AH132</f>
        <v>1004782.00763485</v>
      </c>
      <c r="AI133" s="84" t="n">
        <f aca="false">AI127+AI132</f>
        <v>1065737.49568981</v>
      </c>
      <c r="AJ133" s="84" t="n">
        <f aca="false">AJ127+AJ132</f>
        <v>1123641.76950267</v>
      </c>
      <c r="AK133" s="84" t="n">
        <f aca="false">AK127+AK132</f>
        <v>1178628.55337859</v>
      </c>
      <c r="AL133" s="84" t="n">
        <f aca="false">AL127+AL132</f>
        <v>1183986.43989197</v>
      </c>
      <c r="AM133" s="84" t="n">
        <f aca="false">AM127+AM132</f>
        <v>1387450.46470765</v>
      </c>
      <c r="AN133" s="84" t="n">
        <f aca="false">AN127+AN132</f>
        <v>1524012.62473119</v>
      </c>
      <c r="AO133" s="84" t="n">
        <f aca="false">AO127+AO132</f>
        <v>1653948.55839105</v>
      </c>
      <c r="AP133" s="84" t="n">
        <f aca="false">AP127+AP132</f>
        <v>1777708.97572349</v>
      </c>
      <c r="AQ133" s="84" t="n">
        <f aca="false">AQ127+AQ132</f>
        <v>1870505.5259633</v>
      </c>
      <c r="AR133" s="84" t="n">
        <f aca="false">AR127+AR132</f>
        <v>2007645.96724496</v>
      </c>
      <c r="AS133" s="84" t="n">
        <f aca="false">AS127+AS132</f>
        <v>2114402.09877313</v>
      </c>
      <c r="AT133" s="84" t="n">
        <f aca="false">AT127+AT132</f>
        <v>2216020.56231447</v>
      </c>
      <c r="AU133" s="84" t="n">
        <f aca="false">AU127+AU132</f>
        <v>2312804.77066733</v>
      </c>
      <c r="AV133" s="84" t="n">
        <f aca="false">AV127+AV132</f>
        <v>2404902.28049265</v>
      </c>
      <c r="AW133" s="84" t="n">
        <f aca="false">AW127+AW132</f>
        <v>2492603.22762203</v>
      </c>
      <c r="AX133" s="84" t="n">
        <f aca="false">AX127+AX132</f>
        <v>2848983.94514189</v>
      </c>
      <c r="AY133" s="84" t="n">
        <f aca="false">AY127+AY132</f>
        <v>3131208.98034196</v>
      </c>
      <c r="AZ133" s="84" t="n">
        <f aca="false">AZ127+AZ132</f>
        <v>3333852.79512199</v>
      </c>
      <c r="BA133" s="84" t="n">
        <f aca="false">BA127+BA132</f>
        <v>3527362.55060238</v>
      </c>
      <c r="BB133" s="84" t="n">
        <f aca="false">BB127+BB132</f>
        <v>3712182.11667686</v>
      </c>
      <c r="BC133" s="84" t="n">
        <f aca="false">BC127+BC132</f>
        <v>3858690.91679082</v>
      </c>
      <c r="BD133" s="84" t="n">
        <f aca="false">BD127+BD132</f>
        <v>4057229.67861479</v>
      </c>
      <c r="BE133" s="84" t="n">
        <f aca="false">BE127+BE132</f>
        <v>4218176.31015552</v>
      </c>
      <c r="BF133" s="84" t="n">
        <f aca="false">BF127+BF132</f>
        <v>4371906.79180733</v>
      </c>
      <c r="BG133" s="84" t="n">
        <f aca="false">BG127+BG132</f>
        <v>4518765.83207802</v>
      </c>
      <c r="BH133" s="84" t="n">
        <f aca="false">BH127+BH132</f>
        <v>4658940.88937699</v>
      </c>
      <c r="BI133" s="84" t="n">
        <f aca="false">BI127+BI132</f>
        <v>4792808.44971357</v>
      </c>
      <c r="BJ133" s="69" t="n">
        <f aca="false">SUM(B133:BI133)</f>
        <v>82854742.0982161</v>
      </c>
    </row>
    <row r="134" customFormat="false" ht="15" hidden="false" customHeight="false" outlineLevel="0" collapsed="false">
      <c r="A134" s="34" t="s">
        <v>273</v>
      </c>
      <c r="B134" s="69" t="n">
        <f aca="false">B133</f>
        <v>0</v>
      </c>
      <c r="C134" s="69" t="n">
        <f aca="false">B134+C133</f>
        <v>0</v>
      </c>
      <c r="D134" s="69" t="n">
        <f aca="false">C134+D133</f>
        <v>0</v>
      </c>
      <c r="E134" s="69" t="n">
        <f aca="false">D134+E133</f>
        <v>8500</v>
      </c>
      <c r="F134" s="69" t="n">
        <f aca="false">E134+F133</f>
        <v>400</v>
      </c>
      <c r="G134" s="69" t="n">
        <f aca="false">F134+G133</f>
        <v>-1700</v>
      </c>
      <c r="H134" s="69" t="n">
        <f aca="false">G134+H133</f>
        <v>1200</v>
      </c>
      <c r="I134" s="69" t="n">
        <f aca="false">H134+I133</f>
        <v>972.18</v>
      </c>
      <c r="J134" s="69" t="n">
        <f aca="false">I134+J133</f>
        <v>-8127.82</v>
      </c>
      <c r="K134" s="69" t="n">
        <f aca="false">J134+K133</f>
        <v>42832.21495</v>
      </c>
      <c r="L134" s="69" t="n">
        <f aca="false">K134+L133</f>
        <v>114421.909375</v>
      </c>
      <c r="M134" s="69" t="n">
        <f aca="false">L134+M133</f>
        <v>193667.35372</v>
      </c>
      <c r="N134" s="69" t="n">
        <f aca="false">M134+N133</f>
        <v>246985.296088148</v>
      </c>
      <c r="O134" s="69" t="n">
        <f aca="false">N134+O133</f>
        <v>356169.262950614</v>
      </c>
      <c r="P134" s="69" t="n">
        <f aca="false">O134+P133</f>
        <v>491314.113711963</v>
      </c>
      <c r="Q134" s="69" t="n">
        <f aca="false">P134+Q133</f>
        <v>673205.36454377</v>
      </c>
      <c r="R134" s="69" t="n">
        <f aca="false">Q134+R133</f>
        <v>888757.376636924</v>
      </c>
      <c r="S134" s="69" t="n">
        <f aca="false">R134+S133</f>
        <v>1141902.79566911</v>
      </c>
      <c r="T134" s="69" t="n">
        <f aca="false">S134+T133</f>
        <v>1386391.8735882</v>
      </c>
      <c r="U134" s="69" t="n">
        <f aca="false">T134+U133</f>
        <v>1680599.86141982</v>
      </c>
      <c r="V134" s="69" t="n">
        <f aca="false">U134+V133</f>
        <v>2009324.29986946</v>
      </c>
      <c r="W134" s="69" t="n">
        <f aca="false">V134+W133</f>
        <v>2347014.79309911</v>
      </c>
      <c r="X134" s="69" t="n">
        <f aca="false">W134+X133</f>
        <v>2726669.06453987</v>
      </c>
      <c r="Y134" s="69" t="n">
        <f aca="false">X134+Y133</f>
        <v>3145267.93245256</v>
      </c>
      <c r="Z134" s="69" t="n">
        <f aca="false">Y134+Z133</f>
        <v>3486451.6811914</v>
      </c>
      <c r="AA134" s="69" t="n">
        <f aca="false">Z134+AA133</f>
        <v>3964525.57777813</v>
      </c>
      <c r="AB134" s="69" t="n">
        <f aca="false">AA134+AB133</f>
        <v>4529913.70111768</v>
      </c>
      <c r="AC134" s="69" t="n">
        <f aca="false">AB134+AC133</f>
        <v>5178201.06416291</v>
      </c>
      <c r="AD134" s="69" t="n">
        <f aca="false">AC134+AD133</f>
        <v>5905290.52264363</v>
      </c>
      <c r="AE134" s="69" t="n">
        <f aca="false">AD134+AE133</f>
        <v>6692217.13338572</v>
      </c>
      <c r="AF134" s="69" t="n">
        <f aca="false">AE134+AF133</f>
        <v>7565273.95118584</v>
      </c>
      <c r="AG134" s="69" t="n">
        <f aca="false">AF134+AG133</f>
        <v>8505851.51906488</v>
      </c>
      <c r="AH134" s="69" t="n">
        <f aca="false">AG134+AH133</f>
        <v>9510633.52669973</v>
      </c>
      <c r="AI134" s="69" t="n">
        <f aca="false">AH134+AI133</f>
        <v>10576371.0223895</v>
      </c>
      <c r="AJ134" s="69" t="n">
        <f aca="false">AI134+AJ133</f>
        <v>11700012.7918922</v>
      </c>
      <c r="AK134" s="69" t="n">
        <f aca="false">AJ134+AK133</f>
        <v>12878641.3452708</v>
      </c>
      <c r="AL134" s="69" t="n">
        <f aca="false">AK134+AL133</f>
        <v>14062627.7851628</v>
      </c>
      <c r="AM134" s="69" t="n">
        <f aca="false">AL134+AM133</f>
        <v>15450078.2498704</v>
      </c>
      <c r="AN134" s="69" t="n">
        <f aca="false">AM134+AN133</f>
        <v>16974090.8746016</v>
      </c>
      <c r="AO134" s="69" t="n">
        <f aca="false">AN134+AO133</f>
        <v>18628039.4329927</v>
      </c>
      <c r="AP134" s="69" t="n">
        <f aca="false">AO134+AP133</f>
        <v>20405748.4087161</v>
      </c>
      <c r="AQ134" s="69" t="n">
        <f aca="false">AP134+AQ133</f>
        <v>22276253.9346794</v>
      </c>
      <c r="AR134" s="69" t="n">
        <f aca="false">AQ134+AR133</f>
        <v>24283899.9019244</v>
      </c>
      <c r="AS134" s="69" t="n">
        <f aca="false">AR134+AS133</f>
        <v>26398302.0006975</v>
      </c>
      <c r="AT134" s="69" t="n">
        <f aca="false">AS134+AT133</f>
        <v>28614322.563012</v>
      </c>
      <c r="AU134" s="69" t="n">
        <f aca="false">AT134+AU133</f>
        <v>30927127.3336793</v>
      </c>
      <c r="AV134" s="69" t="n">
        <f aca="false">AU134+AV133</f>
        <v>33332029.614172</v>
      </c>
      <c r="AW134" s="69" t="n">
        <f aca="false">AV134+AW133</f>
        <v>35824632.841794</v>
      </c>
      <c r="AX134" s="69" t="n">
        <f aca="false">AW134+AX133</f>
        <v>38673616.7869359</v>
      </c>
      <c r="AY134" s="69" t="n">
        <f aca="false">AX134+AY133</f>
        <v>41804825.7672779</v>
      </c>
      <c r="AZ134" s="69" t="n">
        <f aca="false">AY134+AZ133</f>
        <v>45138678.5623999</v>
      </c>
      <c r="BA134" s="69" t="n">
        <f aca="false">AZ134+BA133</f>
        <v>48666041.1130022</v>
      </c>
      <c r="BB134" s="69" t="n">
        <f aca="false">BA134+BB133</f>
        <v>52378223.2296791</v>
      </c>
      <c r="BC134" s="69" t="n">
        <f aca="false">BB134+BC133</f>
        <v>56236914.1464699</v>
      </c>
      <c r="BD134" s="69" t="n">
        <f aca="false">BC134+BD133</f>
        <v>60294143.8250847</v>
      </c>
      <c r="BE134" s="69" t="n">
        <f aca="false">BD134+BE133</f>
        <v>64512320.1352402</v>
      </c>
      <c r="BF134" s="69" t="n">
        <f aca="false">BE134+BF133</f>
        <v>68884226.9270476</v>
      </c>
      <c r="BG134" s="69" t="n">
        <f aca="false">BF134+BG133</f>
        <v>73402992.7591256</v>
      </c>
      <c r="BH134" s="69" t="n">
        <f aca="false">BG134+BH133</f>
        <v>78061933.6485026</v>
      </c>
      <c r="BI134" s="69" t="n">
        <f aca="false">BH134+BI133</f>
        <v>82854742.0982161</v>
      </c>
      <c r="BJ134" s="69" t="n">
        <f aca="false">BI134</f>
        <v>82854742.0982161</v>
      </c>
      <c r="BK134" s="14" t="s">
        <v>344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BK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7" topLeftCell="B28" activePane="bottomRight" state="frozen"/>
      <selection pane="topLeft" activeCell="A1" activeCellId="0" sqref="A1"/>
      <selection pane="topRight" activeCell="B1" activeCellId="0" sqref="B1"/>
      <selection pane="bottomLeft" activeCell="A28" activeCellId="0" sqref="A28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56"/>
    <col collapsed="false" customWidth="true" hidden="false" outlineLevel="0" max="3" min="3" style="0" width="20"/>
    <col collapsed="false" customWidth="true" hidden="false" outlineLevel="0" max="4" min="4" style="0" width="16"/>
    <col collapsed="false" customWidth="true" hidden="false" outlineLevel="0" max="5" min="5" style="0" width="14"/>
    <col collapsed="false" customWidth="true" hidden="false" outlineLevel="0" max="61" min="6" style="0" width="11"/>
    <col collapsed="false" customWidth="true" hidden="false" outlineLevel="0" max="62" min="62" style="0" width="15"/>
    <col collapsed="false" customWidth="true" hidden="false" outlineLevel="0" max="63" min="63" style="0" width="34"/>
  </cols>
  <sheetData>
    <row r="1" customFormat="false" ht="25.5" hidden="false" customHeight="true" outlineLevel="0" collapsed="false">
      <c r="A1" s="1" t="s">
        <v>361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</row>
    <row r="2" customFormat="false" ht="15.75" hidden="false" customHeight="true" outlineLevel="0" collapsed="false">
      <c r="A2" s="3" t="s">
        <v>362</v>
      </c>
    </row>
    <row r="4" customFormat="false" ht="18" hidden="false" customHeight="true" outlineLevel="0" collapsed="false">
      <c r="A4" s="10" t="s">
        <v>363</v>
      </c>
      <c r="B4" s="11"/>
      <c r="C4" s="11"/>
      <c r="D4" s="11"/>
      <c r="E4" s="11"/>
      <c r="F4" s="11"/>
    </row>
    <row r="5" customFormat="false" ht="15" hidden="false" customHeight="false" outlineLevel="0" collapsed="false">
      <c r="A5" s="114" t="s">
        <v>364</v>
      </c>
      <c r="B5" s="114" t="s">
        <v>365</v>
      </c>
      <c r="C5" s="114" t="s">
        <v>366</v>
      </c>
      <c r="D5" s="114" t="s">
        <v>367</v>
      </c>
      <c r="E5" s="114" t="s">
        <v>368</v>
      </c>
    </row>
    <row r="6" customFormat="false" ht="15" hidden="false" customHeight="false" outlineLevel="0" collapsed="false">
      <c r="A6" s="115" t="n">
        <v>46146</v>
      </c>
      <c r="B6" s="116" t="s">
        <v>369</v>
      </c>
      <c r="C6" s="117" t="s">
        <v>370</v>
      </c>
      <c r="D6" s="118" t="n">
        <v>6000</v>
      </c>
      <c r="E6" s="117" t="s">
        <v>371</v>
      </c>
    </row>
    <row r="7" customFormat="false" ht="15" hidden="false" customHeight="false" outlineLevel="0" collapsed="false">
      <c r="A7" s="119" t="n">
        <v>46254</v>
      </c>
      <c r="B7" s="120" t="s">
        <v>372</v>
      </c>
      <c r="C7" s="121" t="s">
        <v>247</v>
      </c>
      <c r="D7" s="122" t="n">
        <v>9127.82</v>
      </c>
      <c r="E7" s="121" t="s">
        <v>373</v>
      </c>
      <c r="F7" s="14" t="s">
        <v>374</v>
      </c>
    </row>
    <row r="8" customFormat="false" ht="15" hidden="false" customHeight="false" outlineLevel="0" collapsed="false">
      <c r="A8" s="115" t="n">
        <v>46265</v>
      </c>
      <c r="B8" s="116" t="s">
        <v>375</v>
      </c>
      <c r="C8" s="117" t="s">
        <v>376</v>
      </c>
      <c r="D8" s="118" t="n">
        <v>7000</v>
      </c>
      <c r="E8" s="117" t="s">
        <v>377</v>
      </c>
      <c r="F8" s="14" t="s">
        <v>378</v>
      </c>
    </row>
    <row r="9" customFormat="false" ht="15" hidden="false" customHeight="false" outlineLevel="0" collapsed="false">
      <c r="A9" s="115" t="n">
        <v>46295</v>
      </c>
      <c r="B9" s="116" t="s">
        <v>379</v>
      </c>
      <c r="C9" s="117" t="s">
        <v>376</v>
      </c>
      <c r="D9" s="118" t="n">
        <v>7000</v>
      </c>
      <c r="E9" s="117" t="s">
        <v>377</v>
      </c>
    </row>
    <row r="10" customFormat="false" ht="15" hidden="false" customHeight="false" outlineLevel="0" collapsed="false">
      <c r="A10" s="115" t="n">
        <v>46326</v>
      </c>
      <c r="B10" s="116" t="s">
        <v>380</v>
      </c>
      <c r="C10" s="117" t="s">
        <v>376</v>
      </c>
      <c r="D10" s="118" t="n">
        <v>7000</v>
      </c>
      <c r="E10" s="117" t="s">
        <v>377</v>
      </c>
    </row>
    <row r="11" customFormat="false" ht="15" hidden="false" customHeight="false" outlineLevel="0" collapsed="false">
      <c r="A11" s="115" t="n">
        <v>46418</v>
      </c>
      <c r="B11" s="116" t="s">
        <v>381</v>
      </c>
      <c r="C11" s="117" t="s">
        <v>376</v>
      </c>
      <c r="D11" s="118" t="n">
        <v>15000</v>
      </c>
      <c r="E11" s="117" t="s">
        <v>371</v>
      </c>
    </row>
    <row r="12" customFormat="false" ht="15" hidden="false" customHeight="false" outlineLevel="0" collapsed="false">
      <c r="A12" s="115" t="n">
        <v>46477</v>
      </c>
      <c r="B12" s="116" t="s">
        <v>382</v>
      </c>
      <c r="C12" s="117" t="s">
        <v>383</v>
      </c>
      <c r="D12" s="118" t="n">
        <v>12000</v>
      </c>
      <c r="E12" s="117" t="s">
        <v>371</v>
      </c>
    </row>
    <row r="13" customFormat="false" ht="15" hidden="false" customHeight="false" outlineLevel="0" collapsed="false">
      <c r="A13" s="115" t="n">
        <v>46568</v>
      </c>
      <c r="B13" s="116" t="s">
        <v>384</v>
      </c>
      <c r="C13" s="117" t="s">
        <v>247</v>
      </c>
      <c r="D13" s="118" t="n">
        <v>6000</v>
      </c>
      <c r="E13" s="117" t="s">
        <v>371</v>
      </c>
    </row>
    <row r="14" customFormat="false" ht="15" hidden="false" customHeight="false" outlineLevel="0" collapsed="false">
      <c r="A14" s="115" t="n">
        <v>46599</v>
      </c>
      <c r="B14" s="116" t="s">
        <v>385</v>
      </c>
      <c r="C14" s="117" t="s">
        <v>383</v>
      </c>
      <c r="D14" s="118" t="n">
        <v>25000</v>
      </c>
      <c r="E14" s="117" t="s">
        <v>371</v>
      </c>
    </row>
    <row r="15" customFormat="false" ht="15" hidden="false" customHeight="false" outlineLevel="0" collapsed="false">
      <c r="A15" s="115" t="n">
        <v>46783</v>
      </c>
      <c r="B15" s="116" t="s">
        <v>386</v>
      </c>
      <c r="C15" s="117" t="s">
        <v>376</v>
      </c>
      <c r="D15" s="118" t="n">
        <v>45000</v>
      </c>
      <c r="E15" s="117" t="s">
        <v>371</v>
      </c>
    </row>
    <row r="16" customFormat="false" ht="15" hidden="false" customHeight="false" outlineLevel="0" collapsed="false">
      <c r="A16" s="115" t="n">
        <v>46934</v>
      </c>
      <c r="B16" s="116" t="s">
        <v>247</v>
      </c>
      <c r="C16" s="117" t="s">
        <v>247</v>
      </c>
      <c r="D16" s="118" t="n">
        <v>15000</v>
      </c>
      <c r="E16" s="117" t="s">
        <v>371</v>
      </c>
    </row>
    <row r="17" customFormat="false" ht="15" hidden="false" customHeight="false" outlineLevel="0" collapsed="false">
      <c r="A17" s="115" t="n">
        <v>47149</v>
      </c>
      <c r="B17" s="116" t="s">
        <v>387</v>
      </c>
      <c r="C17" s="117" t="s">
        <v>376</v>
      </c>
      <c r="D17" s="118" t="n">
        <v>60000</v>
      </c>
      <c r="E17" s="117" t="s">
        <v>371</v>
      </c>
    </row>
    <row r="18" customFormat="false" ht="15" hidden="false" customHeight="false" outlineLevel="0" collapsed="false">
      <c r="A18" s="115" t="n">
        <v>47299</v>
      </c>
      <c r="B18" s="116" t="s">
        <v>247</v>
      </c>
      <c r="C18" s="117" t="s">
        <v>247</v>
      </c>
      <c r="D18" s="118" t="n">
        <v>25000</v>
      </c>
      <c r="E18" s="117" t="s">
        <v>371</v>
      </c>
    </row>
    <row r="19" customFormat="false" ht="15" hidden="false" customHeight="false" outlineLevel="0" collapsed="false">
      <c r="A19" s="115" t="n">
        <v>47514</v>
      </c>
      <c r="B19" s="116" t="s">
        <v>387</v>
      </c>
      <c r="C19" s="117" t="s">
        <v>376</v>
      </c>
      <c r="D19" s="118" t="n">
        <v>70000</v>
      </c>
      <c r="E19" s="117" t="s">
        <v>371</v>
      </c>
    </row>
    <row r="20" customFormat="false" ht="15" hidden="false" customHeight="false" outlineLevel="0" collapsed="false">
      <c r="A20" s="115" t="n">
        <v>47664</v>
      </c>
      <c r="B20" s="116" t="s">
        <v>247</v>
      </c>
      <c r="C20" s="117" t="s">
        <v>247</v>
      </c>
      <c r="D20" s="118" t="n">
        <v>30000</v>
      </c>
      <c r="E20" s="117" t="s">
        <v>371</v>
      </c>
    </row>
    <row r="21" customFormat="false" ht="15" hidden="false" customHeight="false" outlineLevel="0" collapsed="false">
      <c r="C21" s="123" t="s">
        <v>190</v>
      </c>
      <c r="D21" s="124" t="n">
        <f aca="false">SUM(D6:D20)</f>
        <v>339127.82</v>
      </c>
    </row>
    <row r="23" customFormat="false" ht="15" hidden="false" customHeight="false" outlineLevel="0" collapsed="false">
      <c r="A23" s="59" t="s">
        <v>189</v>
      </c>
      <c r="B23" s="60" t="n">
        <v>46023</v>
      </c>
      <c r="C23" s="60" t="n">
        <v>46054</v>
      </c>
      <c r="D23" s="60" t="n">
        <v>46082</v>
      </c>
      <c r="E23" s="60" t="n">
        <v>46113</v>
      </c>
      <c r="F23" s="60" t="n">
        <v>46143</v>
      </c>
      <c r="G23" s="60" t="n">
        <v>46174</v>
      </c>
      <c r="H23" s="60" t="n">
        <v>46204</v>
      </c>
      <c r="I23" s="60" t="n">
        <v>46235</v>
      </c>
      <c r="J23" s="60" t="n">
        <v>46266</v>
      </c>
      <c r="K23" s="60" t="n">
        <v>46296</v>
      </c>
      <c r="L23" s="60" t="n">
        <v>46327</v>
      </c>
      <c r="M23" s="60" t="n">
        <v>46357</v>
      </c>
      <c r="N23" s="60" t="n">
        <v>46388</v>
      </c>
      <c r="O23" s="60" t="n">
        <v>46419</v>
      </c>
      <c r="P23" s="60" t="n">
        <v>46447</v>
      </c>
      <c r="Q23" s="60" t="n">
        <v>46478</v>
      </c>
      <c r="R23" s="60" t="n">
        <v>46508</v>
      </c>
      <c r="S23" s="60" t="n">
        <v>46539</v>
      </c>
      <c r="T23" s="60" t="n">
        <v>46569</v>
      </c>
      <c r="U23" s="60" t="n">
        <v>46600</v>
      </c>
      <c r="V23" s="60" t="n">
        <v>46631</v>
      </c>
      <c r="W23" s="60" t="n">
        <v>46661</v>
      </c>
      <c r="X23" s="60" t="n">
        <v>46692</v>
      </c>
      <c r="Y23" s="60" t="n">
        <v>46722</v>
      </c>
      <c r="Z23" s="60" t="n">
        <v>46753</v>
      </c>
      <c r="AA23" s="60" t="n">
        <v>46784</v>
      </c>
      <c r="AB23" s="60" t="n">
        <v>46813</v>
      </c>
      <c r="AC23" s="60" t="n">
        <v>46844</v>
      </c>
      <c r="AD23" s="60" t="n">
        <v>46874</v>
      </c>
      <c r="AE23" s="60" t="n">
        <v>46905</v>
      </c>
      <c r="AF23" s="60" t="n">
        <v>46935</v>
      </c>
      <c r="AG23" s="60" t="n">
        <v>46966</v>
      </c>
      <c r="AH23" s="60" t="n">
        <v>46997</v>
      </c>
      <c r="AI23" s="60" t="n">
        <v>47027</v>
      </c>
      <c r="AJ23" s="60" t="n">
        <v>47058</v>
      </c>
      <c r="AK23" s="60" t="n">
        <v>47088</v>
      </c>
      <c r="AL23" s="60" t="n">
        <v>47119</v>
      </c>
      <c r="AM23" s="60" t="n">
        <v>47150</v>
      </c>
      <c r="AN23" s="60" t="n">
        <v>47178</v>
      </c>
      <c r="AO23" s="60" t="n">
        <v>47209</v>
      </c>
      <c r="AP23" s="60" t="n">
        <v>47239</v>
      </c>
      <c r="AQ23" s="60" t="n">
        <v>47270</v>
      </c>
      <c r="AR23" s="60" t="n">
        <v>47300</v>
      </c>
      <c r="AS23" s="60" t="n">
        <v>47331</v>
      </c>
      <c r="AT23" s="60" t="n">
        <v>47362</v>
      </c>
      <c r="AU23" s="60" t="n">
        <v>47392</v>
      </c>
      <c r="AV23" s="60" t="n">
        <v>47423</v>
      </c>
      <c r="AW23" s="60" t="n">
        <v>47453</v>
      </c>
      <c r="AX23" s="60" t="n">
        <v>47484</v>
      </c>
      <c r="AY23" s="60" t="n">
        <v>47515</v>
      </c>
      <c r="AZ23" s="60" t="n">
        <v>47543</v>
      </c>
      <c r="BA23" s="60" t="n">
        <v>47574</v>
      </c>
      <c r="BB23" s="60" t="n">
        <v>47604</v>
      </c>
      <c r="BC23" s="60" t="n">
        <v>47635</v>
      </c>
      <c r="BD23" s="60" t="n">
        <v>47665</v>
      </c>
      <c r="BE23" s="60" t="n">
        <v>47696</v>
      </c>
      <c r="BF23" s="60" t="n">
        <v>47727</v>
      </c>
      <c r="BG23" s="60" t="n">
        <v>47757</v>
      </c>
      <c r="BH23" s="60" t="n">
        <v>47788</v>
      </c>
      <c r="BI23" s="60" t="n">
        <v>47818</v>
      </c>
      <c r="BJ23" s="61" t="s">
        <v>190</v>
      </c>
      <c r="BK23" s="61" t="s">
        <v>191</v>
      </c>
    </row>
    <row r="24" customFormat="false" ht="15" hidden="false" customHeight="false" outlineLevel="0" collapsed="false">
      <c r="A24" s="62" t="s">
        <v>192</v>
      </c>
      <c r="B24" s="63" t="n">
        <v>1</v>
      </c>
      <c r="C24" s="63" t="n">
        <v>2</v>
      </c>
      <c r="D24" s="63" t="n">
        <v>3</v>
      </c>
      <c r="E24" s="63" t="n">
        <v>4</v>
      </c>
      <c r="F24" s="63" t="n">
        <v>5</v>
      </c>
      <c r="G24" s="63" t="n">
        <v>6</v>
      </c>
      <c r="H24" s="63" t="n">
        <v>7</v>
      </c>
      <c r="I24" s="63" t="n">
        <v>8</v>
      </c>
      <c r="J24" s="63" t="n">
        <v>9</v>
      </c>
      <c r="K24" s="63" t="n">
        <v>10</v>
      </c>
      <c r="L24" s="63" t="n">
        <v>11</v>
      </c>
      <c r="M24" s="63" t="n">
        <v>12</v>
      </c>
      <c r="N24" s="63" t="n">
        <v>13</v>
      </c>
      <c r="O24" s="63" t="n">
        <v>14</v>
      </c>
      <c r="P24" s="63" t="n">
        <v>15</v>
      </c>
      <c r="Q24" s="63" t="n">
        <v>16</v>
      </c>
      <c r="R24" s="63" t="n">
        <v>17</v>
      </c>
      <c r="S24" s="63" t="n">
        <v>18</v>
      </c>
      <c r="T24" s="63" t="n">
        <v>19</v>
      </c>
      <c r="U24" s="63" t="n">
        <v>20</v>
      </c>
      <c r="V24" s="63" t="n">
        <v>21</v>
      </c>
      <c r="W24" s="63" t="n">
        <v>22</v>
      </c>
      <c r="X24" s="63" t="n">
        <v>23</v>
      </c>
      <c r="Y24" s="63" t="n">
        <v>24</v>
      </c>
      <c r="Z24" s="63" t="n">
        <v>25</v>
      </c>
      <c r="AA24" s="63" t="n">
        <v>26</v>
      </c>
      <c r="AB24" s="63" t="n">
        <v>27</v>
      </c>
      <c r="AC24" s="63" t="n">
        <v>28</v>
      </c>
      <c r="AD24" s="63" t="n">
        <v>29</v>
      </c>
      <c r="AE24" s="63" t="n">
        <v>30</v>
      </c>
      <c r="AF24" s="63" t="n">
        <v>31</v>
      </c>
      <c r="AG24" s="63" t="n">
        <v>32</v>
      </c>
      <c r="AH24" s="63" t="n">
        <v>33</v>
      </c>
      <c r="AI24" s="63" t="n">
        <v>34</v>
      </c>
      <c r="AJ24" s="63" t="n">
        <v>35</v>
      </c>
      <c r="AK24" s="63" t="n">
        <v>36</v>
      </c>
      <c r="AL24" s="63" t="n">
        <v>37</v>
      </c>
      <c r="AM24" s="63" t="n">
        <v>38</v>
      </c>
      <c r="AN24" s="63" t="n">
        <v>39</v>
      </c>
      <c r="AO24" s="63" t="n">
        <v>40</v>
      </c>
      <c r="AP24" s="63" t="n">
        <v>41</v>
      </c>
      <c r="AQ24" s="63" t="n">
        <v>42</v>
      </c>
      <c r="AR24" s="63" t="n">
        <v>43</v>
      </c>
      <c r="AS24" s="63" t="n">
        <v>44</v>
      </c>
      <c r="AT24" s="63" t="n">
        <v>45</v>
      </c>
      <c r="AU24" s="63" t="n">
        <v>46</v>
      </c>
      <c r="AV24" s="63" t="n">
        <v>47</v>
      </c>
      <c r="AW24" s="63" t="n">
        <v>48</v>
      </c>
      <c r="AX24" s="63" t="n">
        <v>49</v>
      </c>
      <c r="AY24" s="63" t="n">
        <v>50</v>
      </c>
      <c r="AZ24" s="63" t="n">
        <v>51</v>
      </c>
      <c r="BA24" s="63" t="n">
        <v>52</v>
      </c>
      <c r="BB24" s="63" t="n">
        <v>53</v>
      </c>
      <c r="BC24" s="63" t="n">
        <v>54</v>
      </c>
      <c r="BD24" s="63" t="n">
        <v>55</v>
      </c>
      <c r="BE24" s="63" t="n">
        <v>56</v>
      </c>
      <c r="BF24" s="63" t="n">
        <v>57</v>
      </c>
      <c r="BG24" s="63" t="n">
        <v>58</v>
      </c>
      <c r="BH24" s="63" t="n">
        <v>59</v>
      </c>
      <c r="BI24" s="63" t="n">
        <v>60</v>
      </c>
    </row>
    <row r="25" customFormat="false" ht="15" hidden="false" customHeight="false" outlineLevel="0" collapsed="false">
      <c r="A25" s="62" t="s">
        <v>193</v>
      </c>
      <c r="B25" s="64" t="n">
        <f aca="false">YEAR(B23)</f>
        <v>2026</v>
      </c>
      <c r="C25" s="64" t="n">
        <f aca="false">YEAR(C23)</f>
        <v>2026</v>
      </c>
      <c r="D25" s="64" t="n">
        <f aca="false">YEAR(D23)</f>
        <v>2026</v>
      </c>
      <c r="E25" s="64" t="n">
        <f aca="false">YEAR(E23)</f>
        <v>2026</v>
      </c>
      <c r="F25" s="64" t="n">
        <f aca="false">YEAR(F23)</f>
        <v>2026</v>
      </c>
      <c r="G25" s="64" t="n">
        <f aca="false">YEAR(G23)</f>
        <v>2026</v>
      </c>
      <c r="H25" s="64" t="n">
        <f aca="false">YEAR(H23)</f>
        <v>2026</v>
      </c>
      <c r="I25" s="64" t="n">
        <f aca="false">YEAR(I23)</f>
        <v>2026</v>
      </c>
      <c r="J25" s="64" t="n">
        <f aca="false">YEAR(J23)</f>
        <v>2026</v>
      </c>
      <c r="K25" s="64" t="n">
        <f aca="false">YEAR(K23)</f>
        <v>2026</v>
      </c>
      <c r="L25" s="64" t="n">
        <f aca="false">YEAR(L23)</f>
        <v>2026</v>
      </c>
      <c r="M25" s="64" t="n">
        <f aca="false">YEAR(M23)</f>
        <v>2026</v>
      </c>
      <c r="N25" s="64" t="n">
        <f aca="false">YEAR(N23)</f>
        <v>2027</v>
      </c>
      <c r="O25" s="64" t="n">
        <f aca="false">YEAR(O23)</f>
        <v>2027</v>
      </c>
      <c r="P25" s="64" t="n">
        <f aca="false">YEAR(P23)</f>
        <v>2027</v>
      </c>
      <c r="Q25" s="64" t="n">
        <f aca="false">YEAR(Q23)</f>
        <v>2027</v>
      </c>
      <c r="R25" s="64" t="n">
        <f aca="false">YEAR(R23)</f>
        <v>2027</v>
      </c>
      <c r="S25" s="64" t="n">
        <f aca="false">YEAR(S23)</f>
        <v>2027</v>
      </c>
      <c r="T25" s="64" t="n">
        <f aca="false">YEAR(T23)</f>
        <v>2027</v>
      </c>
      <c r="U25" s="64" t="n">
        <f aca="false">YEAR(U23)</f>
        <v>2027</v>
      </c>
      <c r="V25" s="64" t="n">
        <f aca="false">YEAR(V23)</f>
        <v>2027</v>
      </c>
      <c r="W25" s="64" t="n">
        <f aca="false">YEAR(W23)</f>
        <v>2027</v>
      </c>
      <c r="X25" s="64" t="n">
        <f aca="false">YEAR(X23)</f>
        <v>2027</v>
      </c>
      <c r="Y25" s="64" t="n">
        <f aca="false">YEAR(Y23)</f>
        <v>2027</v>
      </c>
      <c r="Z25" s="64" t="n">
        <f aca="false">YEAR(Z23)</f>
        <v>2028</v>
      </c>
      <c r="AA25" s="64" t="n">
        <f aca="false">YEAR(AA23)</f>
        <v>2028</v>
      </c>
      <c r="AB25" s="64" t="n">
        <f aca="false">YEAR(AB23)</f>
        <v>2028</v>
      </c>
      <c r="AC25" s="64" t="n">
        <f aca="false">YEAR(AC23)</f>
        <v>2028</v>
      </c>
      <c r="AD25" s="64" t="n">
        <f aca="false">YEAR(AD23)</f>
        <v>2028</v>
      </c>
      <c r="AE25" s="64" t="n">
        <f aca="false">YEAR(AE23)</f>
        <v>2028</v>
      </c>
      <c r="AF25" s="64" t="n">
        <f aca="false">YEAR(AF23)</f>
        <v>2028</v>
      </c>
      <c r="AG25" s="64" t="n">
        <f aca="false">YEAR(AG23)</f>
        <v>2028</v>
      </c>
      <c r="AH25" s="64" t="n">
        <f aca="false">YEAR(AH23)</f>
        <v>2028</v>
      </c>
      <c r="AI25" s="64" t="n">
        <f aca="false">YEAR(AI23)</f>
        <v>2028</v>
      </c>
      <c r="AJ25" s="64" t="n">
        <f aca="false">YEAR(AJ23)</f>
        <v>2028</v>
      </c>
      <c r="AK25" s="64" t="n">
        <f aca="false">YEAR(AK23)</f>
        <v>2028</v>
      </c>
      <c r="AL25" s="64" t="n">
        <f aca="false">YEAR(AL23)</f>
        <v>2029</v>
      </c>
      <c r="AM25" s="64" t="n">
        <f aca="false">YEAR(AM23)</f>
        <v>2029</v>
      </c>
      <c r="AN25" s="64" t="n">
        <f aca="false">YEAR(AN23)</f>
        <v>2029</v>
      </c>
      <c r="AO25" s="64" t="n">
        <f aca="false">YEAR(AO23)</f>
        <v>2029</v>
      </c>
      <c r="AP25" s="64" t="n">
        <f aca="false">YEAR(AP23)</f>
        <v>2029</v>
      </c>
      <c r="AQ25" s="64" t="n">
        <f aca="false">YEAR(AQ23)</f>
        <v>2029</v>
      </c>
      <c r="AR25" s="64" t="n">
        <f aca="false">YEAR(AR23)</f>
        <v>2029</v>
      </c>
      <c r="AS25" s="64" t="n">
        <f aca="false">YEAR(AS23)</f>
        <v>2029</v>
      </c>
      <c r="AT25" s="64" t="n">
        <f aca="false">YEAR(AT23)</f>
        <v>2029</v>
      </c>
      <c r="AU25" s="64" t="n">
        <f aca="false">YEAR(AU23)</f>
        <v>2029</v>
      </c>
      <c r="AV25" s="64" t="n">
        <f aca="false">YEAR(AV23)</f>
        <v>2029</v>
      </c>
      <c r="AW25" s="64" t="n">
        <f aca="false">YEAR(AW23)</f>
        <v>2029</v>
      </c>
      <c r="AX25" s="64" t="n">
        <f aca="false">YEAR(AX23)</f>
        <v>2030</v>
      </c>
      <c r="AY25" s="64" t="n">
        <f aca="false">YEAR(AY23)</f>
        <v>2030</v>
      </c>
      <c r="AZ25" s="64" t="n">
        <f aca="false">YEAR(AZ23)</f>
        <v>2030</v>
      </c>
      <c r="BA25" s="64" t="n">
        <f aca="false">YEAR(BA23)</f>
        <v>2030</v>
      </c>
      <c r="BB25" s="64" t="n">
        <f aca="false">YEAR(BB23)</f>
        <v>2030</v>
      </c>
      <c r="BC25" s="64" t="n">
        <f aca="false">YEAR(BC23)</f>
        <v>2030</v>
      </c>
      <c r="BD25" s="64" t="n">
        <f aca="false">YEAR(BD23)</f>
        <v>2030</v>
      </c>
      <c r="BE25" s="64" t="n">
        <f aca="false">YEAR(BE23)</f>
        <v>2030</v>
      </c>
      <c r="BF25" s="64" t="n">
        <f aca="false">YEAR(BF23)</f>
        <v>2030</v>
      </c>
      <c r="BG25" s="64" t="n">
        <f aca="false">YEAR(BG23)</f>
        <v>2030</v>
      </c>
      <c r="BH25" s="64" t="n">
        <f aca="false">YEAR(BH23)</f>
        <v>2030</v>
      </c>
      <c r="BI25" s="64" t="n">
        <f aca="false">YEAR(BI23)</f>
        <v>2030</v>
      </c>
    </row>
    <row r="27" customFormat="false" ht="18" hidden="false" customHeight="true" outlineLevel="0" collapsed="false">
      <c r="A27" s="10" t="s">
        <v>388</v>
      </c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  <c r="AE27" s="11"/>
      <c r="AF27" s="11"/>
      <c r="AG27" s="11"/>
      <c r="AH27" s="11"/>
      <c r="AI27" s="11"/>
      <c r="AJ27" s="11"/>
      <c r="AK27" s="11"/>
      <c r="AL27" s="11"/>
      <c r="AM27" s="11"/>
      <c r="AN27" s="11"/>
      <c r="AO27" s="11"/>
      <c r="AP27" s="11"/>
      <c r="AQ27" s="11"/>
      <c r="AR27" s="11"/>
      <c r="AS27" s="11"/>
      <c r="AT27" s="11"/>
      <c r="AU27" s="11"/>
      <c r="AV27" s="11"/>
      <c r="AW27" s="11"/>
      <c r="AX27" s="11"/>
      <c r="AY27" s="11"/>
      <c r="AZ27" s="11"/>
      <c r="BA27" s="11"/>
      <c r="BB27" s="11"/>
      <c r="BC27" s="11"/>
      <c r="BD27" s="11"/>
      <c r="BE27" s="11"/>
      <c r="BF27" s="11"/>
      <c r="BG27" s="11"/>
      <c r="BH27" s="11"/>
      <c r="BI27" s="11"/>
      <c r="BJ27" s="11"/>
      <c r="BK27" s="11"/>
    </row>
    <row r="28" customFormat="false" ht="15" hidden="false" customHeight="false" outlineLevel="0" collapsed="false">
      <c r="A28" s="12" t="s">
        <v>376</v>
      </c>
      <c r="B28" s="84" t="n">
        <f aca="false">SUMIFS($D$6:$D$20,$C$6:$C$20,"Desenvolvimento",$A$6:$A$20,"&gt;="&amp;B$23,$A$6:$A$20,"&lt;="&amp;EOMONTH(B$23,0))</f>
        <v>0</v>
      </c>
      <c r="C28" s="84" t="n">
        <f aca="false">SUMIFS($D$6:$D$20,$C$6:$C$20,"Desenvolvimento",$A$6:$A$20,"&gt;="&amp;C$23,$A$6:$A$20,"&lt;="&amp;EOMONTH(C$23,0))</f>
        <v>0</v>
      </c>
      <c r="D28" s="84" t="n">
        <f aca="false">SUMIFS($D$6:$D$20,$C$6:$C$20,"Desenvolvimento",$A$6:$A$20,"&gt;="&amp;D$23,$A$6:$A$20,"&lt;="&amp;EOMONTH(D$23,0))</f>
        <v>0</v>
      </c>
      <c r="E28" s="84" t="n">
        <f aca="false">SUMIFS($D$6:$D$20,$C$6:$C$20,"Desenvolvimento",$A$6:$A$20,"&gt;="&amp;E$23,$A$6:$A$20,"&lt;="&amp;EOMONTH(E$23,0))</f>
        <v>0</v>
      </c>
      <c r="F28" s="84" t="n">
        <f aca="false">SUMIFS($D$6:$D$20,$C$6:$C$20,"Desenvolvimento",$A$6:$A$20,"&gt;="&amp;F$23,$A$6:$A$20,"&lt;="&amp;EOMONTH(F$23,0))</f>
        <v>0</v>
      </c>
      <c r="G28" s="84" t="n">
        <f aca="false">SUMIFS($D$6:$D$20,$C$6:$C$20,"Desenvolvimento",$A$6:$A$20,"&gt;="&amp;G$23,$A$6:$A$20,"&lt;="&amp;EOMONTH(G$23,0))</f>
        <v>0</v>
      </c>
      <c r="H28" s="84" t="n">
        <f aca="false">SUMIFS($D$6:$D$20,$C$6:$C$20,"Desenvolvimento",$A$6:$A$20,"&gt;="&amp;H$23,$A$6:$A$20,"&lt;="&amp;EOMONTH(H$23,0))</f>
        <v>0</v>
      </c>
      <c r="I28" s="84" t="n">
        <f aca="false">SUMIFS($D$6:$D$20,$C$6:$C$20,"Desenvolvimento",$A$6:$A$20,"&gt;="&amp;I$23,$A$6:$A$20,"&lt;="&amp;EOMONTH(I$23,0))</f>
        <v>7000</v>
      </c>
      <c r="J28" s="84" t="n">
        <f aca="false">SUMIFS($D$6:$D$20,$C$6:$C$20,"Desenvolvimento",$A$6:$A$20,"&gt;="&amp;J$23,$A$6:$A$20,"&lt;="&amp;EOMONTH(J$23,0))</f>
        <v>7000</v>
      </c>
      <c r="K28" s="84" t="n">
        <f aca="false">SUMIFS($D$6:$D$20,$C$6:$C$20,"Desenvolvimento",$A$6:$A$20,"&gt;="&amp;K$23,$A$6:$A$20,"&lt;="&amp;EOMONTH(K$23,0))</f>
        <v>7000</v>
      </c>
      <c r="L28" s="84" t="n">
        <f aca="false">SUMIFS($D$6:$D$20,$C$6:$C$20,"Desenvolvimento",$A$6:$A$20,"&gt;="&amp;L$23,$A$6:$A$20,"&lt;="&amp;EOMONTH(L$23,0))</f>
        <v>0</v>
      </c>
      <c r="M28" s="84" t="n">
        <f aca="false">SUMIFS($D$6:$D$20,$C$6:$C$20,"Desenvolvimento",$A$6:$A$20,"&gt;="&amp;M$23,$A$6:$A$20,"&lt;="&amp;EOMONTH(M$23,0))</f>
        <v>0</v>
      </c>
      <c r="N28" s="84" t="n">
        <f aca="false">SUMIFS($D$6:$D$20,$C$6:$C$20,"Desenvolvimento",$A$6:$A$20,"&gt;="&amp;N$23,$A$6:$A$20,"&lt;="&amp;EOMONTH(N$23,0))</f>
        <v>15000</v>
      </c>
      <c r="O28" s="84" t="n">
        <f aca="false">SUMIFS($D$6:$D$20,$C$6:$C$20,"Desenvolvimento",$A$6:$A$20,"&gt;="&amp;O$23,$A$6:$A$20,"&lt;="&amp;EOMONTH(O$23,0))</f>
        <v>0</v>
      </c>
      <c r="P28" s="84" t="n">
        <f aca="false">SUMIFS($D$6:$D$20,$C$6:$C$20,"Desenvolvimento",$A$6:$A$20,"&gt;="&amp;P$23,$A$6:$A$20,"&lt;="&amp;EOMONTH(P$23,0))</f>
        <v>0</v>
      </c>
      <c r="Q28" s="84" t="n">
        <f aca="false">SUMIFS($D$6:$D$20,$C$6:$C$20,"Desenvolvimento",$A$6:$A$20,"&gt;="&amp;Q$23,$A$6:$A$20,"&lt;="&amp;EOMONTH(Q$23,0))</f>
        <v>0</v>
      </c>
      <c r="R28" s="84" t="n">
        <f aca="false">SUMIFS($D$6:$D$20,$C$6:$C$20,"Desenvolvimento",$A$6:$A$20,"&gt;="&amp;R$23,$A$6:$A$20,"&lt;="&amp;EOMONTH(R$23,0))</f>
        <v>0</v>
      </c>
      <c r="S28" s="84" t="n">
        <f aca="false">SUMIFS($D$6:$D$20,$C$6:$C$20,"Desenvolvimento",$A$6:$A$20,"&gt;="&amp;S$23,$A$6:$A$20,"&lt;="&amp;EOMONTH(S$23,0))</f>
        <v>0</v>
      </c>
      <c r="T28" s="84" t="n">
        <f aca="false">SUMIFS($D$6:$D$20,$C$6:$C$20,"Desenvolvimento",$A$6:$A$20,"&gt;="&amp;T$23,$A$6:$A$20,"&lt;="&amp;EOMONTH(T$23,0))</f>
        <v>0</v>
      </c>
      <c r="U28" s="84" t="n">
        <f aca="false">SUMIFS($D$6:$D$20,$C$6:$C$20,"Desenvolvimento",$A$6:$A$20,"&gt;="&amp;U$23,$A$6:$A$20,"&lt;="&amp;EOMONTH(U$23,0))</f>
        <v>0</v>
      </c>
      <c r="V28" s="84" t="n">
        <f aca="false">SUMIFS($D$6:$D$20,$C$6:$C$20,"Desenvolvimento",$A$6:$A$20,"&gt;="&amp;V$23,$A$6:$A$20,"&lt;="&amp;EOMONTH(V$23,0))</f>
        <v>0</v>
      </c>
      <c r="W28" s="84" t="n">
        <f aca="false">SUMIFS($D$6:$D$20,$C$6:$C$20,"Desenvolvimento",$A$6:$A$20,"&gt;="&amp;W$23,$A$6:$A$20,"&lt;="&amp;EOMONTH(W$23,0))</f>
        <v>0</v>
      </c>
      <c r="X28" s="84" t="n">
        <f aca="false">SUMIFS($D$6:$D$20,$C$6:$C$20,"Desenvolvimento",$A$6:$A$20,"&gt;="&amp;X$23,$A$6:$A$20,"&lt;="&amp;EOMONTH(X$23,0))</f>
        <v>0</v>
      </c>
      <c r="Y28" s="84" t="n">
        <f aca="false">SUMIFS($D$6:$D$20,$C$6:$C$20,"Desenvolvimento",$A$6:$A$20,"&gt;="&amp;Y$23,$A$6:$A$20,"&lt;="&amp;EOMONTH(Y$23,0))</f>
        <v>0</v>
      </c>
      <c r="Z28" s="84" t="n">
        <f aca="false">SUMIFS($D$6:$D$20,$C$6:$C$20,"Desenvolvimento",$A$6:$A$20,"&gt;="&amp;Z$23,$A$6:$A$20,"&lt;="&amp;EOMONTH(Z$23,0))</f>
        <v>45000</v>
      </c>
      <c r="AA28" s="84" t="n">
        <f aca="false">SUMIFS($D$6:$D$20,$C$6:$C$20,"Desenvolvimento",$A$6:$A$20,"&gt;="&amp;AA$23,$A$6:$A$20,"&lt;="&amp;EOMONTH(AA$23,0))</f>
        <v>0</v>
      </c>
      <c r="AB28" s="84" t="n">
        <f aca="false">SUMIFS($D$6:$D$20,$C$6:$C$20,"Desenvolvimento",$A$6:$A$20,"&gt;="&amp;AB$23,$A$6:$A$20,"&lt;="&amp;EOMONTH(AB$23,0))</f>
        <v>0</v>
      </c>
      <c r="AC28" s="84" t="n">
        <f aca="false">SUMIFS($D$6:$D$20,$C$6:$C$20,"Desenvolvimento",$A$6:$A$20,"&gt;="&amp;AC$23,$A$6:$A$20,"&lt;="&amp;EOMONTH(AC$23,0))</f>
        <v>0</v>
      </c>
      <c r="AD28" s="84" t="n">
        <f aca="false">SUMIFS($D$6:$D$20,$C$6:$C$20,"Desenvolvimento",$A$6:$A$20,"&gt;="&amp;AD$23,$A$6:$A$20,"&lt;="&amp;EOMONTH(AD$23,0))</f>
        <v>0</v>
      </c>
      <c r="AE28" s="84" t="n">
        <f aca="false">SUMIFS($D$6:$D$20,$C$6:$C$20,"Desenvolvimento",$A$6:$A$20,"&gt;="&amp;AE$23,$A$6:$A$20,"&lt;="&amp;EOMONTH(AE$23,0))</f>
        <v>0</v>
      </c>
      <c r="AF28" s="84" t="n">
        <f aca="false">SUMIFS($D$6:$D$20,$C$6:$C$20,"Desenvolvimento",$A$6:$A$20,"&gt;="&amp;AF$23,$A$6:$A$20,"&lt;="&amp;EOMONTH(AF$23,0))</f>
        <v>0</v>
      </c>
      <c r="AG28" s="84" t="n">
        <f aca="false">SUMIFS($D$6:$D$20,$C$6:$C$20,"Desenvolvimento",$A$6:$A$20,"&gt;="&amp;AG$23,$A$6:$A$20,"&lt;="&amp;EOMONTH(AG$23,0))</f>
        <v>0</v>
      </c>
      <c r="AH28" s="84" t="n">
        <f aca="false">SUMIFS($D$6:$D$20,$C$6:$C$20,"Desenvolvimento",$A$6:$A$20,"&gt;="&amp;AH$23,$A$6:$A$20,"&lt;="&amp;EOMONTH(AH$23,0))</f>
        <v>0</v>
      </c>
      <c r="AI28" s="84" t="n">
        <f aca="false">SUMIFS($D$6:$D$20,$C$6:$C$20,"Desenvolvimento",$A$6:$A$20,"&gt;="&amp;AI$23,$A$6:$A$20,"&lt;="&amp;EOMONTH(AI$23,0))</f>
        <v>0</v>
      </c>
      <c r="AJ28" s="84" t="n">
        <f aca="false">SUMIFS($D$6:$D$20,$C$6:$C$20,"Desenvolvimento",$A$6:$A$20,"&gt;="&amp;AJ$23,$A$6:$A$20,"&lt;="&amp;EOMONTH(AJ$23,0))</f>
        <v>0</v>
      </c>
      <c r="AK28" s="84" t="n">
        <f aca="false">SUMIFS($D$6:$D$20,$C$6:$C$20,"Desenvolvimento",$A$6:$A$20,"&gt;="&amp;AK$23,$A$6:$A$20,"&lt;="&amp;EOMONTH(AK$23,0))</f>
        <v>0</v>
      </c>
      <c r="AL28" s="84" t="n">
        <f aca="false">SUMIFS($D$6:$D$20,$C$6:$C$20,"Desenvolvimento",$A$6:$A$20,"&gt;="&amp;AL$23,$A$6:$A$20,"&lt;="&amp;EOMONTH(AL$23,0))</f>
        <v>60000</v>
      </c>
      <c r="AM28" s="84" t="n">
        <f aca="false">SUMIFS($D$6:$D$20,$C$6:$C$20,"Desenvolvimento",$A$6:$A$20,"&gt;="&amp;AM$23,$A$6:$A$20,"&lt;="&amp;EOMONTH(AM$23,0))</f>
        <v>0</v>
      </c>
      <c r="AN28" s="84" t="n">
        <f aca="false">SUMIFS($D$6:$D$20,$C$6:$C$20,"Desenvolvimento",$A$6:$A$20,"&gt;="&amp;AN$23,$A$6:$A$20,"&lt;="&amp;EOMONTH(AN$23,0))</f>
        <v>0</v>
      </c>
      <c r="AO28" s="84" t="n">
        <f aca="false">SUMIFS($D$6:$D$20,$C$6:$C$20,"Desenvolvimento",$A$6:$A$20,"&gt;="&amp;AO$23,$A$6:$A$20,"&lt;="&amp;EOMONTH(AO$23,0))</f>
        <v>0</v>
      </c>
      <c r="AP28" s="84" t="n">
        <f aca="false">SUMIFS($D$6:$D$20,$C$6:$C$20,"Desenvolvimento",$A$6:$A$20,"&gt;="&amp;AP$23,$A$6:$A$20,"&lt;="&amp;EOMONTH(AP$23,0))</f>
        <v>0</v>
      </c>
      <c r="AQ28" s="84" t="n">
        <f aca="false">SUMIFS($D$6:$D$20,$C$6:$C$20,"Desenvolvimento",$A$6:$A$20,"&gt;="&amp;AQ$23,$A$6:$A$20,"&lt;="&amp;EOMONTH(AQ$23,0))</f>
        <v>0</v>
      </c>
      <c r="AR28" s="84" t="n">
        <f aca="false">SUMIFS($D$6:$D$20,$C$6:$C$20,"Desenvolvimento",$A$6:$A$20,"&gt;="&amp;AR$23,$A$6:$A$20,"&lt;="&amp;EOMONTH(AR$23,0))</f>
        <v>0</v>
      </c>
      <c r="AS28" s="84" t="n">
        <f aca="false">SUMIFS($D$6:$D$20,$C$6:$C$20,"Desenvolvimento",$A$6:$A$20,"&gt;="&amp;AS$23,$A$6:$A$20,"&lt;="&amp;EOMONTH(AS$23,0))</f>
        <v>0</v>
      </c>
      <c r="AT28" s="84" t="n">
        <f aca="false">SUMIFS($D$6:$D$20,$C$6:$C$20,"Desenvolvimento",$A$6:$A$20,"&gt;="&amp;AT$23,$A$6:$A$20,"&lt;="&amp;EOMONTH(AT$23,0))</f>
        <v>0</v>
      </c>
      <c r="AU28" s="84" t="n">
        <f aca="false">SUMIFS($D$6:$D$20,$C$6:$C$20,"Desenvolvimento",$A$6:$A$20,"&gt;="&amp;AU$23,$A$6:$A$20,"&lt;="&amp;EOMONTH(AU$23,0))</f>
        <v>0</v>
      </c>
      <c r="AV28" s="84" t="n">
        <f aca="false">SUMIFS($D$6:$D$20,$C$6:$C$20,"Desenvolvimento",$A$6:$A$20,"&gt;="&amp;AV$23,$A$6:$A$20,"&lt;="&amp;EOMONTH(AV$23,0))</f>
        <v>0</v>
      </c>
      <c r="AW28" s="84" t="n">
        <f aca="false">SUMIFS($D$6:$D$20,$C$6:$C$20,"Desenvolvimento",$A$6:$A$20,"&gt;="&amp;AW$23,$A$6:$A$20,"&lt;="&amp;EOMONTH(AW$23,0))</f>
        <v>0</v>
      </c>
      <c r="AX28" s="84" t="n">
        <f aca="false">SUMIFS($D$6:$D$20,$C$6:$C$20,"Desenvolvimento",$A$6:$A$20,"&gt;="&amp;AX$23,$A$6:$A$20,"&lt;="&amp;EOMONTH(AX$23,0))</f>
        <v>70000</v>
      </c>
      <c r="AY28" s="84" t="n">
        <f aca="false">SUMIFS($D$6:$D$20,$C$6:$C$20,"Desenvolvimento",$A$6:$A$20,"&gt;="&amp;AY$23,$A$6:$A$20,"&lt;="&amp;EOMONTH(AY$23,0))</f>
        <v>0</v>
      </c>
      <c r="AZ28" s="84" t="n">
        <f aca="false">SUMIFS($D$6:$D$20,$C$6:$C$20,"Desenvolvimento",$A$6:$A$20,"&gt;="&amp;AZ$23,$A$6:$A$20,"&lt;="&amp;EOMONTH(AZ$23,0))</f>
        <v>0</v>
      </c>
      <c r="BA28" s="84" t="n">
        <f aca="false">SUMIFS($D$6:$D$20,$C$6:$C$20,"Desenvolvimento",$A$6:$A$20,"&gt;="&amp;BA$23,$A$6:$A$20,"&lt;="&amp;EOMONTH(BA$23,0))</f>
        <v>0</v>
      </c>
      <c r="BB28" s="84" t="n">
        <f aca="false">SUMIFS($D$6:$D$20,$C$6:$C$20,"Desenvolvimento",$A$6:$A$20,"&gt;="&amp;BB$23,$A$6:$A$20,"&lt;="&amp;EOMONTH(BB$23,0))</f>
        <v>0</v>
      </c>
      <c r="BC28" s="84" t="n">
        <f aca="false">SUMIFS($D$6:$D$20,$C$6:$C$20,"Desenvolvimento",$A$6:$A$20,"&gt;="&amp;BC$23,$A$6:$A$20,"&lt;="&amp;EOMONTH(BC$23,0))</f>
        <v>0</v>
      </c>
      <c r="BD28" s="84" t="n">
        <f aca="false">SUMIFS($D$6:$D$20,$C$6:$C$20,"Desenvolvimento",$A$6:$A$20,"&gt;="&amp;BD$23,$A$6:$A$20,"&lt;="&amp;EOMONTH(BD$23,0))</f>
        <v>0</v>
      </c>
      <c r="BE28" s="84" t="n">
        <f aca="false">SUMIFS($D$6:$D$20,$C$6:$C$20,"Desenvolvimento",$A$6:$A$20,"&gt;="&amp;BE$23,$A$6:$A$20,"&lt;="&amp;EOMONTH(BE$23,0))</f>
        <v>0</v>
      </c>
      <c r="BF28" s="84" t="n">
        <f aca="false">SUMIFS($D$6:$D$20,$C$6:$C$20,"Desenvolvimento",$A$6:$A$20,"&gt;="&amp;BF$23,$A$6:$A$20,"&lt;="&amp;EOMONTH(BF$23,0))</f>
        <v>0</v>
      </c>
      <c r="BG28" s="84" t="n">
        <f aca="false">SUMIFS($D$6:$D$20,$C$6:$C$20,"Desenvolvimento",$A$6:$A$20,"&gt;="&amp;BG$23,$A$6:$A$20,"&lt;="&amp;EOMONTH(BG$23,0))</f>
        <v>0</v>
      </c>
      <c r="BH28" s="84" t="n">
        <f aca="false">SUMIFS($D$6:$D$20,$C$6:$C$20,"Desenvolvimento",$A$6:$A$20,"&gt;="&amp;BH$23,$A$6:$A$20,"&lt;="&amp;EOMONTH(BH$23,0))</f>
        <v>0</v>
      </c>
      <c r="BI28" s="84" t="n">
        <f aca="false">SUMIFS($D$6:$D$20,$C$6:$C$20,"Desenvolvimento",$A$6:$A$20,"&gt;="&amp;BI$23,$A$6:$A$20,"&lt;="&amp;EOMONTH(BI$23,0))</f>
        <v>0</v>
      </c>
      <c r="BJ28" s="69" t="n">
        <f aca="false">SUM(B28:BI28)</f>
        <v>211000</v>
      </c>
      <c r="BK28" s="70" t="n">
        <f aca="false">IFERROR(BJ28/BJ$32,0)</f>
        <v>0.622184284379854</v>
      </c>
    </row>
    <row r="29" customFormat="false" ht="15" hidden="false" customHeight="false" outlineLevel="0" collapsed="false">
      <c r="A29" s="12" t="s">
        <v>247</v>
      </c>
      <c r="B29" s="84" t="n">
        <f aca="false">SUMIFS($D$6:$D$20,$C$6:$C$20,"Equipamentos",$A$6:$A$20,"&gt;="&amp;B$23,$A$6:$A$20,"&lt;="&amp;EOMONTH(B$23,0))</f>
        <v>0</v>
      </c>
      <c r="C29" s="84" t="n">
        <f aca="false">SUMIFS($D$6:$D$20,$C$6:$C$20,"Equipamentos",$A$6:$A$20,"&gt;="&amp;C$23,$A$6:$A$20,"&lt;="&amp;EOMONTH(C$23,0))</f>
        <v>0</v>
      </c>
      <c r="D29" s="84" t="n">
        <f aca="false">SUMIFS($D$6:$D$20,$C$6:$C$20,"Equipamentos",$A$6:$A$20,"&gt;="&amp;D$23,$A$6:$A$20,"&lt;="&amp;EOMONTH(D$23,0))</f>
        <v>0</v>
      </c>
      <c r="E29" s="84" t="n">
        <f aca="false">SUMIFS($D$6:$D$20,$C$6:$C$20,"Equipamentos",$A$6:$A$20,"&gt;="&amp;E$23,$A$6:$A$20,"&lt;="&amp;EOMONTH(E$23,0))</f>
        <v>0</v>
      </c>
      <c r="F29" s="84" t="n">
        <f aca="false">SUMIFS($D$6:$D$20,$C$6:$C$20,"Equipamentos",$A$6:$A$20,"&gt;="&amp;F$23,$A$6:$A$20,"&lt;="&amp;EOMONTH(F$23,0))</f>
        <v>0</v>
      </c>
      <c r="G29" s="84" t="n">
        <f aca="false">SUMIFS($D$6:$D$20,$C$6:$C$20,"Equipamentos",$A$6:$A$20,"&gt;="&amp;G$23,$A$6:$A$20,"&lt;="&amp;EOMONTH(G$23,0))</f>
        <v>0</v>
      </c>
      <c r="H29" s="84" t="n">
        <f aca="false">SUMIFS($D$6:$D$20,$C$6:$C$20,"Equipamentos",$A$6:$A$20,"&gt;="&amp;H$23,$A$6:$A$20,"&lt;="&amp;EOMONTH(H$23,0))</f>
        <v>0</v>
      </c>
      <c r="I29" s="84" t="n">
        <f aca="false">SUMIFS($D$6:$D$20,$C$6:$C$20,"Equipamentos",$A$6:$A$20,"&gt;="&amp;I$23,$A$6:$A$20,"&lt;="&amp;EOMONTH(I$23,0))</f>
        <v>9127.82</v>
      </c>
      <c r="J29" s="84" t="n">
        <f aca="false">SUMIFS($D$6:$D$20,$C$6:$C$20,"Equipamentos",$A$6:$A$20,"&gt;="&amp;J$23,$A$6:$A$20,"&lt;="&amp;EOMONTH(J$23,0))</f>
        <v>0</v>
      </c>
      <c r="K29" s="84" t="n">
        <f aca="false">SUMIFS($D$6:$D$20,$C$6:$C$20,"Equipamentos",$A$6:$A$20,"&gt;="&amp;K$23,$A$6:$A$20,"&lt;="&amp;EOMONTH(K$23,0))</f>
        <v>0</v>
      </c>
      <c r="L29" s="84" t="n">
        <f aca="false">SUMIFS($D$6:$D$20,$C$6:$C$20,"Equipamentos",$A$6:$A$20,"&gt;="&amp;L$23,$A$6:$A$20,"&lt;="&amp;EOMONTH(L$23,0))</f>
        <v>0</v>
      </c>
      <c r="M29" s="84" t="n">
        <f aca="false">SUMIFS($D$6:$D$20,$C$6:$C$20,"Equipamentos",$A$6:$A$20,"&gt;="&amp;M$23,$A$6:$A$20,"&lt;="&amp;EOMONTH(M$23,0))</f>
        <v>0</v>
      </c>
      <c r="N29" s="84" t="n">
        <f aca="false">SUMIFS($D$6:$D$20,$C$6:$C$20,"Equipamentos",$A$6:$A$20,"&gt;="&amp;N$23,$A$6:$A$20,"&lt;="&amp;EOMONTH(N$23,0))</f>
        <v>0</v>
      </c>
      <c r="O29" s="84" t="n">
        <f aca="false">SUMIFS($D$6:$D$20,$C$6:$C$20,"Equipamentos",$A$6:$A$20,"&gt;="&amp;O$23,$A$6:$A$20,"&lt;="&amp;EOMONTH(O$23,0))</f>
        <v>0</v>
      </c>
      <c r="P29" s="84" t="n">
        <f aca="false">SUMIFS($D$6:$D$20,$C$6:$C$20,"Equipamentos",$A$6:$A$20,"&gt;="&amp;P$23,$A$6:$A$20,"&lt;="&amp;EOMONTH(P$23,0))</f>
        <v>0</v>
      </c>
      <c r="Q29" s="84" t="n">
        <f aca="false">SUMIFS($D$6:$D$20,$C$6:$C$20,"Equipamentos",$A$6:$A$20,"&gt;="&amp;Q$23,$A$6:$A$20,"&lt;="&amp;EOMONTH(Q$23,0))</f>
        <v>0</v>
      </c>
      <c r="R29" s="84" t="n">
        <f aca="false">SUMIFS($D$6:$D$20,$C$6:$C$20,"Equipamentos",$A$6:$A$20,"&gt;="&amp;R$23,$A$6:$A$20,"&lt;="&amp;EOMONTH(R$23,0))</f>
        <v>0</v>
      </c>
      <c r="S29" s="84" t="n">
        <f aca="false">SUMIFS($D$6:$D$20,$C$6:$C$20,"Equipamentos",$A$6:$A$20,"&gt;="&amp;S$23,$A$6:$A$20,"&lt;="&amp;EOMONTH(S$23,0))</f>
        <v>6000</v>
      </c>
      <c r="T29" s="84" t="n">
        <f aca="false">SUMIFS($D$6:$D$20,$C$6:$C$20,"Equipamentos",$A$6:$A$20,"&gt;="&amp;T$23,$A$6:$A$20,"&lt;="&amp;EOMONTH(T$23,0))</f>
        <v>0</v>
      </c>
      <c r="U29" s="84" t="n">
        <f aca="false">SUMIFS($D$6:$D$20,$C$6:$C$20,"Equipamentos",$A$6:$A$20,"&gt;="&amp;U$23,$A$6:$A$20,"&lt;="&amp;EOMONTH(U$23,0))</f>
        <v>0</v>
      </c>
      <c r="V29" s="84" t="n">
        <f aca="false">SUMIFS($D$6:$D$20,$C$6:$C$20,"Equipamentos",$A$6:$A$20,"&gt;="&amp;V$23,$A$6:$A$20,"&lt;="&amp;EOMONTH(V$23,0))</f>
        <v>0</v>
      </c>
      <c r="W29" s="84" t="n">
        <f aca="false">SUMIFS($D$6:$D$20,$C$6:$C$20,"Equipamentos",$A$6:$A$20,"&gt;="&amp;W$23,$A$6:$A$20,"&lt;="&amp;EOMONTH(W$23,0))</f>
        <v>0</v>
      </c>
      <c r="X29" s="84" t="n">
        <f aca="false">SUMIFS($D$6:$D$20,$C$6:$C$20,"Equipamentos",$A$6:$A$20,"&gt;="&amp;X$23,$A$6:$A$20,"&lt;="&amp;EOMONTH(X$23,0))</f>
        <v>0</v>
      </c>
      <c r="Y29" s="84" t="n">
        <f aca="false">SUMIFS($D$6:$D$20,$C$6:$C$20,"Equipamentos",$A$6:$A$20,"&gt;="&amp;Y$23,$A$6:$A$20,"&lt;="&amp;EOMONTH(Y$23,0))</f>
        <v>0</v>
      </c>
      <c r="Z29" s="84" t="n">
        <f aca="false">SUMIFS($D$6:$D$20,$C$6:$C$20,"Equipamentos",$A$6:$A$20,"&gt;="&amp;Z$23,$A$6:$A$20,"&lt;="&amp;EOMONTH(Z$23,0))</f>
        <v>0</v>
      </c>
      <c r="AA29" s="84" t="n">
        <f aca="false">SUMIFS($D$6:$D$20,$C$6:$C$20,"Equipamentos",$A$6:$A$20,"&gt;="&amp;AA$23,$A$6:$A$20,"&lt;="&amp;EOMONTH(AA$23,0))</f>
        <v>0</v>
      </c>
      <c r="AB29" s="84" t="n">
        <f aca="false">SUMIFS($D$6:$D$20,$C$6:$C$20,"Equipamentos",$A$6:$A$20,"&gt;="&amp;AB$23,$A$6:$A$20,"&lt;="&amp;EOMONTH(AB$23,0))</f>
        <v>0</v>
      </c>
      <c r="AC29" s="84" t="n">
        <f aca="false">SUMIFS($D$6:$D$20,$C$6:$C$20,"Equipamentos",$A$6:$A$20,"&gt;="&amp;AC$23,$A$6:$A$20,"&lt;="&amp;EOMONTH(AC$23,0))</f>
        <v>0</v>
      </c>
      <c r="AD29" s="84" t="n">
        <f aca="false">SUMIFS($D$6:$D$20,$C$6:$C$20,"Equipamentos",$A$6:$A$20,"&gt;="&amp;AD$23,$A$6:$A$20,"&lt;="&amp;EOMONTH(AD$23,0))</f>
        <v>0</v>
      </c>
      <c r="AE29" s="84" t="n">
        <f aca="false">SUMIFS($D$6:$D$20,$C$6:$C$20,"Equipamentos",$A$6:$A$20,"&gt;="&amp;AE$23,$A$6:$A$20,"&lt;="&amp;EOMONTH(AE$23,0))</f>
        <v>15000</v>
      </c>
      <c r="AF29" s="84" t="n">
        <f aca="false">SUMIFS($D$6:$D$20,$C$6:$C$20,"Equipamentos",$A$6:$A$20,"&gt;="&amp;AF$23,$A$6:$A$20,"&lt;="&amp;EOMONTH(AF$23,0))</f>
        <v>0</v>
      </c>
      <c r="AG29" s="84" t="n">
        <f aca="false">SUMIFS($D$6:$D$20,$C$6:$C$20,"Equipamentos",$A$6:$A$20,"&gt;="&amp;AG$23,$A$6:$A$20,"&lt;="&amp;EOMONTH(AG$23,0))</f>
        <v>0</v>
      </c>
      <c r="AH29" s="84" t="n">
        <f aca="false">SUMIFS($D$6:$D$20,$C$6:$C$20,"Equipamentos",$A$6:$A$20,"&gt;="&amp;AH$23,$A$6:$A$20,"&lt;="&amp;EOMONTH(AH$23,0))</f>
        <v>0</v>
      </c>
      <c r="AI29" s="84" t="n">
        <f aca="false">SUMIFS($D$6:$D$20,$C$6:$C$20,"Equipamentos",$A$6:$A$20,"&gt;="&amp;AI$23,$A$6:$A$20,"&lt;="&amp;EOMONTH(AI$23,0))</f>
        <v>0</v>
      </c>
      <c r="AJ29" s="84" t="n">
        <f aca="false">SUMIFS($D$6:$D$20,$C$6:$C$20,"Equipamentos",$A$6:$A$20,"&gt;="&amp;AJ$23,$A$6:$A$20,"&lt;="&amp;EOMONTH(AJ$23,0))</f>
        <v>0</v>
      </c>
      <c r="AK29" s="84" t="n">
        <f aca="false">SUMIFS($D$6:$D$20,$C$6:$C$20,"Equipamentos",$A$6:$A$20,"&gt;="&amp;AK$23,$A$6:$A$20,"&lt;="&amp;EOMONTH(AK$23,0))</f>
        <v>0</v>
      </c>
      <c r="AL29" s="84" t="n">
        <f aca="false">SUMIFS($D$6:$D$20,$C$6:$C$20,"Equipamentos",$A$6:$A$20,"&gt;="&amp;AL$23,$A$6:$A$20,"&lt;="&amp;EOMONTH(AL$23,0))</f>
        <v>0</v>
      </c>
      <c r="AM29" s="84" t="n">
        <f aca="false">SUMIFS($D$6:$D$20,$C$6:$C$20,"Equipamentos",$A$6:$A$20,"&gt;="&amp;AM$23,$A$6:$A$20,"&lt;="&amp;EOMONTH(AM$23,0))</f>
        <v>0</v>
      </c>
      <c r="AN29" s="84" t="n">
        <f aca="false">SUMIFS($D$6:$D$20,$C$6:$C$20,"Equipamentos",$A$6:$A$20,"&gt;="&amp;AN$23,$A$6:$A$20,"&lt;="&amp;EOMONTH(AN$23,0))</f>
        <v>0</v>
      </c>
      <c r="AO29" s="84" t="n">
        <f aca="false">SUMIFS($D$6:$D$20,$C$6:$C$20,"Equipamentos",$A$6:$A$20,"&gt;="&amp;AO$23,$A$6:$A$20,"&lt;="&amp;EOMONTH(AO$23,0))</f>
        <v>0</v>
      </c>
      <c r="AP29" s="84" t="n">
        <f aca="false">SUMIFS($D$6:$D$20,$C$6:$C$20,"Equipamentos",$A$6:$A$20,"&gt;="&amp;AP$23,$A$6:$A$20,"&lt;="&amp;EOMONTH(AP$23,0))</f>
        <v>0</v>
      </c>
      <c r="AQ29" s="84" t="n">
        <f aca="false">SUMIFS($D$6:$D$20,$C$6:$C$20,"Equipamentos",$A$6:$A$20,"&gt;="&amp;AQ$23,$A$6:$A$20,"&lt;="&amp;EOMONTH(AQ$23,0))</f>
        <v>25000</v>
      </c>
      <c r="AR29" s="84" t="n">
        <f aca="false">SUMIFS($D$6:$D$20,$C$6:$C$20,"Equipamentos",$A$6:$A$20,"&gt;="&amp;AR$23,$A$6:$A$20,"&lt;="&amp;EOMONTH(AR$23,0))</f>
        <v>0</v>
      </c>
      <c r="AS29" s="84" t="n">
        <f aca="false">SUMIFS($D$6:$D$20,$C$6:$C$20,"Equipamentos",$A$6:$A$20,"&gt;="&amp;AS$23,$A$6:$A$20,"&lt;="&amp;EOMONTH(AS$23,0))</f>
        <v>0</v>
      </c>
      <c r="AT29" s="84" t="n">
        <f aca="false">SUMIFS($D$6:$D$20,$C$6:$C$20,"Equipamentos",$A$6:$A$20,"&gt;="&amp;AT$23,$A$6:$A$20,"&lt;="&amp;EOMONTH(AT$23,0))</f>
        <v>0</v>
      </c>
      <c r="AU29" s="84" t="n">
        <f aca="false">SUMIFS($D$6:$D$20,$C$6:$C$20,"Equipamentos",$A$6:$A$20,"&gt;="&amp;AU$23,$A$6:$A$20,"&lt;="&amp;EOMONTH(AU$23,0))</f>
        <v>0</v>
      </c>
      <c r="AV29" s="84" t="n">
        <f aca="false">SUMIFS($D$6:$D$20,$C$6:$C$20,"Equipamentos",$A$6:$A$20,"&gt;="&amp;AV$23,$A$6:$A$20,"&lt;="&amp;EOMONTH(AV$23,0))</f>
        <v>0</v>
      </c>
      <c r="AW29" s="84" t="n">
        <f aca="false">SUMIFS($D$6:$D$20,$C$6:$C$20,"Equipamentos",$A$6:$A$20,"&gt;="&amp;AW$23,$A$6:$A$20,"&lt;="&amp;EOMONTH(AW$23,0))</f>
        <v>0</v>
      </c>
      <c r="AX29" s="84" t="n">
        <f aca="false">SUMIFS($D$6:$D$20,$C$6:$C$20,"Equipamentos",$A$6:$A$20,"&gt;="&amp;AX$23,$A$6:$A$20,"&lt;="&amp;EOMONTH(AX$23,0))</f>
        <v>0</v>
      </c>
      <c r="AY29" s="84" t="n">
        <f aca="false">SUMIFS($D$6:$D$20,$C$6:$C$20,"Equipamentos",$A$6:$A$20,"&gt;="&amp;AY$23,$A$6:$A$20,"&lt;="&amp;EOMONTH(AY$23,0))</f>
        <v>0</v>
      </c>
      <c r="AZ29" s="84" t="n">
        <f aca="false">SUMIFS($D$6:$D$20,$C$6:$C$20,"Equipamentos",$A$6:$A$20,"&gt;="&amp;AZ$23,$A$6:$A$20,"&lt;="&amp;EOMONTH(AZ$23,0))</f>
        <v>0</v>
      </c>
      <c r="BA29" s="84" t="n">
        <f aca="false">SUMIFS($D$6:$D$20,$C$6:$C$20,"Equipamentos",$A$6:$A$20,"&gt;="&amp;BA$23,$A$6:$A$20,"&lt;="&amp;EOMONTH(BA$23,0))</f>
        <v>0</v>
      </c>
      <c r="BB29" s="84" t="n">
        <f aca="false">SUMIFS($D$6:$D$20,$C$6:$C$20,"Equipamentos",$A$6:$A$20,"&gt;="&amp;BB$23,$A$6:$A$20,"&lt;="&amp;EOMONTH(BB$23,0))</f>
        <v>0</v>
      </c>
      <c r="BC29" s="84" t="n">
        <f aca="false">SUMIFS($D$6:$D$20,$C$6:$C$20,"Equipamentos",$A$6:$A$20,"&gt;="&amp;BC$23,$A$6:$A$20,"&lt;="&amp;EOMONTH(BC$23,0))</f>
        <v>30000</v>
      </c>
      <c r="BD29" s="84" t="n">
        <f aca="false">SUMIFS($D$6:$D$20,$C$6:$C$20,"Equipamentos",$A$6:$A$20,"&gt;="&amp;BD$23,$A$6:$A$20,"&lt;="&amp;EOMONTH(BD$23,0))</f>
        <v>0</v>
      </c>
      <c r="BE29" s="84" t="n">
        <f aca="false">SUMIFS($D$6:$D$20,$C$6:$C$20,"Equipamentos",$A$6:$A$20,"&gt;="&amp;BE$23,$A$6:$A$20,"&lt;="&amp;EOMONTH(BE$23,0))</f>
        <v>0</v>
      </c>
      <c r="BF29" s="84" t="n">
        <f aca="false">SUMIFS($D$6:$D$20,$C$6:$C$20,"Equipamentos",$A$6:$A$20,"&gt;="&amp;BF$23,$A$6:$A$20,"&lt;="&amp;EOMONTH(BF$23,0))</f>
        <v>0</v>
      </c>
      <c r="BG29" s="84" t="n">
        <f aca="false">SUMIFS($D$6:$D$20,$C$6:$C$20,"Equipamentos",$A$6:$A$20,"&gt;="&amp;BG$23,$A$6:$A$20,"&lt;="&amp;EOMONTH(BG$23,0))</f>
        <v>0</v>
      </c>
      <c r="BH29" s="84" t="n">
        <f aca="false">SUMIFS($D$6:$D$20,$C$6:$C$20,"Equipamentos",$A$6:$A$20,"&gt;="&amp;BH$23,$A$6:$A$20,"&lt;="&amp;EOMONTH(BH$23,0))</f>
        <v>0</v>
      </c>
      <c r="BI29" s="84" t="n">
        <f aca="false">SUMIFS($D$6:$D$20,$C$6:$C$20,"Equipamentos",$A$6:$A$20,"&gt;="&amp;BI$23,$A$6:$A$20,"&lt;="&amp;EOMONTH(BI$23,0))</f>
        <v>0</v>
      </c>
      <c r="BJ29" s="69" t="n">
        <f aca="false">SUM(B29:BI29)</f>
        <v>85127.82</v>
      </c>
      <c r="BK29" s="70" t="n">
        <f aca="false">IFERROR(BJ29/BJ$32,0)</f>
        <v>0.251019866196763</v>
      </c>
    </row>
    <row r="30" customFormat="false" ht="15" hidden="false" customHeight="false" outlineLevel="0" collapsed="false">
      <c r="A30" s="12" t="s">
        <v>370</v>
      </c>
      <c r="B30" s="84" t="n">
        <f aca="false">SUMIFS($D$6:$D$20,$C$6:$C$20,"Marca e jurídico",$A$6:$A$20,"&gt;="&amp;B$23,$A$6:$A$20,"&lt;="&amp;EOMONTH(B$23,0))</f>
        <v>0</v>
      </c>
      <c r="C30" s="84" t="n">
        <f aca="false">SUMIFS($D$6:$D$20,$C$6:$C$20,"Marca e jurídico",$A$6:$A$20,"&gt;="&amp;C$23,$A$6:$A$20,"&lt;="&amp;EOMONTH(C$23,0))</f>
        <v>0</v>
      </c>
      <c r="D30" s="84" t="n">
        <f aca="false">SUMIFS($D$6:$D$20,$C$6:$C$20,"Marca e jurídico",$A$6:$A$20,"&gt;="&amp;D$23,$A$6:$A$20,"&lt;="&amp;EOMONTH(D$23,0))</f>
        <v>0</v>
      </c>
      <c r="E30" s="84" t="n">
        <f aca="false">SUMIFS($D$6:$D$20,$C$6:$C$20,"Marca e jurídico",$A$6:$A$20,"&gt;="&amp;E$23,$A$6:$A$20,"&lt;="&amp;EOMONTH(E$23,0))</f>
        <v>0</v>
      </c>
      <c r="F30" s="84" t="n">
        <f aca="false">SUMIFS($D$6:$D$20,$C$6:$C$20,"Marca e jurídico",$A$6:$A$20,"&gt;="&amp;F$23,$A$6:$A$20,"&lt;="&amp;EOMONTH(F$23,0))</f>
        <v>6000</v>
      </c>
      <c r="G30" s="84" t="n">
        <f aca="false">SUMIFS($D$6:$D$20,$C$6:$C$20,"Marca e jurídico",$A$6:$A$20,"&gt;="&amp;G$23,$A$6:$A$20,"&lt;="&amp;EOMONTH(G$23,0))</f>
        <v>0</v>
      </c>
      <c r="H30" s="84" t="n">
        <f aca="false">SUMIFS($D$6:$D$20,$C$6:$C$20,"Marca e jurídico",$A$6:$A$20,"&gt;="&amp;H$23,$A$6:$A$20,"&lt;="&amp;EOMONTH(H$23,0))</f>
        <v>0</v>
      </c>
      <c r="I30" s="84" t="n">
        <f aca="false">SUMIFS($D$6:$D$20,$C$6:$C$20,"Marca e jurídico",$A$6:$A$20,"&gt;="&amp;I$23,$A$6:$A$20,"&lt;="&amp;EOMONTH(I$23,0))</f>
        <v>0</v>
      </c>
      <c r="J30" s="84" t="n">
        <f aca="false">SUMIFS($D$6:$D$20,$C$6:$C$20,"Marca e jurídico",$A$6:$A$20,"&gt;="&amp;J$23,$A$6:$A$20,"&lt;="&amp;EOMONTH(J$23,0))</f>
        <v>0</v>
      </c>
      <c r="K30" s="84" t="n">
        <f aca="false">SUMIFS($D$6:$D$20,$C$6:$C$20,"Marca e jurídico",$A$6:$A$20,"&gt;="&amp;K$23,$A$6:$A$20,"&lt;="&amp;EOMONTH(K$23,0))</f>
        <v>0</v>
      </c>
      <c r="L30" s="84" t="n">
        <f aca="false">SUMIFS($D$6:$D$20,$C$6:$C$20,"Marca e jurídico",$A$6:$A$20,"&gt;="&amp;L$23,$A$6:$A$20,"&lt;="&amp;EOMONTH(L$23,0))</f>
        <v>0</v>
      </c>
      <c r="M30" s="84" t="n">
        <f aca="false">SUMIFS($D$6:$D$20,$C$6:$C$20,"Marca e jurídico",$A$6:$A$20,"&gt;="&amp;M$23,$A$6:$A$20,"&lt;="&amp;EOMONTH(M$23,0))</f>
        <v>0</v>
      </c>
      <c r="N30" s="84" t="n">
        <f aca="false">SUMIFS($D$6:$D$20,$C$6:$C$20,"Marca e jurídico",$A$6:$A$20,"&gt;="&amp;N$23,$A$6:$A$20,"&lt;="&amp;EOMONTH(N$23,0))</f>
        <v>0</v>
      </c>
      <c r="O30" s="84" t="n">
        <f aca="false">SUMIFS($D$6:$D$20,$C$6:$C$20,"Marca e jurídico",$A$6:$A$20,"&gt;="&amp;O$23,$A$6:$A$20,"&lt;="&amp;EOMONTH(O$23,0))</f>
        <v>0</v>
      </c>
      <c r="P30" s="84" t="n">
        <f aca="false">SUMIFS($D$6:$D$20,$C$6:$C$20,"Marca e jurídico",$A$6:$A$20,"&gt;="&amp;P$23,$A$6:$A$20,"&lt;="&amp;EOMONTH(P$23,0))</f>
        <v>0</v>
      </c>
      <c r="Q30" s="84" t="n">
        <f aca="false">SUMIFS($D$6:$D$20,$C$6:$C$20,"Marca e jurídico",$A$6:$A$20,"&gt;="&amp;Q$23,$A$6:$A$20,"&lt;="&amp;EOMONTH(Q$23,0))</f>
        <v>0</v>
      </c>
      <c r="R30" s="84" t="n">
        <f aca="false">SUMIFS($D$6:$D$20,$C$6:$C$20,"Marca e jurídico",$A$6:$A$20,"&gt;="&amp;R$23,$A$6:$A$20,"&lt;="&amp;EOMONTH(R$23,0))</f>
        <v>0</v>
      </c>
      <c r="S30" s="84" t="n">
        <f aca="false">SUMIFS($D$6:$D$20,$C$6:$C$20,"Marca e jurídico",$A$6:$A$20,"&gt;="&amp;S$23,$A$6:$A$20,"&lt;="&amp;EOMONTH(S$23,0))</f>
        <v>0</v>
      </c>
      <c r="T30" s="84" t="n">
        <f aca="false">SUMIFS($D$6:$D$20,$C$6:$C$20,"Marca e jurídico",$A$6:$A$20,"&gt;="&amp;T$23,$A$6:$A$20,"&lt;="&amp;EOMONTH(T$23,0))</f>
        <v>0</v>
      </c>
      <c r="U30" s="84" t="n">
        <f aca="false">SUMIFS($D$6:$D$20,$C$6:$C$20,"Marca e jurídico",$A$6:$A$20,"&gt;="&amp;U$23,$A$6:$A$20,"&lt;="&amp;EOMONTH(U$23,0))</f>
        <v>0</v>
      </c>
      <c r="V30" s="84" t="n">
        <f aca="false">SUMIFS($D$6:$D$20,$C$6:$C$20,"Marca e jurídico",$A$6:$A$20,"&gt;="&amp;V$23,$A$6:$A$20,"&lt;="&amp;EOMONTH(V$23,0))</f>
        <v>0</v>
      </c>
      <c r="W30" s="84" t="n">
        <f aca="false">SUMIFS($D$6:$D$20,$C$6:$C$20,"Marca e jurídico",$A$6:$A$20,"&gt;="&amp;W$23,$A$6:$A$20,"&lt;="&amp;EOMONTH(W$23,0))</f>
        <v>0</v>
      </c>
      <c r="X30" s="84" t="n">
        <f aca="false">SUMIFS($D$6:$D$20,$C$6:$C$20,"Marca e jurídico",$A$6:$A$20,"&gt;="&amp;X$23,$A$6:$A$20,"&lt;="&amp;EOMONTH(X$23,0))</f>
        <v>0</v>
      </c>
      <c r="Y30" s="84" t="n">
        <f aca="false">SUMIFS($D$6:$D$20,$C$6:$C$20,"Marca e jurídico",$A$6:$A$20,"&gt;="&amp;Y$23,$A$6:$A$20,"&lt;="&amp;EOMONTH(Y$23,0))</f>
        <v>0</v>
      </c>
      <c r="Z30" s="84" t="n">
        <f aca="false">SUMIFS($D$6:$D$20,$C$6:$C$20,"Marca e jurídico",$A$6:$A$20,"&gt;="&amp;Z$23,$A$6:$A$20,"&lt;="&amp;EOMONTH(Z$23,0))</f>
        <v>0</v>
      </c>
      <c r="AA30" s="84" t="n">
        <f aca="false">SUMIFS($D$6:$D$20,$C$6:$C$20,"Marca e jurídico",$A$6:$A$20,"&gt;="&amp;AA$23,$A$6:$A$20,"&lt;="&amp;EOMONTH(AA$23,0))</f>
        <v>0</v>
      </c>
      <c r="AB30" s="84" t="n">
        <f aca="false">SUMIFS($D$6:$D$20,$C$6:$C$20,"Marca e jurídico",$A$6:$A$20,"&gt;="&amp;AB$23,$A$6:$A$20,"&lt;="&amp;EOMONTH(AB$23,0))</f>
        <v>0</v>
      </c>
      <c r="AC30" s="84" t="n">
        <f aca="false">SUMIFS($D$6:$D$20,$C$6:$C$20,"Marca e jurídico",$A$6:$A$20,"&gt;="&amp;AC$23,$A$6:$A$20,"&lt;="&amp;EOMONTH(AC$23,0))</f>
        <v>0</v>
      </c>
      <c r="AD30" s="84" t="n">
        <f aca="false">SUMIFS($D$6:$D$20,$C$6:$C$20,"Marca e jurídico",$A$6:$A$20,"&gt;="&amp;AD$23,$A$6:$A$20,"&lt;="&amp;EOMONTH(AD$23,0))</f>
        <v>0</v>
      </c>
      <c r="AE30" s="84" t="n">
        <f aca="false">SUMIFS($D$6:$D$20,$C$6:$C$20,"Marca e jurídico",$A$6:$A$20,"&gt;="&amp;AE$23,$A$6:$A$20,"&lt;="&amp;EOMONTH(AE$23,0))</f>
        <v>0</v>
      </c>
      <c r="AF30" s="84" t="n">
        <f aca="false">SUMIFS($D$6:$D$20,$C$6:$C$20,"Marca e jurídico",$A$6:$A$20,"&gt;="&amp;AF$23,$A$6:$A$20,"&lt;="&amp;EOMONTH(AF$23,0))</f>
        <v>0</v>
      </c>
      <c r="AG30" s="84" t="n">
        <f aca="false">SUMIFS($D$6:$D$20,$C$6:$C$20,"Marca e jurídico",$A$6:$A$20,"&gt;="&amp;AG$23,$A$6:$A$20,"&lt;="&amp;EOMONTH(AG$23,0))</f>
        <v>0</v>
      </c>
      <c r="AH30" s="84" t="n">
        <f aca="false">SUMIFS($D$6:$D$20,$C$6:$C$20,"Marca e jurídico",$A$6:$A$20,"&gt;="&amp;AH$23,$A$6:$A$20,"&lt;="&amp;EOMONTH(AH$23,0))</f>
        <v>0</v>
      </c>
      <c r="AI30" s="84" t="n">
        <f aca="false">SUMIFS($D$6:$D$20,$C$6:$C$20,"Marca e jurídico",$A$6:$A$20,"&gt;="&amp;AI$23,$A$6:$A$20,"&lt;="&amp;EOMONTH(AI$23,0))</f>
        <v>0</v>
      </c>
      <c r="AJ30" s="84" t="n">
        <f aca="false">SUMIFS($D$6:$D$20,$C$6:$C$20,"Marca e jurídico",$A$6:$A$20,"&gt;="&amp;AJ$23,$A$6:$A$20,"&lt;="&amp;EOMONTH(AJ$23,0))</f>
        <v>0</v>
      </c>
      <c r="AK30" s="84" t="n">
        <f aca="false">SUMIFS($D$6:$D$20,$C$6:$C$20,"Marca e jurídico",$A$6:$A$20,"&gt;="&amp;AK$23,$A$6:$A$20,"&lt;="&amp;EOMONTH(AK$23,0))</f>
        <v>0</v>
      </c>
      <c r="AL30" s="84" t="n">
        <f aca="false">SUMIFS($D$6:$D$20,$C$6:$C$20,"Marca e jurídico",$A$6:$A$20,"&gt;="&amp;AL$23,$A$6:$A$20,"&lt;="&amp;EOMONTH(AL$23,0))</f>
        <v>0</v>
      </c>
      <c r="AM30" s="84" t="n">
        <f aca="false">SUMIFS($D$6:$D$20,$C$6:$C$20,"Marca e jurídico",$A$6:$A$20,"&gt;="&amp;AM$23,$A$6:$A$20,"&lt;="&amp;EOMONTH(AM$23,0))</f>
        <v>0</v>
      </c>
      <c r="AN30" s="84" t="n">
        <f aca="false">SUMIFS($D$6:$D$20,$C$6:$C$20,"Marca e jurídico",$A$6:$A$20,"&gt;="&amp;AN$23,$A$6:$A$20,"&lt;="&amp;EOMONTH(AN$23,0))</f>
        <v>0</v>
      </c>
      <c r="AO30" s="84" t="n">
        <f aca="false">SUMIFS($D$6:$D$20,$C$6:$C$20,"Marca e jurídico",$A$6:$A$20,"&gt;="&amp;AO$23,$A$6:$A$20,"&lt;="&amp;EOMONTH(AO$23,0))</f>
        <v>0</v>
      </c>
      <c r="AP30" s="84" t="n">
        <f aca="false">SUMIFS($D$6:$D$20,$C$6:$C$20,"Marca e jurídico",$A$6:$A$20,"&gt;="&amp;AP$23,$A$6:$A$20,"&lt;="&amp;EOMONTH(AP$23,0))</f>
        <v>0</v>
      </c>
      <c r="AQ30" s="84" t="n">
        <f aca="false">SUMIFS($D$6:$D$20,$C$6:$C$20,"Marca e jurídico",$A$6:$A$20,"&gt;="&amp;AQ$23,$A$6:$A$20,"&lt;="&amp;EOMONTH(AQ$23,0))</f>
        <v>0</v>
      </c>
      <c r="AR30" s="84" t="n">
        <f aca="false">SUMIFS($D$6:$D$20,$C$6:$C$20,"Marca e jurídico",$A$6:$A$20,"&gt;="&amp;AR$23,$A$6:$A$20,"&lt;="&amp;EOMONTH(AR$23,0))</f>
        <v>0</v>
      </c>
      <c r="AS30" s="84" t="n">
        <f aca="false">SUMIFS($D$6:$D$20,$C$6:$C$20,"Marca e jurídico",$A$6:$A$20,"&gt;="&amp;AS$23,$A$6:$A$20,"&lt;="&amp;EOMONTH(AS$23,0))</f>
        <v>0</v>
      </c>
      <c r="AT30" s="84" t="n">
        <f aca="false">SUMIFS($D$6:$D$20,$C$6:$C$20,"Marca e jurídico",$A$6:$A$20,"&gt;="&amp;AT$23,$A$6:$A$20,"&lt;="&amp;EOMONTH(AT$23,0))</f>
        <v>0</v>
      </c>
      <c r="AU30" s="84" t="n">
        <f aca="false">SUMIFS($D$6:$D$20,$C$6:$C$20,"Marca e jurídico",$A$6:$A$20,"&gt;="&amp;AU$23,$A$6:$A$20,"&lt;="&amp;EOMONTH(AU$23,0))</f>
        <v>0</v>
      </c>
      <c r="AV30" s="84" t="n">
        <f aca="false">SUMIFS($D$6:$D$20,$C$6:$C$20,"Marca e jurídico",$A$6:$A$20,"&gt;="&amp;AV$23,$A$6:$A$20,"&lt;="&amp;EOMONTH(AV$23,0))</f>
        <v>0</v>
      </c>
      <c r="AW30" s="84" t="n">
        <f aca="false">SUMIFS($D$6:$D$20,$C$6:$C$20,"Marca e jurídico",$A$6:$A$20,"&gt;="&amp;AW$23,$A$6:$A$20,"&lt;="&amp;EOMONTH(AW$23,0))</f>
        <v>0</v>
      </c>
      <c r="AX30" s="84" t="n">
        <f aca="false">SUMIFS($D$6:$D$20,$C$6:$C$20,"Marca e jurídico",$A$6:$A$20,"&gt;="&amp;AX$23,$A$6:$A$20,"&lt;="&amp;EOMONTH(AX$23,0))</f>
        <v>0</v>
      </c>
      <c r="AY30" s="84" t="n">
        <f aca="false">SUMIFS($D$6:$D$20,$C$6:$C$20,"Marca e jurídico",$A$6:$A$20,"&gt;="&amp;AY$23,$A$6:$A$20,"&lt;="&amp;EOMONTH(AY$23,0))</f>
        <v>0</v>
      </c>
      <c r="AZ30" s="84" t="n">
        <f aca="false">SUMIFS($D$6:$D$20,$C$6:$C$20,"Marca e jurídico",$A$6:$A$20,"&gt;="&amp;AZ$23,$A$6:$A$20,"&lt;="&amp;EOMONTH(AZ$23,0))</f>
        <v>0</v>
      </c>
      <c r="BA30" s="84" t="n">
        <f aca="false">SUMIFS($D$6:$D$20,$C$6:$C$20,"Marca e jurídico",$A$6:$A$20,"&gt;="&amp;BA$23,$A$6:$A$20,"&lt;="&amp;EOMONTH(BA$23,0))</f>
        <v>0</v>
      </c>
      <c r="BB30" s="84" t="n">
        <f aca="false">SUMIFS($D$6:$D$20,$C$6:$C$20,"Marca e jurídico",$A$6:$A$20,"&gt;="&amp;BB$23,$A$6:$A$20,"&lt;="&amp;EOMONTH(BB$23,0))</f>
        <v>0</v>
      </c>
      <c r="BC30" s="84" t="n">
        <f aca="false">SUMIFS($D$6:$D$20,$C$6:$C$20,"Marca e jurídico",$A$6:$A$20,"&gt;="&amp;BC$23,$A$6:$A$20,"&lt;="&amp;EOMONTH(BC$23,0))</f>
        <v>0</v>
      </c>
      <c r="BD30" s="84" t="n">
        <f aca="false">SUMIFS($D$6:$D$20,$C$6:$C$20,"Marca e jurídico",$A$6:$A$20,"&gt;="&amp;BD$23,$A$6:$A$20,"&lt;="&amp;EOMONTH(BD$23,0))</f>
        <v>0</v>
      </c>
      <c r="BE30" s="84" t="n">
        <f aca="false">SUMIFS($D$6:$D$20,$C$6:$C$20,"Marca e jurídico",$A$6:$A$20,"&gt;="&amp;BE$23,$A$6:$A$20,"&lt;="&amp;EOMONTH(BE$23,0))</f>
        <v>0</v>
      </c>
      <c r="BF30" s="84" t="n">
        <f aca="false">SUMIFS($D$6:$D$20,$C$6:$C$20,"Marca e jurídico",$A$6:$A$20,"&gt;="&amp;BF$23,$A$6:$A$20,"&lt;="&amp;EOMONTH(BF$23,0))</f>
        <v>0</v>
      </c>
      <c r="BG30" s="84" t="n">
        <f aca="false">SUMIFS($D$6:$D$20,$C$6:$C$20,"Marca e jurídico",$A$6:$A$20,"&gt;="&amp;BG$23,$A$6:$A$20,"&lt;="&amp;EOMONTH(BG$23,0))</f>
        <v>0</v>
      </c>
      <c r="BH30" s="84" t="n">
        <f aca="false">SUMIFS($D$6:$D$20,$C$6:$C$20,"Marca e jurídico",$A$6:$A$20,"&gt;="&amp;BH$23,$A$6:$A$20,"&lt;="&amp;EOMONTH(BH$23,0))</f>
        <v>0</v>
      </c>
      <c r="BI30" s="84" t="n">
        <f aca="false">SUMIFS($D$6:$D$20,$C$6:$C$20,"Marca e jurídico",$A$6:$A$20,"&gt;="&amp;BI$23,$A$6:$A$20,"&lt;="&amp;EOMONTH(BI$23,0))</f>
        <v>0</v>
      </c>
      <c r="BJ30" s="69" t="n">
        <f aca="false">SUM(B30:BI30)</f>
        <v>6000</v>
      </c>
      <c r="BK30" s="70" t="n">
        <f aca="false">IFERROR(BJ30/BJ$32,0)</f>
        <v>0.0176924441055883</v>
      </c>
    </row>
    <row r="31" customFormat="false" ht="15" hidden="false" customHeight="false" outlineLevel="0" collapsed="false">
      <c r="A31" s="12" t="s">
        <v>383</v>
      </c>
      <c r="B31" s="84" t="n">
        <f aca="false">SUMIFS($D$6:$D$20,$C$6:$C$20,"Certificações",$A$6:$A$20,"&gt;="&amp;B$23,$A$6:$A$20,"&lt;="&amp;EOMONTH(B$23,0))</f>
        <v>0</v>
      </c>
      <c r="C31" s="84" t="n">
        <f aca="false">SUMIFS($D$6:$D$20,$C$6:$C$20,"Certificações",$A$6:$A$20,"&gt;="&amp;C$23,$A$6:$A$20,"&lt;="&amp;EOMONTH(C$23,0))</f>
        <v>0</v>
      </c>
      <c r="D31" s="84" t="n">
        <f aca="false">SUMIFS($D$6:$D$20,$C$6:$C$20,"Certificações",$A$6:$A$20,"&gt;="&amp;D$23,$A$6:$A$20,"&lt;="&amp;EOMONTH(D$23,0))</f>
        <v>0</v>
      </c>
      <c r="E31" s="84" t="n">
        <f aca="false">SUMIFS($D$6:$D$20,$C$6:$C$20,"Certificações",$A$6:$A$20,"&gt;="&amp;E$23,$A$6:$A$20,"&lt;="&amp;EOMONTH(E$23,0))</f>
        <v>0</v>
      </c>
      <c r="F31" s="84" t="n">
        <f aca="false">SUMIFS($D$6:$D$20,$C$6:$C$20,"Certificações",$A$6:$A$20,"&gt;="&amp;F$23,$A$6:$A$20,"&lt;="&amp;EOMONTH(F$23,0))</f>
        <v>0</v>
      </c>
      <c r="G31" s="84" t="n">
        <f aca="false">SUMIFS($D$6:$D$20,$C$6:$C$20,"Certificações",$A$6:$A$20,"&gt;="&amp;G$23,$A$6:$A$20,"&lt;="&amp;EOMONTH(G$23,0))</f>
        <v>0</v>
      </c>
      <c r="H31" s="84" t="n">
        <f aca="false">SUMIFS($D$6:$D$20,$C$6:$C$20,"Certificações",$A$6:$A$20,"&gt;="&amp;H$23,$A$6:$A$20,"&lt;="&amp;EOMONTH(H$23,0))</f>
        <v>0</v>
      </c>
      <c r="I31" s="84" t="n">
        <f aca="false">SUMIFS($D$6:$D$20,$C$6:$C$20,"Certificações",$A$6:$A$20,"&gt;="&amp;I$23,$A$6:$A$20,"&lt;="&amp;EOMONTH(I$23,0))</f>
        <v>0</v>
      </c>
      <c r="J31" s="84" t="n">
        <f aca="false">SUMIFS($D$6:$D$20,$C$6:$C$20,"Certificações",$A$6:$A$20,"&gt;="&amp;J$23,$A$6:$A$20,"&lt;="&amp;EOMONTH(J$23,0))</f>
        <v>0</v>
      </c>
      <c r="K31" s="84" t="n">
        <f aca="false">SUMIFS($D$6:$D$20,$C$6:$C$20,"Certificações",$A$6:$A$20,"&gt;="&amp;K$23,$A$6:$A$20,"&lt;="&amp;EOMONTH(K$23,0))</f>
        <v>0</v>
      </c>
      <c r="L31" s="84" t="n">
        <f aca="false">SUMIFS($D$6:$D$20,$C$6:$C$20,"Certificações",$A$6:$A$20,"&gt;="&amp;L$23,$A$6:$A$20,"&lt;="&amp;EOMONTH(L$23,0))</f>
        <v>0</v>
      </c>
      <c r="M31" s="84" t="n">
        <f aca="false">SUMIFS($D$6:$D$20,$C$6:$C$20,"Certificações",$A$6:$A$20,"&gt;="&amp;M$23,$A$6:$A$20,"&lt;="&amp;EOMONTH(M$23,0))</f>
        <v>0</v>
      </c>
      <c r="N31" s="84" t="n">
        <f aca="false">SUMIFS($D$6:$D$20,$C$6:$C$20,"Certificações",$A$6:$A$20,"&gt;="&amp;N$23,$A$6:$A$20,"&lt;="&amp;EOMONTH(N$23,0))</f>
        <v>0</v>
      </c>
      <c r="O31" s="84" t="n">
        <f aca="false">SUMIFS($D$6:$D$20,$C$6:$C$20,"Certificações",$A$6:$A$20,"&gt;="&amp;O$23,$A$6:$A$20,"&lt;="&amp;EOMONTH(O$23,0))</f>
        <v>0</v>
      </c>
      <c r="P31" s="84" t="n">
        <f aca="false">SUMIFS($D$6:$D$20,$C$6:$C$20,"Certificações",$A$6:$A$20,"&gt;="&amp;P$23,$A$6:$A$20,"&lt;="&amp;EOMONTH(P$23,0))</f>
        <v>12000</v>
      </c>
      <c r="Q31" s="84" t="n">
        <f aca="false">SUMIFS($D$6:$D$20,$C$6:$C$20,"Certificações",$A$6:$A$20,"&gt;="&amp;Q$23,$A$6:$A$20,"&lt;="&amp;EOMONTH(Q$23,0))</f>
        <v>0</v>
      </c>
      <c r="R31" s="84" t="n">
        <f aca="false">SUMIFS($D$6:$D$20,$C$6:$C$20,"Certificações",$A$6:$A$20,"&gt;="&amp;R$23,$A$6:$A$20,"&lt;="&amp;EOMONTH(R$23,0))</f>
        <v>0</v>
      </c>
      <c r="S31" s="84" t="n">
        <f aca="false">SUMIFS($D$6:$D$20,$C$6:$C$20,"Certificações",$A$6:$A$20,"&gt;="&amp;S$23,$A$6:$A$20,"&lt;="&amp;EOMONTH(S$23,0))</f>
        <v>0</v>
      </c>
      <c r="T31" s="84" t="n">
        <f aca="false">SUMIFS($D$6:$D$20,$C$6:$C$20,"Certificações",$A$6:$A$20,"&gt;="&amp;T$23,$A$6:$A$20,"&lt;="&amp;EOMONTH(T$23,0))</f>
        <v>25000</v>
      </c>
      <c r="U31" s="84" t="n">
        <f aca="false">SUMIFS($D$6:$D$20,$C$6:$C$20,"Certificações",$A$6:$A$20,"&gt;="&amp;U$23,$A$6:$A$20,"&lt;="&amp;EOMONTH(U$23,0))</f>
        <v>0</v>
      </c>
      <c r="V31" s="84" t="n">
        <f aca="false">SUMIFS($D$6:$D$20,$C$6:$C$20,"Certificações",$A$6:$A$20,"&gt;="&amp;V$23,$A$6:$A$20,"&lt;="&amp;EOMONTH(V$23,0))</f>
        <v>0</v>
      </c>
      <c r="W31" s="84" t="n">
        <f aca="false">SUMIFS($D$6:$D$20,$C$6:$C$20,"Certificações",$A$6:$A$20,"&gt;="&amp;W$23,$A$6:$A$20,"&lt;="&amp;EOMONTH(W$23,0))</f>
        <v>0</v>
      </c>
      <c r="X31" s="84" t="n">
        <f aca="false">SUMIFS($D$6:$D$20,$C$6:$C$20,"Certificações",$A$6:$A$20,"&gt;="&amp;X$23,$A$6:$A$20,"&lt;="&amp;EOMONTH(X$23,0))</f>
        <v>0</v>
      </c>
      <c r="Y31" s="84" t="n">
        <f aca="false">SUMIFS($D$6:$D$20,$C$6:$C$20,"Certificações",$A$6:$A$20,"&gt;="&amp;Y$23,$A$6:$A$20,"&lt;="&amp;EOMONTH(Y$23,0))</f>
        <v>0</v>
      </c>
      <c r="Z31" s="84" t="n">
        <f aca="false">SUMIFS($D$6:$D$20,$C$6:$C$20,"Certificações",$A$6:$A$20,"&gt;="&amp;Z$23,$A$6:$A$20,"&lt;="&amp;EOMONTH(Z$23,0))</f>
        <v>0</v>
      </c>
      <c r="AA31" s="84" t="n">
        <f aca="false">SUMIFS($D$6:$D$20,$C$6:$C$20,"Certificações",$A$6:$A$20,"&gt;="&amp;AA$23,$A$6:$A$20,"&lt;="&amp;EOMONTH(AA$23,0))</f>
        <v>0</v>
      </c>
      <c r="AB31" s="84" t="n">
        <f aca="false">SUMIFS($D$6:$D$20,$C$6:$C$20,"Certificações",$A$6:$A$20,"&gt;="&amp;AB$23,$A$6:$A$20,"&lt;="&amp;EOMONTH(AB$23,0))</f>
        <v>0</v>
      </c>
      <c r="AC31" s="84" t="n">
        <f aca="false">SUMIFS($D$6:$D$20,$C$6:$C$20,"Certificações",$A$6:$A$20,"&gt;="&amp;AC$23,$A$6:$A$20,"&lt;="&amp;EOMONTH(AC$23,0))</f>
        <v>0</v>
      </c>
      <c r="AD31" s="84" t="n">
        <f aca="false">SUMIFS($D$6:$D$20,$C$6:$C$20,"Certificações",$A$6:$A$20,"&gt;="&amp;AD$23,$A$6:$A$20,"&lt;="&amp;EOMONTH(AD$23,0))</f>
        <v>0</v>
      </c>
      <c r="AE31" s="84" t="n">
        <f aca="false">SUMIFS($D$6:$D$20,$C$6:$C$20,"Certificações",$A$6:$A$20,"&gt;="&amp;AE$23,$A$6:$A$20,"&lt;="&amp;EOMONTH(AE$23,0))</f>
        <v>0</v>
      </c>
      <c r="AF31" s="84" t="n">
        <f aca="false">SUMIFS($D$6:$D$20,$C$6:$C$20,"Certificações",$A$6:$A$20,"&gt;="&amp;AF$23,$A$6:$A$20,"&lt;="&amp;EOMONTH(AF$23,0))</f>
        <v>0</v>
      </c>
      <c r="AG31" s="84" t="n">
        <f aca="false">SUMIFS($D$6:$D$20,$C$6:$C$20,"Certificações",$A$6:$A$20,"&gt;="&amp;AG$23,$A$6:$A$20,"&lt;="&amp;EOMONTH(AG$23,0))</f>
        <v>0</v>
      </c>
      <c r="AH31" s="84" t="n">
        <f aca="false">SUMIFS($D$6:$D$20,$C$6:$C$20,"Certificações",$A$6:$A$20,"&gt;="&amp;AH$23,$A$6:$A$20,"&lt;="&amp;EOMONTH(AH$23,0))</f>
        <v>0</v>
      </c>
      <c r="AI31" s="84" t="n">
        <f aca="false">SUMIFS($D$6:$D$20,$C$6:$C$20,"Certificações",$A$6:$A$20,"&gt;="&amp;AI$23,$A$6:$A$20,"&lt;="&amp;EOMONTH(AI$23,0))</f>
        <v>0</v>
      </c>
      <c r="AJ31" s="84" t="n">
        <f aca="false">SUMIFS($D$6:$D$20,$C$6:$C$20,"Certificações",$A$6:$A$20,"&gt;="&amp;AJ$23,$A$6:$A$20,"&lt;="&amp;EOMONTH(AJ$23,0))</f>
        <v>0</v>
      </c>
      <c r="AK31" s="84" t="n">
        <f aca="false">SUMIFS($D$6:$D$20,$C$6:$C$20,"Certificações",$A$6:$A$20,"&gt;="&amp;AK$23,$A$6:$A$20,"&lt;="&amp;EOMONTH(AK$23,0))</f>
        <v>0</v>
      </c>
      <c r="AL31" s="84" t="n">
        <f aca="false">SUMIFS($D$6:$D$20,$C$6:$C$20,"Certificações",$A$6:$A$20,"&gt;="&amp;AL$23,$A$6:$A$20,"&lt;="&amp;EOMONTH(AL$23,0))</f>
        <v>0</v>
      </c>
      <c r="AM31" s="84" t="n">
        <f aca="false">SUMIFS($D$6:$D$20,$C$6:$C$20,"Certificações",$A$6:$A$20,"&gt;="&amp;AM$23,$A$6:$A$20,"&lt;="&amp;EOMONTH(AM$23,0))</f>
        <v>0</v>
      </c>
      <c r="AN31" s="84" t="n">
        <f aca="false">SUMIFS($D$6:$D$20,$C$6:$C$20,"Certificações",$A$6:$A$20,"&gt;="&amp;AN$23,$A$6:$A$20,"&lt;="&amp;EOMONTH(AN$23,0))</f>
        <v>0</v>
      </c>
      <c r="AO31" s="84" t="n">
        <f aca="false">SUMIFS($D$6:$D$20,$C$6:$C$20,"Certificações",$A$6:$A$20,"&gt;="&amp;AO$23,$A$6:$A$20,"&lt;="&amp;EOMONTH(AO$23,0))</f>
        <v>0</v>
      </c>
      <c r="AP31" s="84" t="n">
        <f aca="false">SUMIFS($D$6:$D$20,$C$6:$C$20,"Certificações",$A$6:$A$20,"&gt;="&amp;AP$23,$A$6:$A$20,"&lt;="&amp;EOMONTH(AP$23,0))</f>
        <v>0</v>
      </c>
      <c r="AQ31" s="84" t="n">
        <f aca="false">SUMIFS($D$6:$D$20,$C$6:$C$20,"Certificações",$A$6:$A$20,"&gt;="&amp;AQ$23,$A$6:$A$20,"&lt;="&amp;EOMONTH(AQ$23,0))</f>
        <v>0</v>
      </c>
      <c r="AR31" s="84" t="n">
        <f aca="false">SUMIFS($D$6:$D$20,$C$6:$C$20,"Certificações",$A$6:$A$20,"&gt;="&amp;AR$23,$A$6:$A$20,"&lt;="&amp;EOMONTH(AR$23,0))</f>
        <v>0</v>
      </c>
      <c r="AS31" s="84" t="n">
        <f aca="false">SUMIFS($D$6:$D$20,$C$6:$C$20,"Certificações",$A$6:$A$20,"&gt;="&amp;AS$23,$A$6:$A$20,"&lt;="&amp;EOMONTH(AS$23,0))</f>
        <v>0</v>
      </c>
      <c r="AT31" s="84" t="n">
        <f aca="false">SUMIFS($D$6:$D$20,$C$6:$C$20,"Certificações",$A$6:$A$20,"&gt;="&amp;AT$23,$A$6:$A$20,"&lt;="&amp;EOMONTH(AT$23,0))</f>
        <v>0</v>
      </c>
      <c r="AU31" s="84" t="n">
        <f aca="false">SUMIFS($D$6:$D$20,$C$6:$C$20,"Certificações",$A$6:$A$20,"&gt;="&amp;AU$23,$A$6:$A$20,"&lt;="&amp;EOMONTH(AU$23,0))</f>
        <v>0</v>
      </c>
      <c r="AV31" s="84" t="n">
        <f aca="false">SUMIFS($D$6:$D$20,$C$6:$C$20,"Certificações",$A$6:$A$20,"&gt;="&amp;AV$23,$A$6:$A$20,"&lt;="&amp;EOMONTH(AV$23,0))</f>
        <v>0</v>
      </c>
      <c r="AW31" s="84" t="n">
        <f aca="false">SUMIFS($D$6:$D$20,$C$6:$C$20,"Certificações",$A$6:$A$20,"&gt;="&amp;AW$23,$A$6:$A$20,"&lt;="&amp;EOMONTH(AW$23,0))</f>
        <v>0</v>
      </c>
      <c r="AX31" s="84" t="n">
        <f aca="false">SUMIFS($D$6:$D$20,$C$6:$C$20,"Certificações",$A$6:$A$20,"&gt;="&amp;AX$23,$A$6:$A$20,"&lt;="&amp;EOMONTH(AX$23,0))</f>
        <v>0</v>
      </c>
      <c r="AY31" s="84" t="n">
        <f aca="false">SUMIFS($D$6:$D$20,$C$6:$C$20,"Certificações",$A$6:$A$20,"&gt;="&amp;AY$23,$A$6:$A$20,"&lt;="&amp;EOMONTH(AY$23,0))</f>
        <v>0</v>
      </c>
      <c r="AZ31" s="84" t="n">
        <f aca="false">SUMIFS($D$6:$D$20,$C$6:$C$20,"Certificações",$A$6:$A$20,"&gt;="&amp;AZ$23,$A$6:$A$20,"&lt;="&amp;EOMONTH(AZ$23,0))</f>
        <v>0</v>
      </c>
      <c r="BA31" s="84" t="n">
        <f aca="false">SUMIFS($D$6:$D$20,$C$6:$C$20,"Certificações",$A$6:$A$20,"&gt;="&amp;BA$23,$A$6:$A$20,"&lt;="&amp;EOMONTH(BA$23,0))</f>
        <v>0</v>
      </c>
      <c r="BB31" s="84" t="n">
        <f aca="false">SUMIFS($D$6:$D$20,$C$6:$C$20,"Certificações",$A$6:$A$20,"&gt;="&amp;BB$23,$A$6:$A$20,"&lt;="&amp;EOMONTH(BB$23,0))</f>
        <v>0</v>
      </c>
      <c r="BC31" s="84" t="n">
        <f aca="false">SUMIFS($D$6:$D$20,$C$6:$C$20,"Certificações",$A$6:$A$20,"&gt;="&amp;BC$23,$A$6:$A$20,"&lt;="&amp;EOMONTH(BC$23,0))</f>
        <v>0</v>
      </c>
      <c r="BD31" s="84" t="n">
        <f aca="false">SUMIFS($D$6:$D$20,$C$6:$C$20,"Certificações",$A$6:$A$20,"&gt;="&amp;BD$23,$A$6:$A$20,"&lt;="&amp;EOMONTH(BD$23,0))</f>
        <v>0</v>
      </c>
      <c r="BE31" s="84" t="n">
        <f aca="false">SUMIFS($D$6:$D$20,$C$6:$C$20,"Certificações",$A$6:$A$20,"&gt;="&amp;BE$23,$A$6:$A$20,"&lt;="&amp;EOMONTH(BE$23,0))</f>
        <v>0</v>
      </c>
      <c r="BF31" s="84" t="n">
        <f aca="false">SUMIFS($D$6:$D$20,$C$6:$C$20,"Certificações",$A$6:$A$20,"&gt;="&amp;BF$23,$A$6:$A$20,"&lt;="&amp;EOMONTH(BF$23,0))</f>
        <v>0</v>
      </c>
      <c r="BG31" s="84" t="n">
        <f aca="false">SUMIFS($D$6:$D$20,$C$6:$C$20,"Certificações",$A$6:$A$20,"&gt;="&amp;BG$23,$A$6:$A$20,"&lt;="&amp;EOMONTH(BG$23,0))</f>
        <v>0</v>
      </c>
      <c r="BH31" s="84" t="n">
        <f aca="false">SUMIFS($D$6:$D$20,$C$6:$C$20,"Certificações",$A$6:$A$20,"&gt;="&amp;BH$23,$A$6:$A$20,"&lt;="&amp;EOMONTH(BH$23,0))</f>
        <v>0</v>
      </c>
      <c r="BI31" s="84" t="n">
        <f aca="false">SUMIFS($D$6:$D$20,$C$6:$C$20,"Certificações",$A$6:$A$20,"&gt;="&amp;BI$23,$A$6:$A$20,"&lt;="&amp;EOMONTH(BI$23,0))</f>
        <v>0</v>
      </c>
      <c r="BJ31" s="69" t="n">
        <f aca="false">SUM(B31:BI31)</f>
        <v>37000</v>
      </c>
      <c r="BK31" s="70" t="n">
        <f aca="false">IFERROR(BJ31/BJ$32,0)</f>
        <v>0.109103405317794</v>
      </c>
    </row>
    <row r="32" customFormat="false" ht="15" hidden="false" customHeight="false" outlineLevel="0" collapsed="false">
      <c r="A32" s="34" t="s">
        <v>389</v>
      </c>
      <c r="B32" s="69" t="n">
        <f aca="false">SUM(B28:B31)</f>
        <v>0</v>
      </c>
      <c r="C32" s="69" t="n">
        <f aca="false">SUM(C28:C31)</f>
        <v>0</v>
      </c>
      <c r="D32" s="69" t="n">
        <f aca="false">SUM(D28:D31)</f>
        <v>0</v>
      </c>
      <c r="E32" s="69" t="n">
        <f aca="false">SUM(E28:E31)</f>
        <v>0</v>
      </c>
      <c r="F32" s="69" t="n">
        <f aca="false">SUM(F28:F31)</f>
        <v>6000</v>
      </c>
      <c r="G32" s="69" t="n">
        <f aca="false">SUM(G28:G31)</f>
        <v>0</v>
      </c>
      <c r="H32" s="69" t="n">
        <f aca="false">SUM(H28:H31)</f>
        <v>0</v>
      </c>
      <c r="I32" s="69" t="n">
        <f aca="false">SUM(I28:I31)</f>
        <v>16127.82</v>
      </c>
      <c r="J32" s="69" t="n">
        <f aca="false">SUM(J28:J31)</f>
        <v>7000</v>
      </c>
      <c r="K32" s="69" t="n">
        <f aca="false">SUM(K28:K31)</f>
        <v>7000</v>
      </c>
      <c r="L32" s="69" t="n">
        <f aca="false">SUM(L28:L31)</f>
        <v>0</v>
      </c>
      <c r="M32" s="69" t="n">
        <f aca="false">SUM(M28:M31)</f>
        <v>0</v>
      </c>
      <c r="N32" s="69" t="n">
        <f aca="false">SUM(N28:N31)</f>
        <v>15000</v>
      </c>
      <c r="O32" s="69" t="n">
        <f aca="false">SUM(O28:O31)</f>
        <v>0</v>
      </c>
      <c r="P32" s="69" t="n">
        <f aca="false">SUM(P28:P31)</f>
        <v>12000</v>
      </c>
      <c r="Q32" s="69" t="n">
        <f aca="false">SUM(Q28:Q31)</f>
        <v>0</v>
      </c>
      <c r="R32" s="69" t="n">
        <f aca="false">SUM(R28:R31)</f>
        <v>0</v>
      </c>
      <c r="S32" s="69" t="n">
        <f aca="false">SUM(S28:S31)</f>
        <v>6000</v>
      </c>
      <c r="T32" s="69" t="n">
        <f aca="false">SUM(T28:T31)</f>
        <v>25000</v>
      </c>
      <c r="U32" s="69" t="n">
        <f aca="false">SUM(U28:U31)</f>
        <v>0</v>
      </c>
      <c r="V32" s="69" t="n">
        <f aca="false">SUM(V28:V31)</f>
        <v>0</v>
      </c>
      <c r="W32" s="69" t="n">
        <f aca="false">SUM(W28:W31)</f>
        <v>0</v>
      </c>
      <c r="X32" s="69" t="n">
        <f aca="false">SUM(X28:X31)</f>
        <v>0</v>
      </c>
      <c r="Y32" s="69" t="n">
        <f aca="false">SUM(Y28:Y31)</f>
        <v>0</v>
      </c>
      <c r="Z32" s="69" t="n">
        <f aca="false">SUM(Z28:Z31)</f>
        <v>45000</v>
      </c>
      <c r="AA32" s="69" t="n">
        <f aca="false">SUM(AA28:AA31)</f>
        <v>0</v>
      </c>
      <c r="AB32" s="69" t="n">
        <f aca="false">SUM(AB28:AB31)</f>
        <v>0</v>
      </c>
      <c r="AC32" s="69" t="n">
        <f aca="false">SUM(AC28:AC31)</f>
        <v>0</v>
      </c>
      <c r="AD32" s="69" t="n">
        <f aca="false">SUM(AD28:AD31)</f>
        <v>0</v>
      </c>
      <c r="AE32" s="69" t="n">
        <f aca="false">SUM(AE28:AE31)</f>
        <v>15000</v>
      </c>
      <c r="AF32" s="69" t="n">
        <f aca="false">SUM(AF28:AF31)</f>
        <v>0</v>
      </c>
      <c r="AG32" s="69" t="n">
        <f aca="false">SUM(AG28:AG31)</f>
        <v>0</v>
      </c>
      <c r="AH32" s="69" t="n">
        <f aca="false">SUM(AH28:AH31)</f>
        <v>0</v>
      </c>
      <c r="AI32" s="69" t="n">
        <f aca="false">SUM(AI28:AI31)</f>
        <v>0</v>
      </c>
      <c r="AJ32" s="69" t="n">
        <f aca="false">SUM(AJ28:AJ31)</f>
        <v>0</v>
      </c>
      <c r="AK32" s="69" t="n">
        <f aca="false">SUM(AK28:AK31)</f>
        <v>0</v>
      </c>
      <c r="AL32" s="69" t="n">
        <f aca="false">SUM(AL28:AL31)</f>
        <v>60000</v>
      </c>
      <c r="AM32" s="69" t="n">
        <f aca="false">SUM(AM28:AM31)</f>
        <v>0</v>
      </c>
      <c r="AN32" s="69" t="n">
        <f aca="false">SUM(AN28:AN31)</f>
        <v>0</v>
      </c>
      <c r="AO32" s="69" t="n">
        <f aca="false">SUM(AO28:AO31)</f>
        <v>0</v>
      </c>
      <c r="AP32" s="69" t="n">
        <f aca="false">SUM(AP28:AP31)</f>
        <v>0</v>
      </c>
      <c r="AQ32" s="69" t="n">
        <f aca="false">SUM(AQ28:AQ31)</f>
        <v>25000</v>
      </c>
      <c r="AR32" s="69" t="n">
        <f aca="false">SUM(AR28:AR31)</f>
        <v>0</v>
      </c>
      <c r="AS32" s="69" t="n">
        <f aca="false">SUM(AS28:AS31)</f>
        <v>0</v>
      </c>
      <c r="AT32" s="69" t="n">
        <f aca="false">SUM(AT28:AT31)</f>
        <v>0</v>
      </c>
      <c r="AU32" s="69" t="n">
        <f aca="false">SUM(AU28:AU31)</f>
        <v>0</v>
      </c>
      <c r="AV32" s="69" t="n">
        <f aca="false">SUM(AV28:AV31)</f>
        <v>0</v>
      </c>
      <c r="AW32" s="69" t="n">
        <f aca="false">SUM(AW28:AW31)</f>
        <v>0</v>
      </c>
      <c r="AX32" s="69" t="n">
        <f aca="false">SUM(AX28:AX31)</f>
        <v>70000</v>
      </c>
      <c r="AY32" s="69" t="n">
        <f aca="false">SUM(AY28:AY31)</f>
        <v>0</v>
      </c>
      <c r="AZ32" s="69" t="n">
        <f aca="false">SUM(AZ28:AZ31)</f>
        <v>0</v>
      </c>
      <c r="BA32" s="69" t="n">
        <f aca="false">SUM(BA28:BA31)</f>
        <v>0</v>
      </c>
      <c r="BB32" s="69" t="n">
        <f aca="false">SUM(BB28:BB31)</f>
        <v>0</v>
      </c>
      <c r="BC32" s="69" t="n">
        <f aca="false">SUM(BC28:BC31)</f>
        <v>30000</v>
      </c>
      <c r="BD32" s="69" t="n">
        <f aca="false">SUM(BD28:BD31)</f>
        <v>0</v>
      </c>
      <c r="BE32" s="69" t="n">
        <f aca="false">SUM(BE28:BE31)</f>
        <v>0</v>
      </c>
      <c r="BF32" s="69" t="n">
        <f aca="false">SUM(BF28:BF31)</f>
        <v>0</v>
      </c>
      <c r="BG32" s="69" t="n">
        <f aca="false">SUM(BG28:BG31)</f>
        <v>0</v>
      </c>
      <c r="BH32" s="69" t="n">
        <f aca="false">SUM(BH28:BH31)</f>
        <v>0</v>
      </c>
      <c r="BI32" s="69" t="n">
        <f aca="false">SUM(BI28:BI31)</f>
        <v>0</v>
      </c>
      <c r="BJ32" s="69" t="n">
        <f aca="false">SUM(B32:BI32)</f>
        <v>339127.82</v>
      </c>
    </row>
    <row r="34" customFormat="false" ht="18" hidden="false" customHeight="true" outlineLevel="0" collapsed="false">
      <c r="A34" s="10" t="s">
        <v>390</v>
      </c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  <c r="AE34" s="11"/>
      <c r="AF34" s="11"/>
      <c r="AG34" s="11"/>
      <c r="AH34" s="11"/>
      <c r="AI34" s="11"/>
      <c r="AJ34" s="11"/>
      <c r="AK34" s="11"/>
      <c r="AL34" s="11"/>
      <c r="AM34" s="11"/>
      <c r="AN34" s="11"/>
      <c r="AO34" s="11"/>
      <c r="AP34" s="11"/>
      <c r="AQ34" s="11"/>
      <c r="AR34" s="11"/>
      <c r="AS34" s="11"/>
      <c r="AT34" s="11"/>
      <c r="AU34" s="11"/>
      <c r="AV34" s="11"/>
      <c r="AW34" s="11"/>
      <c r="AX34" s="11"/>
      <c r="AY34" s="11"/>
      <c r="AZ34" s="11"/>
      <c r="BA34" s="11"/>
      <c r="BB34" s="11"/>
      <c r="BC34" s="11"/>
      <c r="BD34" s="11"/>
      <c r="BE34" s="11"/>
      <c r="BF34" s="11"/>
      <c r="BG34" s="11"/>
      <c r="BH34" s="11"/>
      <c r="BI34" s="11"/>
      <c r="BJ34" s="11"/>
      <c r="BK34" s="11"/>
    </row>
    <row r="35" customFormat="false" ht="15" hidden="false" customHeight="false" outlineLevel="0" collapsed="false">
      <c r="A35" s="12" t="s">
        <v>391</v>
      </c>
      <c r="B35" s="39" t="n">
        <v>60</v>
      </c>
      <c r="D35" s="14" t="s">
        <v>392</v>
      </c>
    </row>
    <row r="36" customFormat="false" ht="15" hidden="false" customHeight="false" outlineLevel="0" collapsed="false">
      <c r="A36" s="12" t="s">
        <v>393</v>
      </c>
      <c r="B36" s="74" t="n">
        <f aca="false">SUM($B32:B32)</f>
        <v>0</v>
      </c>
      <c r="C36" s="74" t="n">
        <f aca="false">SUM($B32:C32)</f>
        <v>0</v>
      </c>
      <c r="D36" s="74" t="n">
        <f aca="false">SUM($B32:D32)</f>
        <v>0</v>
      </c>
      <c r="E36" s="74" t="n">
        <f aca="false">SUM($B32:E32)</f>
        <v>0</v>
      </c>
      <c r="F36" s="74" t="n">
        <f aca="false">SUM($B32:F32)</f>
        <v>6000</v>
      </c>
      <c r="G36" s="74" t="n">
        <f aca="false">SUM($B32:G32)</f>
        <v>6000</v>
      </c>
      <c r="H36" s="74" t="n">
        <f aca="false">SUM($B32:H32)</f>
        <v>6000</v>
      </c>
      <c r="I36" s="74" t="n">
        <f aca="false">SUM($B32:I32)</f>
        <v>22127.82</v>
      </c>
      <c r="J36" s="74" t="n">
        <f aca="false">SUM($B32:J32)</f>
        <v>29127.82</v>
      </c>
      <c r="K36" s="74" t="n">
        <f aca="false">SUM($B32:K32)</f>
        <v>36127.82</v>
      </c>
      <c r="L36" s="74" t="n">
        <f aca="false">SUM($B32:L32)</f>
        <v>36127.82</v>
      </c>
      <c r="M36" s="74" t="n">
        <f aca="false">SUM($B32:M32)</f>
        <v>36127.82</v>
      </c>
      <c r="N36" s="74" t="n">
        <f aca="false">SUM($B32:N32)</f>
        <v>51127.82</v>
      </c>
      <c r="O36" s="74" t="n">
        <f aca="false">SUM($B32:O32)</f>
        <v>51127.82</v>
      </c>
      <c r="P36" s="74" t="n">
        <f aca="false">SUM($B32:P32)</f>
        <v>63127.82</v>
      </c>
      <c r="Q36" s="74" t="n">
        <f aca="false">SUM($B32:Q32)</f>
        <v>63127.82</v>
      </c>
      <c r="R36" s="74" t="n">
        <f aca="false">SUM($B32:R32)</f>
        <v>63127.82</v>
      </c>
      <c r="S36" s="74" t="n">
        <f aca="false">SUM($B32:S32)</f>
        <v>69127.82</v>
      </c>
      <c r="T36" s="74" t="n">
        <f aca="false">SUM($B32:T32)</f>
        <v>94127.82</v>
      </c>
      <c r="U36" s="74" t="n">
        <f aca="false">SUM($B32:U32)</f>
        <v>94127.82</v>
      </c>
      <c r="V36" s="74" t="n">
        <f aca="false">SUM($B32:V32)</f>
        <v>94127.82</v>
      </c>
      <c r="W36" s="74" t="n">
        <f aca="false">SUM($B32:W32)</f>
        <v>94127.82</v>
      </c>
      <c r="X36" s="74" t="n">
        <f aca="false">SUM($B32:X32)</f>
        <v>94127.82</v>
      </c>
      <c r="Y36" s="74" t="n">
        <f aca="false">SUM($B32:Y32)</f>
        <v>94127.82</v>
      </c>
      <c r="Z36" s="74" t="n">
        <f aca="false">SUM($B32:Z32)</f>
        <v>139127.82</v>
      </c>
      <c r="AA36" s="74" t="n">
        <f aca="false">SUM($B32:AA32)</f>
        <v>139127.82</v>
      </c>
      <c r="AB36" s="74" t="n">
        <f aca="false">SUM($B32:AB32)</f>
        <v>139127.82</v>
      </c>
      <c r="AC36" s="74" t="n">
        <f aca="false">SUM($B32:AC32)</f>
        <v>139127.82</v>
      </c>
      <c r="AD36" s="74" t="n">
        <f aca="false">SUM($B32:AD32)</f>
        <v>139127.82</v>
      </c>
      <c r="AE36" s="74" t="n">
        <f aca="false">SUM($B32:AE32)</f>
        <v>154127.82</v>
      </c>
      <c r="AF36" s="74" t="n">
        <f aca="false">SUM($B32:AF32)</f>
        <v>154127.82</v>
      </c>
      <c r="AG36" s="74" t="n">
        <f aca="false">SUM($B32:AG32)</f>
        <v>154127.82</v>
      </c>
      <c r="AH36" s="74" t="n">
        <f aca="false">SUM($B32:AH32)</f>
        <v>154127.82</v>
      </c>
      <c r="AI36" s="74" t="n">
        <f aca="false">SUM($B32:AI32)</f>
        <v>154127.82</v>
      </c>
      <c r="AJ36" s="74" t="n">
        <f aca="false">SUM($B32:AJ32)</f>
        <v>154127.82</v>
      </c>
      <c r="AK36" s="74" t="n">
        <f aca="false">SUM($B32:AK32)</f>
        <v>154127.82</v>
      </c>
      <c r="AL36" s="74" t="n">
        <f aca="false">SUM($B32:AL32)</f>
        <v>214127.82</v>
      </c>
      <c r="AM36" s="74" t="n">
        <f aca="false">SUM($B32:AM32)</f>
        <v>214127.82</v>
      </c>
      <c r="AN36" s="74" t="n">
        <f aca="false">SUM($B32:AN32)</f>
        <v>214127.82</v>
      </c>
      <c r="AO36" s="74" t="n">
        <f aca="false">SUM($B32:AO32)</f>
        <v>214127.82</v>
      </c>
      <c r="AP36" s="74" t="n">
        <f aca="false">SUM($B32:AP32)</f>
        <v>214127.82</v>
      </c>
      <c r="AQ36" s="74" t="n">
        <f aca="false">SUM($B32:AQ32)</f>
        <v>239127.82</v>
      </c>
      <c r="AR36" s="74" t="n">
        <f aca="false">SUM($B32:AR32)</f>
        <v>239127.82</v>
      </c>
      <c r="AS36" s="74" t="n">
        <f aca="false">SUM($B32:AS32)</f>
        <v>239127.82</v>
      </c>
      <c r="AT36" s="74" t="n">
        <f aca="false">SUM($B32:AT32)</f>
        <v>239127.82</v>
      </c>
      <c r="AU36" s="74" t="n">
        <f aca="false">SUM($B32:AU32)</f>
        <v>239127.82</v>
      </c>
      <c r="AV36" s="74" t="n">
        <f aca="false">SUM($B32:AV32)</f>
        <v>239127.82</v>
      </c>
      <c r="AW36" s="74" t="n">
        <f aca="false">SUM($B32:AW32)</f>
        <v>239127.82</v>
      </c>
      <c r="AX36" s="74" t="n">
        <f aca="false">SUM($B32:AX32)</f>
        <v>309127.82</v>
      </c>
      <c r="AY36" s="74" t="n">
        <f aca="false">SUM($B32:AY32)</f>
        <v>309127.82</v>
      </c>
      <c r="AZ36" s="74" t="n">
        <f aca="false">SUM($B32:AZ32)</f>
        <v>309127.82</v>
      </c>
      <c r="BA36" s="74" t="n">
        <f aca="false">SUM($B32:BA32)</f>
        <v>309127.82</v>
      </c>
      <c r="BB36" s="74" t="n">
        <f aca="false">SUM($B32:BB32)</f>
        <v>309127.82</v>
      </c>
      <c r="BC36" s="74" t="n">
        <f aca="false">SUM($B32:BC32)</f>
        <v>339127.82</v>
      </c>
      <c r="BD36" s="74" t="n">
        <f aca="false">SUM($B32:BD32)</f>
        <v>339127.82</v>
      </c>
      <c r="BE36" s="74" t="n">
        <f aca="false">SUM($B32:BE32)</f>
        <v>339127.82</v>
      </c>
      <c r="BF36" s="74" t="n">
        <f aca="false">SUM($B32:BF32)</f>
        <v>339127.82</v>
      </c>
      <c r="BG36" s="74" t="n">
        <f aca="false">SUM($B32:BG32)</f>
        <v>339127.82</v>
      </c>
      <c r="BH36" s="74" t="n">
        <f aca="false">SUM($B32:BH32)</f>
        <v>339127.82</v>
      </c>
      <c r="BI36" s="74" t="n">
        <f aca="false">SUM($B32:BI32)</f>
        <v>339127.82</v>
      </c>
      <c r="BJ36" s="69" t="n">
        <f aca="false">SUM(B36:BI36)</f>
        <v>9541774.46</v>
      </c>
    </row>
    <row r="37" customFormat="false" ht="15" hidden="false" customHeight="false" outlineLevel="0" collapsed="false">
      <c r="A37" s="16" t="s">
        <v>394</v>
      </c>
      <c r="B37" s="75" t="n">
        <f aca="false">0</f>
        <v>0</v>
      </c>
      <c r="C37" s="75" t="n">
        <f aca="false">B36/$B$35</f>
        <v>0</v>
      </c>
      <c r="D37" s="75" t="n">
        <f aca="false">C36/$B$35</f>
        <v>0</v>
      </c>
      <c r="E37" s="75" t="n">
        <f aca="false">D36/$B$35</f>
        <v>0</v>
      </c>
      <c r="F37" s="75" t="n">
        <f aca="false">E36/$B$35</f>
        <v>0</v>
      </c>
      <c r="G37" s="75" t="n">
        <f aca="false">F36/$B$35</f>
        <v>100</v>
      </c>
      <c r="H37" s="75" t="n">
        <f aca="false">G36/$B$35</f>
        <v>100</v>
      </c>
      <c r="I37" s="75" t="n">
        <f aca="false">H36/$B$35</f>
        <v>100</v>
      </c>
      <c r="J37" s="75" t="n">
        <f aca="false">I36/$B$35</f>
        <v>368.797</v>
      </c>
      <c r="K37" s="75" t="n">
        <f aca="false">J36/$B$35</f>
        <v>485.463666666667</v>
      </c>
      <c r="L37" s="75" t="n">
        <f aca="false">K36/$B$35</f>
        <v>602.130333333333</v>
      </c>
      <c r="M37" s="75" t="n">
        <f aca="false">L36/$B$35</f>
        <v>602.130333333333</v>
      </c>
      <c r="N37" s="75" t="n">
        <f aca="false">M36/$B$35</f>
        <v>602.130333333333</v>
      </c>
      <c r="O37" s="75" t="n">
        <f aca="false">N36/$B$35</f>
        <v>852.130333333333</v>
      </c>
      <c r="P37" s="75" t="n">
        <f aca="false">O36/$B$35</f>
        <v>852.130333333333</v>
      </c>
      <c r="Q37" s="75" t="n">
        <f aca="false">P36/$B$35</f>
        <v>1052.13033333333</v>
      </c>
      <c r="R37" s="75" t="n">
        <f aca="false">Q36/$B$35</f>
        <v>1052.13033333333</v>
      </c>
      <c r="S37" s="75" t="n">
        <f aca="false">R36/$B$35</f>
        <v>1052.13033333333</v>
      </c>
      <c r="T37" s="75" t="n">
        <f aca="false">S36/$B$35</f>
        <v>1152.13033333333</v>
      </c>
      <c r="U37" s="75" t="n">
        <f aca="false">T36/$B$35</f>
        <v>1568.797</v>
      </c>
      <c r="V37" s="75" t="n">
        <f aca="false">U36/$B$35</f>
        <v>1568.797</v>
      </c>
      <c r="W37" s="75" t="n">
        <f aca="false">V36/$B$35</f>
        <v>1568.797</v>
      </c>
      <c r="X37" s="75" t="n">
        <f aca="false">W36/$B$35</f>
        <v>1568.797</v>
      </c>
      <c r="Y37" s="75" t="n">
        <f aca="false">X36/$B$35</f>
        <v>1568.797</v>
      </c>
      <c r="Z37" s="75" t="n">
        <f aca="false">Y36/$B$35</f>
        <v>1568.797</v>
      </c>
      <c r="AA37" s="75" t="n">
        <f aca="false">Z36/$B$35</f>
        <v>2318.797</v>
      </c>
      <c r="AB37" s="75" t="n">
        <f aca="false">AA36/$B$35</f>
        <v>2318.797</v>
      </c>
      <c r="AC37" s="75" t="n">
        <f aca="false">AB36/$B$35</f>
        <v>2318.797</v>
      </c>
      <c r="AD37" s="75" t="n">
        <f aca="false">AC36/$B$35</f>
        <v>2318.797</v>
      </c>
      <c r="AE37" s="75" t="n">
        <f aca="false">AD36/$B$35</f>
        <v>2318.797</v>
      </c>
      <c r="AF37" s="75" t="n">
        <f aca="false">AE36/$B$35</f>
        <v>2568.797</v>
      </c>
      <c r="AG37" s="75" t="n">
        <f aca="false">AF36/$B$35</f>
        <v>2568.797</v>
      </c>
      <c r="AH37" s="75" t="n">
        <f aca="false">AG36/$B$35</f>
        <v>2568.797</v>
      </c>
      <c r="AI37" s="75" t="n">
        <f aca="false">AH36/$B$35</f>
        <v>2568.797</v>
      </c>
      <c r="AJ37" s="75" t="n">
        <f aca="false">AI36/$B$35</f>
        <v>2568.797</v>
      </c>
      <c r="AK37" s="75" t="n">
        <f aca="false">AJ36/$B$35</f>
        <v>2568.797</v>
      </c>
      <c r="AL37" s="75" t="n">
        <f aca="false">AK36/$B$35</f>
        <v>2568.797</v>
      </c>
      <c r="AM37" s="75" t="n">
        <f aca="false">AL36/$B$35</f>
        <v>3568.797</v>
      </c>
      <c r="AN37" s="75" t="n">
        <f aca="false">AM36/$B$35</f>
        <v>3568.797</v>
      </c>
      <c r="AO37" s="75" t="n">
        <f aca="false">AN36/$B$35</f>
        <v>3568.797</v>
      </c>
      <c r="AP37" s="75" t="n">
        <f aca="false">AO36/$B$35</f>
        <v>3568.797</v>
      </c>
      <c r="AQ37" s="75" t="n">
        <f aca="false">AP36/$B$35</f>
        <v>3568.797</v>
      </c>
      <c r="AR37" s="75" t="n">
        <f aca="false">AQ36/$B$35</f>
        <v>3985.46366666667</v>
      </c>
      <c r="AS37" s="75" t="n">
        <f aca="false">AR36/$B$35</f>
        <v>3985.46366666667</v>
      </c>
      <c r="AT37" s="75" t="n">
        <f aca="false">AS36/$B$35</f>
        <v>3985.46366666667</v>
      </c>
      <c r="AU37" s="75" t="n">
        <f aca="false">AT36/$B$35</f>
        <v>3985.46366666667</v>
      </c>
      <c r="AV37" s="75" t="n">
        <f aca="false">AU36/$B$35</f>
        <v>3985.46366666667</v>
      </c>
      <c r="AW37" s="75" t="n">
        <f aca="false">AV36/$B$35</f>
        <v>3985.46366666667</v>
      </c>
      <c r="AX37" s="75" t="n">
        <f aca="false">AW36/$B$35</f>
        <v>3985.46366666667</v>
      </c>
      <c r="AY37" s="75" t="n">
        <f aca="false">AX36/$B$35</f>
        <v>5152.13033333333</v>
      </c>
      <c r="AZ37" s="75" t="n">
        <f aca="false">AY36/$B$35</f>
        <v>5152.13033333333</v>
      </c>
      <c r="BA37" s="75" t="n">
        <f aca="false">AZ36/$B$35</f>
        <v>5152.13033333333</v>
      </c>
      <c r="BB37" s="75" t="n">
        <f aca="false">BA36/$B$35</f>
        <v>5152.13033333333</v>
      </c>
      <c r="BC37" s="75" t="n">
        <f aca="false">BB36/$B$35</f>
        <v>5152.13033333333</v>
      </c>
      <c r="BD37" s="75" t="n">
        <f aca="false">BC36/$B$35</f>
        <v>5652.13033333333</v>
      </c>
      <c r="BE37" s="75" t="n">
        <f aca="false">BD36/$B$35</f>
        <v>5652.13033333333</v>
      </c>
      <c r="BF37" s="75" t="n">
        <f aca="false">BE36/$B$35</f>
        <v>5652.13033333333</v>
      </c>
      <c r="BG37" s="75" t="n">
        <f aca="false">BF36/$B$35</f>
        <v>5652.13033333333</v>
      </c>
      <c r="BH37" s="75" t="n">
        <f aca="false">BG36/$B$35</f>
        <v>5652.13033333333</v>
      </c>
      <c r="BI37" s="75" t="n">
        <f aca="false">BH36/$B$35</f>
        <v>5652.13033333333</v>
      </c>
      <c r="BJ37" s="69" t="n">
        <f aca="false">SUM(B37:BI37)</f>
        <v>153377.444</v>
      </c>
      <c r="BK37" s="14" t="s">
        <v>395</v>
      </c>
    </row>
    <row r="38" customFormat="false" ht="15" hidden="false" customHeight="false" outlineLevel="0" collapsed="false">
      <c r="A38" s="76" t="s">
        <v>396</v>
      </c>
      <c r="B38" s="74" t="n">
        <f aca="false">B32</f>
        <v>0</v>
      </c>
      <c r="C38" s="74" t="n">
        <f aca="false">B38+C32-C37</f>
        <v>0</v>
      </c>
      <c r="D38" s="74" t="n">
        <f aca="false">C38+D32-D37</f>
        <v>0</v>
      </c>
      <c r="E38" s="74" t="n">
        <f aca="false">D38+E32-E37</f>
        <v>0</v>
      </c>
      <c r="F38" s="74" t="n">
        <f aca="false">E38+F32-F37</f>
        <v>6000</v>
      </c>
      <c r="G38" s="74" t="n">
        <f aca="false">F38+G32-G37</f>
        <v>5900</v>
      </c>
      <c r="H38" s="74" t="n">
        <f aca="false">G38+H32-H37</f>
        <v>5800</v>
      </c>
      <c r="I38" s="74" t="n">
        <f aca="false">H38+I32-I37</f>
        <v>21827.82</v>
      </c>
      <c r="J38" s="74" t="n">
        <f aca="false">I38+J32-J37</f>
        <v>28459.023</v>
      </c>
      <c r="K38" s="74" t="n">
        <f aca="false">J38+K32-K37</f>
        <v>34973.5593333333</v>
      </c>
      <c r="L38" s="74" t="n">
        <f aca="false">K38+L32-L37</f>
        <v>34371.429</v>
      </c>
      <c r="M38" s="74" t="n">
        <f aca="false">L38+M32-M37</f>
        <v>33769.2986666667</v>
      </c>
      <c r="N38" s="74" t="n">
        <f aca="false">M38+N32-N37</f>
        <v>48167.1683333333</v>
      </c>
      <c r="O38" s="74" t="n">
        <f aca="false">N38+O32-O37</f>
        <v>47315.038</v>
      </c>
      <c r="P38" s="74" t="n">
        <f aca="false">O38+P32-P37</f>
        <v>58462.9076666667</v>
      </c>
      <c r="Q38" s="74" t="n">
        <f aca="false">P38+Q32-Q37</f>
        <v>57410.7773333333</v>
      </c>
      <c r="R38" s="74" t="n">
        <f aca="false">Q38+R32-R37</f>
        <v>56358.647</v>
      </c>
      <c r="S38" s="74" t="n">
        <f aca="false">R38+S32-S37</f>
        <v>61306.5166666667</v>
      </c>
      <c r="T38" s="74" t="n">
        <f aca="false">S38+T32-T37</f>
        <v>85154.3863333333</v>
      </c>
      <c r="U38" s="74" t="n">
        <f aca="false">T38+U32-U37</f>
        <v>83585.5893333333</v>
      </c>
      <c r="V38" s="74" t="n">
        <f aca="false">U38+V32-V37</f>
        <v>82016.7923333333</v>
      </c>
      <c r="W38" s="74" t="n">
        <f aca="false">V38+W32-W37</f>
        <v>80447.9953333333</v>
      </c>
      <c r="X38" s="74" t="n">
        <f aca="false">W38+X32-X37</f>
        <v>78879.1983333333</v>
      </c>
      <c r="Y38" s="74" t="n">
        <f aca="false">X38+Y32-Y37</f>
        <v>77310.4013333333</v>
      </c>
      <c r="Z38" s="74" t="n">
        <f aca="false">Y38+Z32-Z37</f>
        <v>120741.604333333</v>
      </c>
      <c r="AA38" s="74" t="n">
        <f aca="false">Z38+AA32-AA37</f>
        <v>118422.807333333</v>
      </c>
      <c r="AB38" s="74" t="n">
        <f aca="false">AA38+AB32-AB37</f>
        <v>116104.010333333</v>
      </c>
      <c r="AC38" s="74" t="n">
        <f aca="false">AB38+AC32-AC37</f>
        <v>113785.213333333</v>
      </c>
      <c r="AD38" s="74" t="n">
        <f aca="false">AC38+AD32-AD37</f>
        <v>111466.416333333</v>
      </c>
      <c r="AE38" s="74" t="n">
        <f aca="false">AD38+AE32-AE37</f>
        <v>124147.619333333</v>
      </c>
      <c r="AF38" s="74" t="n">
        <f aca="false">AE38+AF32-AF37</f>
        <v>121578.822333333</v>
      </c>
      <c r="AG38" s="74" t="n">
        <f aca="false">AF38+AG32-AG37</f>
        <v>119010.025333333</v>
      </c>
      <c r="AH38" s="74" t="n">
        <f aca="false">AG38+AH32-AH37</f>
        <v>116441.228333333</v>
      </c>
      <c r="AI38" s="74" t="n">
        <f aca="false">AH38+AI32-AI37</f>
        <v>113872.431333333</v>
      </c>
      <c r="AJ38" s="74" t="n">
        <f aca="false">AI38+AJ32-AJ37</f>
        <v>111303.634333333</v>
      </c>
      <c r="AK38" s="74" t="n">
        <f aca="false">AJ38+AK32-AK37</f>
        <v>108734.837333333</v>
      </c>
      <c r="AL38" s="74" t="n">
        <f aca="false">AK38+AL32-AL37</f>
        <v>166166.040333333</v>
      </c>
      <c r="AM38" s="74" t="n">
        <f aca="false">AL38+AM32-AM37</f>
        <v>162597.243333333</v>
      </c>
      <c r="AN38" s="74" t="n">
        <f aca="false">AM38+AN32-AN37</f>
        <v>159028.446333333</v>
      </c>
      <c r="AO38" s="74" t="n">
        <f aca="false">AN38+AO32-AO37</f>
        <v>155459.649333333</v>
      </c>
      <c r="AP38" s="74" t="n">
        <f aca="false">AO38+AP32-AP37</f>
        <v>151890.852333333</v>
      </c>
      <c r="AQ38" s="74" t="n">
        <f aca="false">AP38+AQ32-AQ37</f>
        <v>173322.055333333</v>
      </c>
      <c r="AR38" s="74" t="n">
        <f aca="false">AQ38+AR32-AR37</f>
        <v>169336.591666667</v>
      </c>
      <c r="AS38" s="74" t="n">
        <f aca="false">AR38+AS32-AS37</f>
        <v>165351.128</v>
      </c>
      <c r="AT38" s="74" t="n">
        <f aca="false">AS38+AT32-AT37</f>
        <v>161365.664333333</v>
      </c>
      <c r="AU38" s="74" t="n">
        <f aca="false">AT38+AU32-AU37</f>
        <v>157380.200666667</v>
      </c>
      <c r="AV38" s="74" t="n">
        <f aca="false">AU38+AV32-AV37</f>
        <v>153394.737</v>
      </c>
      <c r="AW38" s="74" t="n">
        <f aca="false">AV38+AW32-AW37</f>
        <v>149409.273333333</v>
      </c>
      <c r="AX38" s="74" t="n">
        <f aca="false">AW38+AX32-AX37</f>
        <v>215423.809666667</v>
      </c>
      <c r="AY38" s="74" t="n">
        <f aca="false">AX38+AY32-AY37</f>
        <v>210271.679333333</v>
      </c>
      <c r="AZ38" s="74" t="n">
        <f aca="false">AY38+AZ32-AZ37</f>
        <v>205119.549</v>
      </c>
      <c r="BA38" s="74" t="n">
        <f aca="false">AZ38+BA32-BA37</f>
        <v>199967.418666667</v>
      </c>
      <c r="BB38" s="74" t="n">
        <f aca="false">BA38+BB32-BB37</f>
        <v>194815.288333333</v>
      </c>
      <c r="BC38" s="74" t="n">
        <f aca="false">BB38+BC32-BC37</f>
        <v>219663.158</v>
      </c>
      <c r="BD38" s="74" t="n">
        <f aca="false">BC38+BD32-BD37</f>
        <v>214011.027666667</v>
      </c>
      <c r="BE38" s="74" t="n">
        <f aca="false">BD38+BE32-BE37</f>
        <v>208358.897333333</v>
      </c>
      <c r="BF38" s="74" t="n">
        <f aca="false">BE38+BF32-BF37</f>
        <v>202706.767</v>
      </c>
      <c r="BG38" s="74" t="n">
        <f aca="false">BF38+BG32-BG37</f>
        <v>197054.636666667</v>
      </c>
      <c r="BH38" s="74" t="n">
        <f aca="false">BG38+BH32-BH37</f>
        <v>191402.506333333</v>
      </c>
      <c r="BI38" s="74" t="n">
        <f aca="false">BH38+BI32-BI37</f>
        <v>185750.376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BK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5" topLeftCell="B46" activePane="bottomRight" state="frozen"/>
      <selection pane="topLeft" activeCell="A1" activeCellId="0" sqref="A1"/>
      <selection pane="topRight" activeCell="B1" activeCellId="0" sqref="B1"/>
      <selection pane="bottomLeft" activeCell="A46" activeCellId="0" sqref="A4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24"/>
    <col collapsed="false" customWidth="true" hidden="false" outlineLevel="0" max="6" min="3" style="0" width="16"/>
    <col collapsed="false" customWidth="true" hidden="false" outlineLevel="0" max="61" min="7" style="0" width="11"/>
    <col collapsed="false" customWidth="true" hidden="false" outlineLevel="0" max="62" min="62" style="0" width="15"/>
    <col collapsed="false" customWidth="true" hidden="false" outlineLevel="0" max="63" min="63" style="0" width="34"/>
  </cols>
  <sheetData>
    <row r="1" customFormat="false" ht="25.5" hidden="false" customHeight="true" outlineLevel="0" collapsed="false">
      <c r="A1" s="1" t="s">
        <v>397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</row>
    <row r="2" customFormat="false" ht="15.75" hidden="false" customHeight="true" outlineLevel="0" collapsed="false">
      <c r="A2" s="3" t="s">
        <v>398</v>
      </c>
    </row>
    <row r="4" customFormat="false" ht="18" hidden="false" customHeight="true" outlineLevel="0" collapsed="false">
      <c r="A4" s="10" t="s">
        <v>399</v>
      </c>
      <c r="B4" s="11"/>
      <c r="C4" s="11"/>
      <c r="D4" s="11"/>
      <c r="E4" s="11"/>
      <c r="F4" s="11"/>
    </row>
    <row r="5" customFormat="false" ht="15" hidden="false" customHeight="false" outlineLevel="0" collapsed="false">
      <c r="A5" s="114" t="s">
        <v>364</v>
      </c>
      <c r="B5" s="114" t="s">
        <v>400</v>
      </c>
      <c r="C5" s="114" t="s">
        <v>367</v>
      </c>
      <c r="D5" s="114" t="s">
        <v>368</v>
      </c>
      <c r="E5" s="114" t="s">
        <v>401</v>
      </c>
    </row>
    <row r="6" customFormat="false" ht="15" hidden="false" customHeight="false" outlineLevel="0" collapsed="false">
      <c r="A6" s="125" t="n">
        <v>46128</v>
      </c>
      <c r="B6" s="120" t="s">
        <v>402</v>
      </c>
      <c r="C6" s="126" t="n">
        <v>10000</v>
      </c>
      <c r="D6" s="127" t="s">
        <v>373</v>
      </c>
      <c r="E6" s="127" t="s">
        <v>403</v>
      </c>
    </row>
    <row r="7" customFormat="false" ht="15" hidden="false" customHeight="false" outlineLevel="0" collapsed="false">
      <c r="A7" s="125" t="n">
        <v>46207</v>
      </c>
      <c r="B7" s="120" t="s">
        <v>404</v>
      </c>
      <c r="C7" s="126" t="n">
        <v>5000</v>
      </c>
      <c r="D7" s="127" t="s">
        <v>373</v>
      </c>
      <c r="E7" s="127" t="s">
        <v>403</v>
      </c>
    </row>
    <row r="8" customFormat="false" ht="15" hidden="false" customHeight="false" outlineLevel="0" collapsed="false">
      <c r="A8" s="125" t="n">
        <v>46254</v>
      </c>
      <c r="B8" s="120" t="s">
        <v>402</v>
      </c>
      <c r="C8" s="126" t="n">
        <v>10000</v>
      </c>
      <c r="D8" s="127" t="s">
        <v>373</v>
      </c>
      <c r="E8" s="127" t="s">
        <v>403</v>
      </c>
    </row>
    <row r="9" customFormat="false" ht="15" hidden="false" customHeight="false" outlineLevel="0" collapsed="false">
      <c r="A9" s="125" t="n">
        <v>46254</v>
      </c>
      <c r="B9" s="120" t="s">
        <v>405</v>
      </c>
      <c r="C9" s="126" t="n">
        <v>3000</v>
      </c>
      <c r="D9" s="127" t="s">
        <v>373</v>
      </c>
      <c r="E9" s="127" t="s">
        <v>403</v>
      </c>
    </row>
    <row r="10" customFormat="false" ht="15" hidden="false" customHeight="false" outlineLevel="0" collapsed="false">
      <c r="A10" s="125" t="n">
        <v>46254</v>
      </c>
      <c r="B10" s="120" t="s">
        <v>406</v>
      </c>
      <c r="C10" s="126" t="n">
        <v>2000</v>
      </c>
      <c r="D10" s="127" t="s">
        <v>373</v>
      </c>
      <c r="E10" s="127" t="s">
        <v>403</v>
      </c>
    </row>
    <row r="11" customFormat="false" ht="15" hidden="false" customHeight="false" outlineLevel="0" collapsed="false">
      <c r="A11" s="125" t="n">
        <v>46263</v>
      </c>
      <c r="B11" s="120" t="s">
        <v>406</v>
      </c>
      <c r="C11" s="126" t="n">
        <v>3000</v>
      </c>
      <c r="D11" s="127" t="s">
        <v>373</v>
      </c>
      <c r="E11" s="127" t="s">
        <v>403</v>
      </c>
    </row>
    <row r="12" customFormat="false" ht="15" hidden="false" customHeight="false" outlineLevel="0" collapsed="false">
      <c r="A12" s="128" t="n">
        <v>46310</v>
      </c>
      <c r="B12" s="129" t="s">
        <v>407</v>
      </c>
      <c r="C12" s="130" t="n">
        <v>40000</v>
      </c>
      <c r="D12" s="131" t="s">
        <v>371</v>
      </c>
      <c r="E12" s="131" t="s">
        <v>408</v>
      </c>
    </row>
    <row r="13" customFormat="false" ht="15" hidden="false" customHeight="false" outlineLevel="0" collapsed="false">
      <c r="A13" s="128" t="n">
        <v>46310</v>
      </c>
      <c r="B13" s="129" t="s">
        <v>409</v>
      </c>
      <c r="C13" s="130" t="n">
        <v>40000</v>
      </c>
      <c r="D13" s="131" t="s">
        <v>371</v>
      </c>
      <c r="E13" s="131" t="s">
        <v>408</v>
      </c>
    </row>
    <row r="14" customFormat="false" ht="15" hidden="false" customHeight="false" outlineLevel="0" collapsed="false">
      <c r="A14" s="128" t="n">
        <v>46341</v>
      </c>
      <c r="B14" s="129" t="s">
        <v>410</v>
      </c>
      <c r="C14" s="130" t="n">
        <v>40000</v>
      </c>
      <c r="D14" s="131" t="s">
        <v>371</v>
      </c>
      <c r="E14" s="131" t="s">
        <v>408</v>
      </c>
    </row>
    <row r="15" customFormat="false" ht="15" hidden="false" customHeight="false" outlineLevel="0" collapsed="false">
      <c r="A15" s="132" t="n">
        <v>46371</v>
      </c>
      <c r="B15" s="116" t="s">
        <v>404</v>
      </c>
      <c r="C15" s="133" t="n">
        <v>5000</v>
      </c>
      <c r="D15" s="134" t="s">
        <v>411</v>
      </c>
      <c r="E15" s="134" t="s">
        <v>403</v>
      </c>
    </row>
    <row r="16" customFormat="false" ht="15" hidden="false" customHeight="false" outlineLevel="0" collapsed="false">
      <c r="A16" s="132" t="n">
        <v>46371</v>
      </c>
      <c r="B16" s="116" t="s">
        <v>405</v>
      </c>
      <c r="C16" s="133" t="n">
        <v>7000</v>
      </c>
      <c r="D16" s="134" t="s">
        <v>411</v>
      </c>
      <c r="E16" s="134" t="s">
        <v>403</v>
      </c>
    </row>
    <row r="17" customFormat="false" ht="15" hidden="false" customHeight="false" outlineLevel="0" collapsed="false">
      <c r="A17" s="132" t="n">
        <v>46371</v>
      </c>
      <c r="B17" s="116" t="s">
        <v>406</v>
      </c>
      <c r="C17" s="133" t="n">
        <v>5000</v>
      </c>
      <c r="D17" s="134" t="s">
        <v>411</v>
      </c>
      <c r="E17" s="134" t="s">
        <v>403</v>
      </c>
    </row>
    <row r="18" customFormat="false" ht="15" hidden="false" customHeight="false" outlineLevel="0" collapsed="false">
      <c r="A18" s="132" t="n">
        <v>46553</v>
      </c>
      <c r="B18" s="116" t="s">
        <v>404</v>
      </c>
      <c r="C18" s="133" t="n">
        <v>5000</v>
      </c>
      <c r="D18" s="134" t="s">
        <v>411</v>
      </c>
      <c r="E18" s="134" t="s">
        <v>403</v>
      </c>
    </row>
    <row r="19" customFormat="false" ht="15" hidden="false" customHeight="false" outlineLevel="0" collapsed="false">
      <c r="A19" s="132" t="n">
        <v>46553</v>
      </c>
      <c r="B19" s="116" t="s">
        <v>405</v>
      </c>
      <c r="C19" s="133" t="n">
        <v>5000</v>
      </c>
      <c r="D19" s="134" t="s">
        <v>411</v>
      </c>
      <c r="E19" s="134" t="s">
        <v>403</v>
      </c>
    </row>
    <row r="20" customFormat="false" ht="15" hidden="false" customHeight="false" outlineLevel="0" collapsed="false">
      <c r="A20" s="132" t="n">
        <v>46553</v>
      </c>
      <c r="B20" s="116" t="s">
        <v>406</v>
      </c>
      <c r="C20" s="133" t="n">
        <v>5000</v>
      </c>
      <c r="D20" s="134" t="s">
        <v>411</v>
      </c>
      <c r="E20" s="134" t="s">
        <v>403</v>
      </c>
    </row>
    <row r="21" customFormat="false" ht="15" hidden="false" customHeight="false" outlineLevel="0" collapsed="false">
      <c r="A21" s="132" t="n">
        <v>46736</v>
      </c>
      <c r="B21" s="116" t="s">
        <v>404</v>
      </c>
      <c r="C21" s="133" t="n">
        <v>5000</v>
      </c>
      <c r="D21" s="134" t="s">
        <v>411</v>
      </c>
      <c r="E21" s="134" t="s">
        <v>403</v>
      </c>
    </row>
    <row r="22" customFormat="false" ht="15" hidden="false" customHeight="false" outlineLevel="0" collapsed="false">
      <c r="A22" s="132" t="n">
        <v>46736</v>
      </c>
      <c r="B22" s="116" t="s">
        <v>405</v>
      </c>
      <c r="C22" s="133" t="n">
        <v>5000</v>
      </c>
      <c r="D22" s="134" t="s">
        <v>411</v>
      </c>
      <c r="E22" s="134" t="s">
        <v>403</v>
      </c>
    </row>
    <row r="23" customFormat="false" ht="15" hidden="false" customHeight="false" outlineLevel="0" collapsed="false">
      <c r="A23" s="132" t="n">
        <v>46736</v>
      </c>
      <c r="B23" s="116" t="s">
        <v>406</v>
      </c>
      <c r="C23" s="133" t="n">
        <v>5000</v>
      </c>
      <c r="D23" s="134" t="s">
        <v>411</v>
      </c>
      <c r="E23" s="134" t="s">
        <v>403</v>
      </c>
    </row>
    <row r="24" customFormat="false" ht="15" hidden="false" customHeight="false" outlineLevel="0" collapsed="false">
      <c r="B24" s="123" t="s">
        <v>190</v>
      </c>
      <c r="C24" s="135" t="n">
        <f aca="false">SUM(C6:C23)</f>
        <v>200000</v>
      </c>
    </row>
    <row r="26" customFormat="false" ht="18" hidden="false" customHeight="true" outlineLevel="0" collapsed="false">
      <c r="A26" s="10" t="s">
        <v>412</v>
      </c>
      <c r="B26" s="11"/>
      <c r="C26" s="11"/>
      <c r="D26" s="11"/>
      <c r="E26" s="11"/>
      <c r="F26" s="11"/>
    </row>
    <row r="27" customFormat="false" ht="15" hidden="false" customHeight="false" outlineLevel="0" collapsed="false">
      <c r="B27" s="136" t="s">
        <v>413</v>
      </c>
      <c r="C27" s="75" t="n">
        <f aca="false">SUMIFS($C$6:$C$23,$D$6:$D$23,"Realizado")</f>
        <v>33000</v>
      </c>
    </row>
    <row r="28" customFormat="false" ht="15" hidden="false" customHeight="false" outlineLevel="0" collapsed="false">
      <c r="B28" s="136" t="s">
        <v>414</v>
      </c>
      <c r="C28" s="75" t="n">
        <f aca="false">SUMIFS($C$6:$C$23,$D$6:$D$23,"Compromisso")</f>
        <v>47000</v>
      </c>
    </row>
    <row r="29" customFormat="false" ht="15" hidden="false" customHeight="false" outlineLevel="0" collapsed="false">
      <c r="B29" s="136" t="s">
        <v>415</v>
      </c>
      <c r="C29" s="75" t="n">
        <f aca="false">SUMIFS($C$6:$C$23,$D$6:$D$23,"Previsto")</f>
        <v>120000</v>
      </c>
    </row>
    <row r="30" customFormat="false" ht="15" hidden="false" customHeight="false" outlineLevel="0" collapsed="false">
      <c r="B30" s="123" t="s">
        <v>416</v>
      </c>
      <c r="C30" s="135" t="n">
        <f aca="false">SUM(C6:C23)</f>
        <v>200000</v>
      </c>
    </row>
    <row r="31" customFormat="false" ht="15" hidden="false" customHeight="false" outlineLevel="0" collapsed="false">
      <c r="B31" s="137" t="s">
        <v>417</v>
      </c>
      <c r="C31" s="68" t="n">
        <f aca="false">Premissas!$B$80*Premissas!$B$81</f>
        <v>0</v>
      </c>
    </row>
    <row r="33" customFormat="false" ht="18" hidden="false" customHeight="true" outlineLevel="0" collapsed="false">
      <c r="A33" s="10" t="s">
        <v>418</v>
      </c>
      <c r="B33" s="11"/>
      <c r="C33" s="11"/>
      <c r="D33" s="11"/>
      <c r="E33" s="11"/>
      <c r="F33" s="11"/>
    </row>
    <row r="34" customFormat="false" ht="15" hidden="false" customHeight="false" outlineLevel="0" collapsed="false">
      <c r="A34" s="138" t="s">
        <v>403</v>
      </c>
      <c r="B34" s="138" t="s">
        <v>419</v>
      </c>
      <c r="C34" s="138" t="s">
        <v>420</v>
      </c>
      <c r="D34" s="138" t="s">
        <v>421</v>
      </c>
      <c r="E34" s="138" t="s">
        <v>422</v>
      </c>
      <c r="F34" s="138" t="s">
        <v>423</v>
      </c>
    </row>
    <row r="35" customFormat="false" ht="15" hidden="false" customHeight="false" outlineLevel="0" collapsed="false">
      <c r="A35" s="139" t="s">
        <v>402</v>
      </c>
      <c r="B35" s="140" t="n">
        <v>20000</v>
      </c>
      <c r="C35" s="141" t="n">
        <f aca="false">SUMIFS($C$6:$C$23,$B$6:$B$23,$A35,$A$6:$A$23,"&lt;="&amp;DATE(2026,12,31))</f>
        <v>20000</v>
      </c>
      <c r="D35" s="141" t="n">
        <f aca="false">SUMIFS($C$6:$C$23,$B$6:$B$23,$A35)</f>
        <v>20000</v>
      </c>
      <c r="E35" s="141" t="n">
        <f aca="false">MAX(0,10000-$C35)</f>
        <v>0</v>
      </c>
      <c r="F35" s="141" t="n">
        <f aca="false">MAX(0,$B35-$D35)</f>
        <v>0</v>
      </c>
      <c r="H35" s="14" t="s">
        <v>424</v>
      </c>
    </row>
    <row r="36" customFormat="false" ht="15" hidden="false" customHeight="false" outlineLevel="0" collapsed="false">
      <c r="A36" s="139" t="s">
        <v>404</v>
      </c>
      <c r="B36" s="140" t="n">
        <v>20000</v>
      </c>
      <c r="C36" s="141" t="n">
        <f aca="false">SUMIFS($C$6:$C$23,$B$6:$B$23,$A36,$A$6:$A$23,"&lt;="&amp;DATE(2026,12,31))</f>
        <v>10000</v>
      </c>
      <c r="D36" s="141" t="n">
        <f aca="false">SUMIFS($C$6:$C$23,$B$6:$B$23,$A36)</f>
        <v>20000</v>
      </c>
      <c r="E36" s="141" t="n">
        <f aca="false">MAX(0,10000-$C36)</f>
        <v>0</v>
      </c>
      <c r="F36" s="141" t="n">
        <f aca="false">MAX(0,$B36-$D36)</f>
        <v>0</v>
      </c>
    </row>
    <row r="37" customFormat="false" ht="15" hidden="false" customHeight="false" outlineLevel="0" collapsed="false">
      <c r="A37" s="139" t="s">
        <v>405</v>
      </c>
      <c r="B37" s="140" t="n">
        <v>20000</v>
      </c>
      <c r="C37" s="141" t="n">
        <f aca="false">SUMIFS($C$6:$C$23,$B$6:$B$23,$A37,$A$6:$A$23,"&lt;="&amp;DATE(2026,12,31))</f>
        <v>10000</v>
      </c>
      <c r="D37" s="141" t="n">
        <f aca="false">SUMIFS($C$6:$C$23,$B$6:$B$23,$A37)</f>
        <v>20000</v>
      </c>
      <c r="E37" s="141" t="n">
        <f aca="false">MAX(0,10000-$C37)</f>
        <v>0</v>
      </c>
      <c r="F37" s="141" t="n">
        <f aca="false">MAX(0,$B37-$D37)</f>
        <v>0</v>
      </c>
    </row>
    <row r="38" customFormat="false" ht="15" hidden="false" customHeight="false" outlineLevel="0" collapsed="false">
      <c r="A38" s="139" t="s">
        <v>406</v>
      </c>
      <c r="B38" s="140" t="n">
        <v>20000</v>
      </c>
      <c r="C38" s="141" t="n">
        <f aca="false">SUMIFS($C$6:$C$23,$B$6:$B$23,$A38,$A$6:$A$23,"&lt;="&amp;DATE(2026,12,31))</f>
        <v>10000</v>
      </c>
      <c r="D38" s="141" t="n">
        <f aca="false">SUMIFS($C$6:$C$23,$B$6:$B$23,$A38)</f>
        <v>20000</v>
      </c>
      <c r="E38" s="141" t="n">
        <f aca="false">MAX(0,10000-$C38)</f>
        <v>0</v>
      </c>
      <c r="F38" s="141" t="n">
        <f aca="false">MAX(0,$B38-$D38)</f>
        <v>0</v>
      </c>
    </row>
    <row r="41" customFormat="false" ht="15" hidden="false" customHeight="false" outlineLevel="0" collapsed="false">
      <c r="A41" s="59" t="s">
        <v>189</v>
      </c>
      <c r="B41" s="60" t="n">
        <v>46023</v>
      </c>
      <c r="C41" s="60" t="n">
        <v>46054</v>
      </c>
      <c r="D41" s="60" t="n">
        <v>46082</v>
      </c>
      <c r="E41" s="60" t="n">
        <v>46113</v>
      </c>
      <c r="F41" s="60" t="n">
        <v>46143</v>
      </c>
      <c r="G41" s="60" t="n">
        <v>46174</v>
      </c>
      <c r="H41" s="60" t="n">
        <v>46204</v>
      </c>
      <c r="I41" s="60" t="n">
        <v>46235</v>
      </c>
      <c r="J41" s="60" t="n">
        <v>46266</v>
      </c>
      <c r="K41" s="60" t="n">
        <v>46296</v>
      </c>
      <c r="L41" s="60" t="n">
        <v>46327</v>
      </c>
      <c r="M41" s="60" t="n">
        <v>46357</v>
      </c>
      <c r="N41" s="60" t="n">
        <v>46388</v>
      </c>
      <c r="O41" s="60" t="n">
        <v>46419</v>
      </c>
      <c r="P41" s="60" t="n">
        <v>46447</v>
      </c>
      <c r="Q41" s="60" t="n">
        <v>46478</v>
      </c>
      <c r="R41" s="60" t="n">
        <v>46508</v>
      </c>
      <c r="S41" s="60" t="n">
        <v>46539</v>
      </c>
      <c r="T41" s="60" t="n">
        <v>46569</v>
      </c>
      <c r="U41" s="60" t="n">
        <v>46600</v>
      </c>
      <c r="V41" s="60" t="n">
        <v>46631</v>
      </c>
      <c r="W41" s="60" t="n">
        <v>46661</v>
      </c>
      <c r="X41" s="60" t="n">
        <v>46692</v>
      </c>
      <c r="Y41" s="60" t="n">
        <v>46722</v>
      </c>
      <c r="Z41" s="60" t="n">
        <v>46753</v>
      </c>
      <c r="AA41" s="60" t="n">
        <v>46784</v>
      </c>
      <c r="AB41" s="60" t="n">
        <v>46813</v>
      </c>
      <c r="AC41" s="60" t="n">
        <v>46844</v>
      </c>
      <c r="AD41" s="60" t="n">
        <v>46874</v>
      </c>
      <c r="AE41" s="60" t="n">
        <v>46905</v>
      </c>
      <c r="AF41" s="60" t="n">
        <v>46935</v>
      </c>
      <c r="AG41" s="60" t="n">
        <v>46966</v>
      </c>
      <c r="AH41" s="60" t="n">
        <v>46997</v>
      </c>
      <c r="AI41" s="60" t="n">
        <v>47027</v>
      </c>
      <c r="AJ41" s="60" t="n">
        <v>47058</v>
      </c>
      <c r="AK41" s="60" t="n">
        <v>47088</v>
      </c>
      <c r="AL41" s="60" t="n">
        <v>47119</v>
      </c>
      <c r="AM41" s="60" t="n">
        <v>47150</v>
      </c>
      <c r="AN41" s="60" t="n">
        <v>47178</v>
      </c>
      <c r="AO41" s="60" t="n">
        <v>47209</v>
      </c>
      <c r="AP41" s="60" t="n">
        <v>47239</v>
      </c>
      <c r="AQ41" s="60" t="n">
        <v>47270</v>
      </c>
      <c r="AR41" s="60" t="n">
        <v>47300</v>
      </c>
      <c r="AS41" s="60" t="n">
        <v>47331</v>
      </c>
      <c r="AT41" s="60" t="n">
        <v>47362</v>
      </c>
      <c r="AU41" s="60" t="n">
        <v>47392</v>
      </c>
      <c r="AV41" s="60" t="n">
        <v>47423</v>
      </c>
      <c r="AW41" s="60" t="n">
        <v>47453</v>
      </c>
      <c r="AX41" s="60" t="n">
        <v>47484</v>
      </c>
      <c r="AY41" s="60" t="n">
        <v>47515</v>
      </c>
      <c r="AZ41" s="60" t="n">
        <v>47543</v>
      </c>
      <c r="BA41" s="60" t="n">
        <v>47574</v>
      </c>
      <c r="BB41" s="60" t="n">
        <v>47604</v>
      </c>
      <c r="BC41" s="60" t="n">
        <v>47635</v>
      </c>
      <c r="BD41" s="60" t="n">
        <v>47665</v>
      </c>
      <c r="BE41" s="60" t="n">
        <v>47696</v>
      </c>
      <c r="BF41" s="60" t="n">
        <v>47727</v>
      </c>
      <c r="BG41" s="60" t="n">
        <v>47757</v>
      </c>
      <c r="BH41" s="60" t="n">
        <v>47788</v>
      </c>
      <c r="BI41" s="60" t="n">
        <v>47818</v>
      </c>
      <c r="BJ41" s="61" t="s">
        <v>190</v>
      </c>
      <c r="BK41" s="61" t="s">
        <v>191</v>
      </c>
    </row>
    <row r="42" customFormat="false" ht="15" hidden="false" customHeight="false" outlineLevel="0" collapsed="false">
      <c r="A42" s="62" t="s">
        <v>192</v>
      </c>
      <c r="B42" s="63" t="n">
        <v>1</v>
      </c>
      <c r="C42" s="63" t="n">
        <v>2</v>
      </c>
      <c r="D42" s="63" t="n">
        <v>3</v>
      </c>
      <c r="E42" s="63" t="n">
        <v>4</v>
      </c>
      <c r="F42" s="63" t="n">
        <v>5</v>
      </c>
      <c r="G42" s="63" t="n">
        <v>6</v>
      </c>
      <c r="H42" s="63" t="n">
        <v>7</v>
      </c>
      <c r="I42" s="63" t="n">
        <v>8</v>
      </c>
      <c r="J42" s="63" t="n">
        <v>9</v>
      </c>
      <c r="K42" s="63" t="n">
        <v>10</v>
      </c>
      <c r="L42" s="63" t="n">
        <v>11</v>
      </c>
      <c r="M42" s="63" t="n">
        <v>12</v>
      </c>
      <c r="N42" s="63" t="n">
        <v>13</v>
      </c>
      <c r="O42" s="63" t="n">
        <v>14</v>
      </c>
      <c r="P42" s="63" t="n">
        <v>15</v>
      </c>
      <c r="Q42" s="63" t="n">
        <v>16</v>
      </c>
      <c r="R42" s="63" t="n">
        <v>17</v>
      </c>
      <c r="S42" s="63" t="n">
        <v>18</v>
      </c>
      <c r="T42" s="63" t="n">
        <v>19</v>
      </c>
      <c r="U42" s="63" t="n">
        <v>20</v>
      </c>
      <c r="V42" s="63" t="n">
        <v>21</v>
      </c>
      <c r="W42" s="63" t="n">
        <v>22</v>
      </c>
      <c r="X42" s="63" t="n">
        <v>23</v>
      </c>
      <c r="Y42" s="63" t="n">
        <v>24</v>
      </c>
      <c r="Z42" s="63" t="n">
        <v>25</v>
      </c>
      <c r="AA42" s="63" t="n">
        <v>26</v>
      </c>
      <c r="AB42" s="63" t="n">
        <v>27</v>
      </c>
      <c r="AC42" s="63" t="n">
        <v>28</v>
      </c>
      <c r="AD42" s="63" t="n">
        <v>29</v>
      </c>
      <c r="AE42" s="63" t="n">
        <v>30</v>
      </c>
      <c r="AF42" s="63" t="n">
        <v>31</v>
      </c>
      <c r="AG42" s="63" t="n">
        <v>32</v>
      </c>
      <c r="AH42" s="63" t="n">
        <v>33</v>
      </c>
      <c r="AI42" s="63" t="n">
        <v>34</v>
      </c>
      <c r="AJ42" s="63" t="n">
        <v>35</v>
      </c>
      <c r="AK42" s="63" t="n">
        <v>36</v>
      </c>
      <c r="AL42" s="63" t="n">
        <v>37</v>
      </c>
      <c r="AM42" s="63" t="n">
        <v>38</v>
      </c>
      <c r="AN42" s="63" t="n">
        <v>39</v>
      </c>
      <c r="AO42" s="63" t="n">
        <v>40</v>
      </c>
      <c r="AP42" s="63" t="n">
        <v>41</v>
      </c>
      <c r="AQ42" s="63" t="n">
        <v>42</v>
      </c>
      <c r="AR42" s="63" t="n">
        <v>43</v>
      </c>
      <c r="AS42" s="63" t="n">
        <v>44</v>
      </c>
      <c r="AT42" s="63" t="n">
        <v>45</v>
      </c>
      <c r="AU42" s="63" t="n">
        <v>46</v>
      </c>
      <c r="AV42" s="63" t="n">
        <v>47</v>
      </c>
      <c r="AW42" s="63" t="n">
        <v>48</v>
      </c>
      <c r="AX42" s="63" t="n">
        <v>49</v>
      </c>
      <c r="AY42" s="63" t="n">
        <v>50</v>
      </c>
      <c r="AZ42" s="63" t="n">
        <v>51</v>
      </c>
      <c r="BA42" s="63" t="n">
        <v>52</v>
      </c>
      <c r="BB42" s="63" t="n">
        <v>53</v>
      </c>
      <c r="BC42" s="63" t="n">
        <v>54</v>
      </c>
      <c r="BD42" s="63" t="n">
        <v>55</v>
      </c>
      <c r="BE42" s="63" t="n">
        <v>56</v>
      </c>
      <c r="BF42" s="63" t="n">
        <v>57</v>
      </c>
      <c r="BG42" s="63" t="n">
        <v>58</v>
      </c>
      <c r="BH42" s="63" t="n">
        <v>59</v>
      </c>
      <c r="BI42" s="63" t="n">
        <v>60</v>
      </c>
    </row>
    <row r="43" customFormat="false" ht="15" hidden="false" customHeight="false" outlineLevel="0" collapsed="false">
      <c r="A43" s="62" t="s">
        <v>193</v>
      </c>
      <c r="B43" s="64" t="n">
        <f aca="false">YEAR(B41)</f>
        <v>2026</v>
      </c>
      <c r="C43" s="64" t="n">
        <f aca="false">YEAR(C41)</f>
        <v>2026</v>
      </c>
      <c r="D43" s="64" t="n">
        <f aca="false">YEAR(D41)</f>
        <v>2026</v>
      </c>
      <c r="E43" s="64" t="n">
        <f aca="false">YEAR(E41)</f>
        <v>2026</v>
      </c>
      <c r="F43" s="64" t="n">
        <f aca="false">YEAR(F41)</f>
        <v>2026</v>
      </c>
      <c r="G43" s="64" t="n">
        <f aca="false">YEAR(G41)</f>
        <v>2026</v>
      </c>
      <c r="H43" s="64" t="n">
        <f aca="false">YEAR(H41)</f>
        <v>2026</v>
      </c>
      <c r="I43" s="64" t="n">
        <f aca="false">YEAR(I41)</f>
        <v>2026</v>
      </c>
      <c r="J43" s="64" t="n">
        <f aca="false">YEAR(J41)</f>
        <v>2026</v>
      </c>
      <c r="K43" s="64" t="n">
        <f aca="false">YEAR(K41)</f>
        <v>2026</v>
      </c>
      <c r="L43" s="64" t="n">
        <f aca="false">YEAR(L41)</f>
        <v>2026</v>
      </c>
      <c r="M43" s="64" t="n">
        <f aca="false">YEAR(M41)</f>
        <v>2026</v>
      </c>
      <c r="N43" s="64" t="n">
        <f aca="false">YEAR(N41)</f>
        <v>2027</v>
      </c>
      <c r="O43" s="64" t="n">
        <f aca="false">YEAR(O41)</f>
        <v>2027</v>
      </c>
      <c r="P43" s="64" t="n">
        <f aca="false">YEAR(P41)</f>
        <v>2027</v>
      </c>
      <c r="Q43" s="64" t="n">
        <f aca="false">YEAR(Q41)</f>
        <v>2027</v>
      </c>
      <c r="R43" s="64" t="n">
        <f aca="false">YEAR(R41)</f>
        <v>2027</v>
      </c>
      <c r="S43" s="64" t="n">
        <f aca="false">YEAR(S41)</f>
        <v>2027</v>
      </c>
      <c r="T43" s="64" t="n">
        <f aca="false">YEAR(T41)</f>
        <v>2027</v>
      </c>
      <c r="U43" s="64" t="n">
        <f aca="false">YEAR(U41)</f>
        <v>2027</v>
      </c>
      <c r="V43" s="64" t="n">
        <f aca="false">YEAR(V41)</f>
        <v>2027</v>
      </c>
      <c r="W43" s="64" t="n">
        <f aca="false">YEAR(W41)</f>
        <v>2027</v>
      </c>
      <c r="X43" s="64" t="n">
        <f aca="false">YEAR(X41)</f>
        <v>2027</v>
      </c>
      <c r="Y43" s="64" t="n">
        <f aca="false">YEAR(Y41)</f>
        <v>2027</v>
      </c>
      <c r="Z43" s="64" t="n">
        <f aca="false">YEAR(Z41)</f>
        <v>2028</v>
      </c>
      <c r="AA43" s="64" t="n">
        <f aca="false">YEAR(AA41)</f>
        <v>2028</v>
      </c>
      <c r="AB43" s="64" t="n">
        <f aca="false">YEAR(AB41)</f>
        <v>2028</v>
      </c>
      <c r="AC43" s="64" t="n">
        <f aca="false">YEAR(AC41)</f>
        <v>2028</v>
      </c>
      <c r="AD43" s="64" t="n">
        <f aca="false">YEAR(AD41)</f>
        <v>2028</v>
      </c>
      <c r="AE43" s="64" t="n">
        <f aca="false">YEAR(AE41)</f>
        <v>2028</v>
      </c>
      <c r="AF43" s="64" t="n">
        <f aca="false">YEAR(AF41)</f>
        <v>2028</v>
      </c>
      <c r="AG43" s="64" t="n">
        <f aca="false">YEAR(AG41)</f>
        <v>2028</v>
      </c>
      <c r="AH43" s="64" t="n">
        <f aca="false">YEAR(AH41)</f>
        <v>2028</v>
      </c>
      <c r="AI43" s="64" t="n">
        <f aca="false">YEAR(AI41)</f>
        <v>2028</v>
      </c>
      <c r="AJ43" s="64" t="n">
        <f aca="false">YEAR(AJ41)</f>
        <v>2028</v>
      </c>
      <c r="AK43" s="64" t="n">
        <f aca="false">YEAR(AK41)</f>
        <v>2028</v>
      </c>
      <c r="AL43" s="64" t="n">
        <f aca="false">YEAR(AL41)</f>
        <v>2029</v>
      </c>
      <c r="AM43" s="64" t="n">
        <f aca="false">YEAR(AM41)</f>
        <v>2029</v>
      </c>
      <c r="AN43" s="64" t="n">
        <f aca="false">YEAR(AN41)</f>
        <v>2029</v>
      </c>
      <c r="AO43" s="64" t="n">
        <f aca="false">YEAR(AO41)</f>
        <v>2029</v>
      </c>
      <c r="AP43" s="64" t="n">
        <f aca="false">YEAR(AP41)</f>
        <v>2029</v>
      </c>
      <c r="AQ43" s="64" t="n">
        <f aca="false">YEAR(AQ41)</f>
        <v>2029</v>
      </c>
      <c r="AR43" s="64" t="n">
        <f aca="false">YEAR(AR41)</f>
        <v>2029</v>
      </c>
      <c r="AS43" s="64" t="n">
        <f aca="false">YEAR(AS41)</f>
        <v>2029</v>
      </c>
      <c r="AT43" s="64" t="n">
        <f aca="false">YEAR(AT41)</f>
        <v>2029</v>
      </c>
      <c r="AU43" s="64" t="n">
        <f aca="false">YEAR(AU41)</f>
        <v>2029</v>
      </c>
      <c r="AV43" s="64" t="n">
        <f aca="false">YEAR(AV41)</f>
        <v>2029</v>
      </c>
      <c r="AW43" s="64" t="n">
        <f aca="false">YEAR(AW41)</f>
        <v>2029</v>
      </c>
      <c r="AX43" s="64" t="n">
        <f aca="false">YEAR(AX41)</f>
        <v>2030</v>
      </c>
      <c r="AY43" s="64" t="n">
        <f aca="false">YEAR(AY41)</f>
        <v>2030</v>
      </c>
      <c r="AZ43" s="64" t="n">
        <f aca="false">YEAR(AZ41)</f>
        <v>2030</v>
      </c>
      <c r="BA43" s="64" t="n">
        <f aca="false">YEAR(BA41)</f>
        <v>2030</v>
      </c>
      <c r="BB43" s="64" t="n">
        <f aca="false">YEAR(BB41)</f>
        <v>2030</v>
      </c>
      <c r="BC43" s="64" t="n">
        <f aca="false">YEAR(BC41)</f>
        <v>2030</v>
      </c>
      <c r="BD43" s="64" t="n">
        <f aca="false">YEAR(BD41)</f>
        <v>2030</v>
      </c>
      <c r="BE43" s="64" t="n">
        <f aca="false">YEAR(BE41)</f>
        <v>2030</v>
      </c>
      <c r="BF43" s="64" t="n">
        <f aca="false">YEAR(BF41)</f>
        <v>2030</v>
      </c>
      <c r="BG43" s="64" t="n">
        <f aca="false">YEAR(BG41)</f>
        <v>2030</v>
      </c>
      <c r="BH43" s="64" t="n">
        <f aca="false">YEAR(BH41)</f>
        <v>2030</v>
      </c>
      <c r="BI43" s="64" t="n">
        <f aca="false">YEAR(BI41)</f>
        <v>2030</v>
      </c>
    </row>
    <row r="45" customFormat="false" ht="15" hidden="false" customHeight="false" outlineLevel="0" collapsed="false">
      <c r="A45" s="12" t="s">
        <v>425</v>
      </c>
      <c r="B45" s="84" t="n">
        <f aca="false">SUMIFS($C$6:$C$23,$E$6:$E$23,"Fundador",$A$6:$A$23,"&gt;="&amp;B$41,$A$6:$A$23,"&lt;="&amp;EOMONTH(B$41,0))</f>
        <v>0</v>
      </c>
      <c r="C45" s="84" t="n">
        <f aca="false">SUMIFS($C$6:$C$23,$E$6:$E$23,"Fundador",$A$6:$A$23,"&gt;="&amp;C$41,$A$6:$A$23,"&lt;="&amp;EOMONTH(C$41,0))</f>
        <v>0</v>
      </c>
      <c r="D45" s="84" t="n">
        <f aca="false">SUMIFS($C$6:$C$23,$E$6:$E$23,"Fundador",$A$6:$A$23,"&gt;="&amp;D$41,$A$6:$A$23,"&lt;="&amp;EOMONTH(D$41,0))</f>
        <v>0</v>
      </c>
      <c r="E45" s="84" t="n">
        <f aca="false">SUMIFS($C$6:$C$23,$E$6:$E$23,"Fundador",$A$6:$A$23,"&gt;="&amp;E$41,$A$6:$A$23,"&lt;="&amp;EOMONTH(E$41,0))</f>
        <v>10000</v>
      </c>
      <c r="F45" s="84" t="n">
        <f aca="false">SUMIFS($C$6:$C$23,$E$6:$E$23,"Fundador",$A$6:$A$23,"&gt;="&amp;F$41,$A$6:$A$23,"&lt;="&amp;EOMONTH(F$41,0))</f>
        <v>0</v>
      </c>
      <c r="G45" s="84" t="n">
        <f aca="false">SUMIFS($C$6:$C$23,$E$6:$E$23,"Fundador",$A$6:$A$23,"&gt;="&amp;G$41,$A$6:$A$23,"&lt;="&amp;EOMONTH(G$41,0))</f>
        <v>0</v>
      </c>
      <c r="H45" s="84" t="n">
        <f aca="false">SUMIFS($C$6:$C$23,$E$6:$E$23,"Fundador",$A$6:$A$23,"&gt;="&amp;H$41,$A$6:$A$23,"&lt;="&amp;EOMONTH(H$41,0))</f>
        <v>5000</v>
      </c>
      <c r="I45" s="84" t="n">
        <f aca="false">SUMIFS($C$6:$C$23,$E$6:$E$23,"Fundador",$A$6:$A$23,"&gt;="&amp;I$41,$A$6:$A$23,"&lt;="&amp;EOMONTH(I$41,0))</f>
        <v>18000</v>
      </c>
      <c r="J45" s="84" t="n">
        <f aca="false">SUMIFS($C$6:$C$23,$E$6:$E$23,"Fundador",$A$6:$A$23,"&gt;="&amp;J$41,$A$6:$A$23,"&lt;="&amp;EOMONTH(J$41,0))</f>
        <v>0</v>
      </c>
      <c r="K45" s="84" t="n">
        <f aca="false">SUMIFS($C$6:$C$23,$E$6:$E$23,"Fundador",$A$6:$A$23,"&gt;="&amp;K$41,$A$6:$A$23,"&lt;="&amp;EOMONTH(K$41,0))</f>
        <v>0</v>
      </c>
      <c r="L45" s="84" t="n">
        <f aca="false">SUMIFS($C$6:$C$23,$E$6:$E$23,"Fundador",$A$6:$A$23,"&gt;="&amp;L$41,$A$6:$A$23,"&lt;="&amp;EOMONTH(L$41,0))</f>
        <v>0</v>
      </c>
      <c r="M45" s="84" t="n">
        <f aca="false">SUMIFS($C$6:$C$23,$E$6:$E$23,"Fundador",$A$6:$A$23,"&gt;="&amp;M$41,$A$6:$A$23,"&lt;="&amp;EOMONTH(M$41,0))</f>
        <v>17000</v>
      </c>
      <c r="N45" s="84" t="n">
        <f aca="false">SUMIFS($C$6:$C$23,$E$6:$E$23,"Fundador",$A$6:$A$23,"&gt;="&amp;N$41,$A$6:$A$23,"&lt;="&amp;EOMONTH(N$41,0))</f>
        <v>0</v>
      </c>
      <c r="O45" s="84" t="n">
        <f aca="false">SUMIFS($C$6:$C$23,$E$6:$E$23,"Fundador",$A$6:$A$23,"&gt;="&amp;O$41,$A$6:$A$23,"&lt;="&amp;EOMONTH(O$41,0))</f>
        <v>0</v>
      </c>
      <c r="P45" s="84" t="n">
        <f aca="false">SUMIFS($C$6:$C$23,$E$6:$E$23,"Fundador",$A$6:$A$23,"&gt;="&amp;P$41,$A$6:$A$23,"&lt;="&amp;EOMONTH(P$41,0))</f>
        <v>0</v>
      </c>
      <c r="Q45" s="84" t="n">
        <f aca="false">SUMIFS($C$6:$C$23,$E$6:$E$23,"Fundador",$A$6:$A$23,"&gt;="&amp;Q$41,$A$6:$A$23,"&lt;="&amp;EOMONTH(Q$41,0))</f>
        <v>0</v>
      </c>
      <c r="R45" s="84" t="n">
        <f aca="false">SUMIFS($C$6:$C$23,$E$6:$E$23,"Fundador",$A$6:$A$23,"&gt;="&amp;R$41,$A$6:$A$23,"&lt;="&amp;EOMONTH(R$41,0))</f>
        <v>0</v>
      </c>
      <c r="S45" s="84" t="n">
        <f aca="false">SUMIFS($C$6:$C$23,$E$6:$E$23,"Fundador",$A$6:$A$23,"&gt;="&amp;S$41,$A$6:$A$23,"&lt;="&amp;EOMONTH(S$41,0))</f>
        <v>15000</v>
      </c>
      <c r="T45" s="84" t="n">
        <f aca="false">SUMIFS($C$6:$C$23,$E$6:$E$23,"Fundador",$A$6:$A$23,"&gt;="&amp;T$41,$A$6:$A$23,"&lt;="&amp;EOMONTH(T$41,0))</f>
        <v>0</v>
      </c>
      <c r="U45" s="84" t="n">
        <f aca="false">SUMIFS($C$6:$C$23,$E$6:$E$23,"Fundador",$A$6:$A$23,"&gt;="&amp;U$41,$A$6:$A$23,"&lt;="&amp;EOMONTH(U$41,0))</f>
        <v>0</v>
      </c>
      <c r="V45" s="84" t="n">
        <f aca="false">SUMIFS($C$6:$C$23,$E$6:$E$23,"Fundador",$A$6:$A$23,"&gt;="&amp;V$41,$A$6:$A$23,"&lt;="&amp;EOMONTH(V$41,0))</f>
        <v>0</v>
      </c>
      <c r="W45" s="84" t="n">
        <f aca="false">SUMIFS($C$6:$C$23,$E$6:$E$23,"Fundador",$A$6:$A$23,"&gt;="&amp;W$41,$A$6:$A$23,"&lt;="&amp;EOMONTH(W$41,0))</f>
        <v>0</v>
      </c>
      <c r="X45" s="84" t="n">
        <f aca="false">SUMIFS($C$6:$C$23,$E$6:$E$23,"Fundador",$A$6:$A$23,"&gt;="&amp;X$41,$A$6:$A$23,"&lt;="&amp;EOMONTH(X$41,0))</f>
        <v>0</v>
      </c>
      <c r="Y45" s="84" t="n">
        <f aca="false">SUMIFS($C$6:$C$23,$E$6:$E$23,"Fundador",$A$6:$A$23,"&gt;="&amp;Y$41,$A$6:$A$23,"&lt;="&amp;EOMONTH(Y$41,0))</f>
        <v>15000</v>
      </c>
      <c r="Z45" s="84" t="n">
        <f aca="false">SUMIFS($C$6:$C$23,$E$6:$E$23,"Fundador",$A$6:$A$23,"&gt;="&amp;Z$41,$A$6:$A$23,"&lt;="&amp;EOMONTH(Z$41,0))</f>
        <v>0</v>
      </c>
      <c r="AA45" s="84" t="n">
        <f aca="false">SUMIFS($C$6:$C$23,$E$6:$E$23,"Fundador",$A$6:$A$23,"&gt;="&amp;AA$41,$A$6:$A$23,"&lt;="&amp;EOMONTH(AA$41,0))</f>
        <v>0</v>
      </c>
      <c r="AB45" s="84" t="n">
        <f aca="false">SUMIFS($C$6:$C$23,$E$6:$E$23,"Fundador",$A$6:$A$23,"&gt;="&amp;AB$41,$A$6:$A$23,"&lt;="&amp;EOMONTH(AB$41,0))</f>
        <v>0</v>
      </c>
      <c r="AC45" s="84" t="n">
        <f aca="false">SUMIFS($C$6:$C$23,$E$6:$E$23,"Fundador",$A$6:$A$23,"&gt;="&amp;AC$41,$A$6:$A$23,"&lt;="&amp;EOMONTH(AC$41,0))</f>
        <v>0</v>
      </c>
      <c r="AD45" s="84" t="n">
        <f aca="false">SUMIFS($C$6:$C$23,$E$6:$E$23,"Fundador",$A$6:$A$23,"&gt;="&amp;AD$41,$A$6:$A$23,"&lt;="&amp;EOMONTH(AD$41,0))</f>
        <v>0</v>
      </c>
      <c r="AE45" s="84" t="n">
        <f aca="false">SUMIFS($C$6:$C$23,$E$6:$E$23,"Fundador",$A$6:$A$23,"&gt;="&amp;AE$41,$A$6:$A$23,"&lt;="&amp;EOMONTH(AE$41,0))</f>
        <v>0</v>
      </c>
      <c r="AF45" s="84" t="n">
        <f aca="false">SUMIFS($C$6:$C$23,$E$6:$E$23,"Fundador",$A$6:$A$23,"&gt;="&amp;AF$41,$A$6:$A$23,"&lt;="&amp;EOMONTH(AF$41,0))</f>
        <v>0</v>
      </c>
      <c r="AG45" s="84" t="n">
        <f aca="false">SUMIFS($C$6:$C$23,$E$6:$E$23,"Fundador",$A$6:$A$23,"&gt;="&amp;AG$41,$A$6:$A$23,"&lt;="&amp;EOMONTH(AG$41,0))</f>
        <v>0</v>
      </c>
      <c r="AH45" s="84" t="n">
        <f aca="false">SUMIFS($C$6:$C$23,$E$6:$E$23,"Fundador",$A$6:$A$23,"&gt;="&amp;AH$41,$A$6:$A$23,"&lt;="&amp;EOMONTH(AH$41,0))</f>
        <v>0</v>
      </c>
      <c r="AI45" s="84" t="n">
        <f aca="false">SUMIFS($C$6:$C$23,$E$6:$E$23,"Fundador",$A$6:$A$23,"&gt;="&amp;AI$41,$A$6:$A$23,"&lt;="&amp;EOMONTH(AI$41,0))</f>
        <v>0</v>
      </c>
      <c r="AJ45" s="84" t="n">
        <f aca="false">SUMIFS($C$6:$C$23,$E$6:$E$23,"Fundador",$A$6:$A$23,"&gt;="&amp;AJ$41,$A$6:$A$23,"&lt;="&amp;EOMONTH(AJ$41,0))</f>
        <v>0</v>
      </c>
      <c r="AK45" s="84" t="n">
        <f aca="false">SUMIFS($C$6:$C$23,$E$6:$E$23,"Fundador",$A$6:$A$23,"&gt;="&amp;AK$41,$A$6:$A$23,"&lt;="&amp;EOMONTH(AK$41,0))</f>
        <v>0</v>
      </c>
      <c r="AL45" s="84" t="n">
        <f aca="false">SUMIFS($C$6:$C$23,$E$6:$E$23,"Fundador",$A$6:$A$23,"&gt;="&amp;AL$41,$A$6:$A$23,"&lt;="&amp;EOMONTH(AL$41,0))</f>
        <v>0</v>
      </c>
      <c r="AM45" s="84" t="n">
        <f aca="false">SUMIFS($C$6:$C$23,$E$6:$E$23,"Fundador",$A$6:$A$23,"&gt;="&amp;AM$41,$A$6:$A$23,"&lt;="&amp;EOMONTH(AM$41,0))</f>
        <v>0</v>
      </c>
      <c r="AN45" s="84" t="n">
        <f aca="false">SUMIFS($C$6:$C$23,$E$6:$E$23,"Fundador",$A$6:$A$23,"&gt;="&amp;AN$41,$A$6:$A$23,"&lt;="&amp;EOMONTH(AN$41,0))</f>
        <v>0</v>
      </c>
      <c r="AO45" s="84" t="n">
        <f aca="false">SUMIFS($C$6:$C$23,$E$6:$E$23,"Fundador",$A$6:$A$23,"&gt;="&amp;AO$41,$A$6:$A$23,"&lt;="&amp;EOMONTH(AO$41,0))</f>
        <v>0</v>
      </c>
      <c r="AP45" s="84" t="n">
        <f aca="false">SUMIFS($C$6:$C$23,$E$6:$E$23,"Fundador",$A$6:$A$23,"&gt;="&amp;AP$41,$A$6:$A$23,"&lt;="&amp;EOMONTH(AP$41,0))</f>
        <v>0</v>
      </c>
      <c r="AQ45" s="84" t="n">
        <f aca="false">SUMIFS($C$6:$C$23,$E$6:$E$23,"Fundador",$A$6:$A$23,"&gt;="&amp;AQ$41,$A$6:$A$23,"&lt;="&amp;EOMONTH(AQ$41,0))</f>
        <v>0</v>
      </c>
      <c r="AR45" s="84" t="n">
        <f aca="false">SUMIFS($C$6:$C$23,$E$6:$E$23,"Fundador",$A$6:$A$23,"&gt;="&amp;AR$41,$A$6:$A$23,"&lt;="&amp;EOMONTH(AR$41,0))</f>
        <v>0</v>
      </c>
      <c r="AS45" s="84" t="n">
        <f aca="false">SUMIFS($C$6:$C$23,$E$6:$E$23,"Fundador",$A$6:$A$23,"&gt;="&amp;AS$41,$A$6:$A$23,"&lt;="&amp;EOMONTH(AS$41,0))</f>
        <v>0</v>
      </c>
      <c r="AT45" s="84" t="n">
        <f aca="false">SUMIFS($C$6:$C$23,$E$6:$E$23,"Fundador",$A$6:$A$23,"&gt;="&amp;AT$41,$A$6:$A$23,"&lt;="&amp;EOMONTH(AT$41,0))</f>
        <v>0</v>
      </c>
      <c r="AU45" s="84" t="n">
        <f aca="false">SUMIFS($C$6:$C$23,$E$6:$E$23,"Fundador",$A$6:$A$23,"&gt;="&amp;AU$41,$A$6:$A$23,"&lt;="&amp;EOMONTH(AU$41,0))</f>
        <v>0</v>
      </c>
      <c r="AV45" s="84" t="n">
        <f aca="false">SUMIFS($C$6:$C$23,$E$6:$E$23,"Fundador",$A$6:$A$23,"&gt;="&amp;AV$41,$A$6:$A$23,"&lt;="&amp;EOMONTH(AV$41,0))</f>
        <v>0</v>
      </c>
      <c r="AW45" s="84" t="n">
        <f aca="false">SUMIFS($C$6:$C$23,$E$6:$E$23,"Fundador",$A$6:$A$23,"&gt;="&amp;AW$41,$A$6:$A$23,"&lt;="&amp;EOMONTH(AW$41,0))</f>
        <v>0</v>
      </c>
      <c r="AX45" s="84" t="n">
        <f aca="false">SUMIFS($C$6:$C$23,$E$6:$E$23,"Fundador",$A$6:$A$23,"&gt;="&amp;AX$41,$A$6:$A$23,"&lt;="&amp;EOMONTH(AX$41,0))</f>
        <v>0</v>
      </c>
      <c r="AY45" s="84" t="n">
        <f aca="false">SUMIFS($C$6:$C$23,$E$6:$E$23,"Fundador",$A$6:$A$23,"&gt;="&amp;AY$41,$A$6:$A$23,"&lt;="&amp;EOMONTH(AY$41,0))</f>
        <v>0</v>
      </c>
      <c r="AZ45" s="84" t="n">
        <f aca="false">SUMIFS($C$6:$C$23,$E$6:$E$23,"Fundador",$A$6:$A$23,"&gt;="&amp;AZ$41,$A$6:$A$23,"&lt;="&amp;EOMONTH(AZ$41,0))</f>
        <v>0</v>
      </c>
      <c r="BA45" s="84" t="n">
        <f aca="false">SUMIFS($C$6:$C$23,$E$6:$E$23,"Fundador",$A$6:$A$23,"&gt;="&amp;BA$41,$A$6:$A$23,"&lt;="&amp;EOMONTH(BA$41,0))</f>
        <v>0</v>
      </c>
      <c r="BB45" s="84" t="n">
        <f aca="false">SUMIFS($C$6:$C$23,$E$6:$E$23,"Fundador",$A$6:$A$23,"&gt;="&amp;BB$41,$A$6:$A$23,"&lt;="&amp;EOMONTH(BB$41,0))</f>
        <v>0</v>
      </c>
      <c r="BC45" s="84" t="n">
        <f aca="false">SUMIFS($C$6:$C$23,$E$6:$E$23,"Fundador",$A$6:$A$23,"&gt;="&amp;BC$41,$A$6:$A$23,"&lt;="&amp;EOMONTH(BC$41,0))</f>
        <v>0</v>
      </c>
      <c r="BD45" s="84" t="n">
        <f aca="false">SUMIFS($C$6:$C$23,$E$6:$E$23,"Fundador",$A$6:$A$23,"&gt;="&amp;BD$41,$A$6:$A$23,"&lt;="&amp;EOMONTH(BD$41,0))</f>
        <v>0</v>
      </c>
      <c r="BE45" s="84" t="n">
        <f aca="false">SUMIFS($C$6:$C$23,$E$6:$E$23,"Fundador",$A$6:$A$23,"&gt;="&amp;BE$41,$A$6:$A$23,"&lt;="&amp;EOMONTH(BE$41,0))</f>
        <v>0</v>
      </c>
      <c r="BF45" s="84" t="n">
        <f aca="false">SUMIFS($C$6:$C$23,$E$6:$E$23,"Fundador",$A$6:$A$23,"&gt;="&amp;BF$41,$A$6:$A$23,"&lt;="&amp;EOMONTH(BF$41,0))</f>
        <v>0</v>
      </c>
      <c r="BG45" s="84" t="n">
        <f aca="false">SUMIFS($C$6:$C$23,$E$6:$E$23,"Fundador",$A$6:$A$23,"&gt;="&amp;BG$41,$A$6:$A$23,"&lt;="&amp;EOMONTH(BG$41,0))</f>
        <v>0</v>
      </c>
      <c r="BH45" s="84" t="n">
        <f aca="false">SUMIFS($C$6:$C$23,$E$6:$E$23,"Fundador",$A$6:$A$23,"&gt;="&amp;BH$41,$A$6:$A$23,"&lt;="&amp;EOMONTH(BH$41,0))</f>
        <v>0</v>
      </c>
      <c r="BI45" s="84" t="n">
        <f aca="false">SUMIFS($C$6:$C$23,$E$6:$E$23,"Fundador",$A$6:$A$23,"&gt;="&amp;BI$41,$A$6:$A$23,"&lt;="&amp;EOMONTH(BI$41,0))</f>
        <v>0</v>
      </c>
      <c r="BJ45" s="69" t="n">
        <f aca="false">SUM(B45:BI45)</f>
        <v>80000</v>
      </c>
    </row>
    <row r="46" customFormat="false" ht="15" hidden="false" customHeight="false" outlineLevel="0" collapsed="false">
      <c r="A46" s="12" t="s">
        <v>426</v>
      </c>
      <c r="B46" s="84" t="n">
        <f aca="false">SUMIFS($C$6:$C$23,$E$6:$E$23,"Novo sócio",$A$6:$A$23,"&gt;="&amp;B$41,$A$6:$A$23,"&lt;="&amp;EOMONTH(B$41,0))</f>
        <v>0</v>
      </c>
      <c r="C46" s="84" t="n">
        <f aca="false">SUMIFS($C$6:$C$23,$E$6:$E$23,"Novo sócio",$A$6:$A$23,"&gt;="&amp;C$41,$A$6:$A$23,"&lt;="&amp;EOMONTH(C$41,0))</f>
        <v>0</v>
      </c>
      <c r="D46" s="84" t="n">
        <f aca="false">SUMIFS($C$6:$C$23,$E$6:$E$23,"Novo sócio",$A$6:$A$23,"&gt;="&amp;D$41,$A$6:$A$23,"&lt;="&amp;EOMONTH(D$41,0))</f>
        <v>0</v>
      </c>
      <c r="E46" s="84" t="n">
        <f aca="false">SUMIFS($C$6:$C$23,$E$6:$E$23,"Novo sócio",$A$6:$A$23,"&gt;="&amp;E$41,$A$6:$A$23,"&lt;="&amp;EOMONTH(E$41,0))</f>
        <v>0</v>
      </c>
      <c r="F46" s="84" t="n">
        <f aca="false">SUMIFS($C$6:$C$23,$E$6:$E$23,"Novo sócio",$A$6:$A$23,"&gt;="&amp;F$41,$A$6:$A$23,"&lt;="&amp;EOMONTH(F$41,0))</f>
        <v>0</v>
      </c>
      <c r="G46" s="84" t="n">
        <f aca="false">SUMIFS($C$6:$C$23,$E$6:$E$23,"Novo sócio",$A$6:$A$23,"&gt;="&amp;G$41,$A$6:$A$23,"&lt;="&amp;EOMONTH(G$41,0))</f>
        <v>0</v>
      </c>
      <c r="H46" s="84" t="n">
        <f aca="false">SUMIFS($C$6:$C$23,$E$6:$E$23,"Novo sócio",$A$6:$A$23,"&gt;="&amp;H$41,$A$6:$A$23,"&lt;="&amp;EOMONTH(H$41,0))</f>
        <v>0</v>
      </c>
      <c r="I46" s="84" t="n">
        <f aca="false">SUMIFS($C$6:$C$23,$E$6:$E$23,"Novo sócio",$A$6:$A$23,"&gt;="&amp;I$41,$A$6:$A$23,"&lt;="&amp;EOMONTH(I$41,0))</f>
        <v>0</v>
      </c>
      <c r="J46" s="84" t="n">
        <f aca="false">SUMIFS($C$6:$C$23,$E$6:$E$23,"Novo sócio",$A$6:$A$23,"&gt;="&amp;J$41,$A$6:$A$23,"&lt;="&amp;EOMONTH(J$41,0))</f>
        <v>0</v>
      </c>
      <c r="K46" s="84" t="n">
        <f aca="false">SUMIFS($C$6:$C$23,$E$6:$E$23,"Novo sócio",$A$6:$A$23,"&gt;="&amp;K$41,$A$6:$A$23,"&lt;="&amp;EOMONTH(K$41,0))</f>
        <v>80000</v>
      </c>
      <c r="L46" s="84" t="n">
        <f aca="false">SUMIFS($C$6:$C$23,$E$6:$E$23,"Novo sócio",$A$6:$A$23,"&gt;="&amp;L$41,$A$6:$A$23,"&lt;="&amp;EOMONTH(L$41,0))</f>
        <v>40000</v>
      </c>
      <c r="M46" s="84" t="n">
        <f aca="false">SUMIFS($C$6:$C$23,$E$6:$E$23,"Novo sócio",$A$6:$A$23,"&gt;="&amp;M$41,$A$6:$A$23,"&lt;="&amp;EOMONTH(M$41,0))</f>
        <v>0</v>
      </c>
      <c r="N46" s="84" t="n">
        <f aca="false">SUMIFS($C$6:$C$23,$E$6:$E$23,"Novo sócio",$A$6:$A$23,"&gt;="&amp;N$41,$A$6:$A$23,"&lt;="&amp;EOMONTH(N$41,0))</f>
        <v>0</v>
      </c>
      <c r="O46" s="84" t="n">
        <f aca="false">SUMIFS($C$6:$C$23,$E$6:$E$23,"Novo sócio",$A$6:$A$23,"&gt;="&amp;O$41,$A$6:$A$23,"&lt;="&amp;EOMONTH(O$41,0))</f>
        <v>0</v>
      </c>
      <c r="P46" s="84" t="n">
        <f aca="false">SUMIFS($C$6:$C$23,$E$6:$E$23,"Novo sócio",$A$6:$A$23,"&gt;="&amp;P$41,$A$6:$A$23,"&lt;="&amp;EOMONTH(P$41,0))</f>
        <v>0</v>
      </c>
      <c r="Q46" s="84" t="n">
        <f aca="false">SUMIFS($C$6:$C$23,$E$6:$E$23,"Novo sócio",$A$6:$A$23,"&gt;="&amp;Q$41,$A$6:$A$23,"&lt;="&amp;EOMONTH(Q$41,0))</f>
        <v>0</v>
      </c>
      <c r="R46" s="84" t="n">
        <f aca="false">SUMIFS($C$6:$C$23,$E$6:$E$23,"Novo sócio",$A$6:$A$23,"&gt;="&amp;R$41,$A$6:$A$23,"&lt;="&amp;EOMONTH(R$41,0))</f>
        <v>0</v>
      </c>
      <c r="S46" s="84" t="n">
        <f aca="false">SUMIFS($C$6:$C$23,$E$6:$E$23,"Novo sócio",$A$6:$A$23,"&gt;="&amp;S$41,$A$6:$A$23,"&lt;="&amp;EOMONTH(S$41,0))</f>
        <v>0</v>
      </c>
      <c r="T46" s="84" t="n">
        <f aca="false">SUMIFS($C$6:$C$23,$E$6:$E$23,"Novo sócio",$A$6:$A$23,"&gt;="&amp;T$41,$A$6:$A$23,"&lt;="&amp;EOMONTH(T$41,0))</f>
        <v>0</v>
      </c>
      <c r="U46" s="84" t="n">
        <f aca="false">SUMIFS($C$6:$C$23,$E$6:$E$23,"Novo sócio",$A$6:$A$23,"&gt;="&amp;U$41,$A$6:$A$23,"&lt;="&amp;EOMONTH(U$41,0))</f>
        <v>0</v>
      </c>
      <c r="V46" s="84" t="n">
        <f aca="false">SUMIFS($C$6:$C$23,$E$6:$E$23,"Novo sócio",$A$6:$A$23,"&gt;="&amp;V$41,$A$6:$A$23,"&lt;="&amp;EOMONTH(V$41,0))</f>
        <v>0</v>
      </c>
      <c r="W46" s="84" t="n">
        <f aca="false">SUMIFS($C$6:$C$23,$E$6:$E$23,"Novo sócio",$A$6:$A$23,"&gt;="&amp;W$41,$A$6:$A$23,"&lt;="&amp;EOMONTH(W$41,0))</f>
        <v>0</v>
      </c>
      <c r="X46" s="84" t="n">
        <f aca="false">SUMIFS($C$6:$C$23,$E$6:$E$23,"Novo sócio",$A$6:$A$23,"&gt;="&amp;X$41,$A$6:$A$23,"&lt;="&amp;EOMONTH(X$41,0))</f>
        <v>0</v>
      </c>
      <c r="Y46" s="84" t="n">
        <f aca="false">SUMIFS($C$6:$C$23,$E$6:$E$23,"Novo sócio",$A$6:$A$23,"&gt;="&amp;Y$41,$A$6:$A$23,"&lt;="&amp;EOMONTH(Y$41,0))</f>
        <v>0</v>
      </c>
      <c r="Z46" s="84" t="n">
        <f aca="false">SUMIFS($C$6:$C$23,$E$6:$E$23,"Novo sócio",$A$6:$A$23,"&gt;="&amp;Z$41,$A$6:$A$23,"&lt;="&amp;EOMONTH(Z$41,0))</f>
        <v>0</v>
      </c>
      <c r="AA46" s="84" t="n">
        <f aca="false">SUMIFS($C$6:$C$23,$E$6:$E$23,"Novo sócio",$A$6:$A$23,"&gt;="&amp;AA$41,$A$6:$A$23,"&lt;="&amp;EOMONTH(AA$41,0))</f>
        <v>0</v>
      </c>
      <c r="AB46" s="84" t="n">
        <f aca="false">SUMIFS($C$6:$C$23,$E$6:$E$23,"Novo sócio",$A$6:$A$23,"&gt;="&amp;AB$41,$A$6:$A$23,"&lt;="&amp;EOMONTH(AB$41,0))</f>
        <v>0</v>
      </c>
      <c r="AC46" s="84" t="n">
        <f aca="false">SUMIFS($C$6:$C$23,$E$6:$E$23,"Novo sócio",$A$6:$A$23,"&gt;="&amp;AC$41,$A$6:$A$23,"&lt;="&amp;EOMONTH(AC$41,0))</f>
        <v>0</v>
      </c>
      <c r="AD46" s="84" t="n">
        <f aca="false">SUMIFS($C$6:$C$23,$E$6:$E$23,"Novo sócio",$A$6:$A$23,"&gt;="&amp;AD$41,$A$6:$A$23,"&lt;="&amp;EOMONTH(AD$41,0))</f>
        <v>0</v>
      </c>
      <c r="AE46" s="84" t="n">
        <f aca="false">SUMIFS($C$6:$C$23,$E$6:$E$23,"Novo sócio",$A$6:$A$23,"&gt;="&amp;AE$41,$A$6:$A$23,"&lt;="&amp;EOMONTH(AE$41,0))</f>
        <v>0</v>
      </c>
      <c r="AF46" s="84" t="n">
        <f aca="false">SUMIFS($C$6:$C$23,$E$6:$E$23,"Novo sócio",$A$6:$A$23,"&gt;="&amp;AF$41,$A$6:$A$23,"&lt;="&amp;EOMONTH(AF$41,0))</f>
        <v>0</v>
      </c>
      <c r="AG46" s="84" t="n">
        <f aca="false">SUMIFS($C$6:$C$23,$E$6:$E$23,"Novo sócio",$A$6:$A$23,"&gt;="&amp;AG$41,$A$6:$A$23,"&lt;="&amp;EOMONTH(AG$41,0))</f>
        <v>0</v>
      </c>
      <c r="AH46" s="84" t="n">
        <f aca="false">SUMIFS($C$6:$C$23,$E$6:$E$23,"Novo sócio",$A$6:$A$23,"&gt;="&amp;AH$41,$A$6:$A$23,"&lt;="&amp;EOMONTH(AH$41,0))</f>
        <v>0</v>
      </c>
      <c r="AI46" s="84" t="n">
        <f aca="false">SUMIFS($C$6:$C$23,$E$6:$E$23,"Novo sócio",$A$6:$A$23,"&gt;="&amp;AI$41,$A$6:$A$23,"&lt;="&amp;EOMONTH(AI$41,0))</f>
        <v>0</v>
      </c>
      <c r="AJ46" s="84" t="n">
        <f aca="false">SUMIFS($C$6:$C$23,$E$6:$E$23,"Novo sócio",$A$6:$A$23,"&gt;="&amp;AJ$41,$A$6:$A$23,"&lt;="&amp;EOMONTH(AJ$41,0))</f>
        <v>0</v>
      </c>
      <c r="AK46" s="84" t="n">
        <f aca="false">SUMIFS($C$6:$C$23,$E$6:$E$23,"Novo sócio",$A$6:$A$23,"&gt;="&amp;AK$41,$A$6:$A$23,"&lt;="&amp;EOMONTH(AK$41,0))</f>
        <v>0</v>
      </c>
      <c r="AL46" s="84" t="n">
        <f aca="false">SUMIFS($C$6:$C$23,$E$6:$E$23,"Novo sócio",$A$6:$A$23,"&gt;="&amp;AL$41,$A$6:$A$23,"&lt;="&amp;EOMONTH(AL$41,0))</f>
        <v>0</v>
      </c>
      <c r="AM46" s="84" t="n">
        <f aca="false">SUMIFS($C$6:$C$23,$E$6:$E$23,"Novo sócio",$A$6:$A$23,"&gt;="&amp;AM$41,$A$6:$A$23,"&lt;="&amp;EOMONTH(AM$41,0))</f>
        <v>0</v>
      </c>
      <c r="AN46" s="84" t="n">
        <f aca="false">SUMIFS($C$6:$C$23,$E$6:$E$23,"Novo sócio",$A$6:$A$23,"&gt;="&amp;AN$41,$A$6:$A$23,"&lt;="&amp;EOMONTH(AN$41,0))</f>
        <v>0</v>
      </c>
      <c r="AO46" s="84" t="n">
        <f aca="false">SUMIFS($C$6:$C$23,$E$6:$E$23,"Novo sócio",$A$6:$A$23,"&gt;="&amp;AO$41,$A$6:$A$23,"&lt;="&amp;EOMONTH(AO$41,0))</f>
        <v>0</v>
      </c>
      <c r="AP46" s="84" t="n">
        <f aca="false">SUMIFS($C$6:$C$23,$E$6:$E$23,"Novo sócio",$A$6:$A$23,"&gt;="&amp;AP$41,$A$6:$A$23,"&lt;="&amp;EOMONTH(AP$41,0))</f>
        <v>0</v>
      </c>
      <c r="AQ46" s="84" t="n">
        <f aca="false">SUMIFS($C$6:$C$23,$E$6:$E$23,"Novo sócio",$A$6:$A$23,"&gt;="&amp;AQ$41,$A$6:$A$23,"&lt;="&amp;EOMONTH(AQ$41,0))</f>
        <v>0</v>
      </c>
      <c r="AR46" s="84" t="n">
        <f aca="false">SUMIFS($C$6:$C$23,$E$6:$E$23,"Novo sócio",$A$6:$A$23,"&gt;="&amp;AR$41,$A$6:$A$23,"&lt;="&amp;EOMONTH(AR$41,0))</f>
        <v>0</v>
      </c>
      <c r="AS46" s="84" t="n">
        <f aca="false">SUMIFS($C$6:$C$23,$E$6:$E$23,"Novo sócio",$A$6:$A$23,"&gt;="&amp;AS$41,$A$6:$A$23,"&lt;="&amp;EOMONTH(AS$41,0))</f>
        <v>0</v>
      </c>
      <c r="AT46" s="84" t="n">
        <f aca="false">SUMIFS($C$6:$C$23,$E$6:$E$23,"Novo sócio",$A$6:$A$23,"&gt;="&amp;AT$41,$A$6:$A$23,"&lt;="&amp;EOMONTH(AT$41,0))</f>
        <v>0</v>
      </c>
      <c r="AU46" s="84" t="n">
        <f aca="false">SUMIFS($C$6:$C$23,$E$6:$E$23,"Novo sócio",$A$6:$A$23,"&gt;="&amp;AU$41,$A$6:$A$23,"&lt;="&amp;EOMONTH(AU$41,0))</f>
        <v>0</v>
      </c>
      <c r="AV46" s="84" t="n">
        <f aca="false">SUMIFS($C$6:$C$23,$E$6:$E$23,"Novo sócio",$A$6:$A$23,"&gt;="&amp;AV$41,$A$6:$A$23,"&lt;="&amp;EOMONTH(AV$41,0))</f>
        <v>0</v>
      </c>
      <c r="AW46" s="84" t="n">
        <f aca="false">SUMIFS($C$6:$C$23,$E$6:$E$23,"Novo sócio",$A$6:$A$23,"&gt;="&amp;AW$41,$A$6:$A$23,"&lt;="&amp;EOMONTH(AW$41,0))</f>
        <v>0</v>
      </c>
      <c r="AX46" s="84" t="n">
        <f aca="false">SUMIFS($C$6:$C$23,$E$6:$E$23,"Novo sócio",$A$6:$A$23,"&gt;="&amp;AX$41,$A$6:$A$23,"&lt;="&amp;EOMONTH(AX$41,0))</f>
        <v>0</v>
      </c>
      <c r="AY46" s="84" t="n">
        <f aca="false">SUMIFS($C$6:$C$23,$E$6:$E$23,"Novo sócio",$A$6:$A$23,"&gt;="&amp;AY$41,$A$6:$A$23,"&lt;="&amp;EOMONTH(AY$41,0))</f>
        <v>0</v>
      </c>
      <c r="AZ46" s="84" t="n">
        <f aca="false">SUMIFS($C$6:$C$23,$E$6:$E$23,"Novo sócio",$A$6:$A$23,"&gt;="&amp;AZ$41,$A$6:$A$23,"&lt;="&amp;EOMONTH(AZ$41,0))</f>
        <v>0</v>
      </c>
      <c r="BA46" s="84" t="n">
        <f aca="false">SUMIFS($C$6:$C$23,$E$6:$E$23,"Novo sócio",$A$6:$A$23,"&gt;="&amp;BA$41,$A$6:$A$23,"&lt;="&amp;EOMONTH(BA$41,0))</f>
        <v>0</v>
      </c>
      <c r="BB46" s="84" t="n">
        <f aca="false">SUMIFS($C$6:$C$23,$E$6:$E$23,"Novo sócio",$A$6:$A$23,"&gt;="&amp;BB$41,$A$6:$A$23,"&lt;="&amp;EOMONTH(BB$41,0))</f>
        <v>0</v>
      </c>
      <c r="BC46" s="84" t="n">
        <f aca="false">SUMIFS($C$6:$C$23,$E$6:$E$23,"Novo sócio",$A$6:$A$23,"&gt;="&amp;BC$41,$A$6:$A$23,"&lt;="&amp;EOMONTH(BC$41,0))</f>
        <v>0</v>
      </c>
      <c r="BD46" s="84" t="n">
        <f aca="false">SUMIFS($C$6:$C$23,$E$6:$E$23,"Novo sócio",$A$6:$A$23,"&gt;="&amp;BD$41,$A$6:$A$23,"&lt;="&amp;EOMONTH(BD$41,0))</f>
        <v>0</v>
      </c>
      <c r="BE46" s="84" t="n">
        <f aca="false">SUMIFS($C$6:$C$23,$E$6:$E$23,"Novo sócio",$A$6:$A$23,"&gt;="&amp;BE$41,$A$6:$A$23,"&lt;="&amp;EOMONTH(BE$41,0))</f>
        <v>0</v>
      </c>
      <c r="BF46" s="84" t="n">
        <f aca="false">SUMIFS($C$6:$C$23,$E$6:$E$23,"Novo sócio",$A$6:$A$23,"&gt;="&amp;BF$41,$A$6:$A$23,"&lt;="&amp;EOMONTH(BF$41,0))</f>
        <v>0</v>
      </c>
      <c r="BG46" s="84" t="n">
        <f aca="false">SUMIFS($C$6:$C$23,$E$6:$E$23,"Novo sócio",$A$6:$A$23,"&gt;="&amp;BG$41,$A$6:$A$23,"&lt;="&amp;EOMONTH(BG$41,0))</f>
        <v>0</v>
      </c>
      <c r="BH46" s="84" t="n">
        <f aca="false">SUMIFS($C$6:$C$23,$E$6:$E$23,"Novo sócio",$A$6:$A$23,"&gt;="&amp;BH$41,$A$6:$A$23,"&lt;="&amp;EOMONTH(BH$41,0))</f>
        <v>0</v>
      </c>
      <c r="BI46" s="84" t="n">
        <f aca="false">SUMIFS($C$6:$C$23,$E$6:$E$23,"Novo sócio",$A$6:$A$23,"&gt;="&amp;BI$41,$A$6:$A$23,"&lt;="&amp;EOMONTH(BI$41,0))</f>
        <v>0</v>
      </c>
      <c r="BJ46" s="69" t="n">
        <f aca="false">SUM(B46:BI46)</f>
        <v>120000</v>
      </c>
    </row>
    <row r="47" customFormat="false" ht="15" hidden="false" customHeight="false" outlineLevel="0" collapsed="false">
      <c r="A47" s="12" t="s">
        <v>427</v>
      </c>
      <c r="B47" s="68" t="n">
        <f aca="false">IF(AND(Premissas!$B$80=1,B$41=DATE(YEAR(Premissas!$B$82),MONTH(Premissas!$B$82),1)),Premissas!$B$81,0)</f>
        <v>0</v>
      </c>
      <c r="C47" s="68" t="n">
        <f aca="false">IF(AND(Premissas!$B$80=1,C$41=DATE(YEAR(Premissas!$B$82),MONTH(Premissas!$B$82),1)),Premissas!$B$81,0)</f>
        <v>0</v>
      </c>
      <c r="D47" s="68" t="n">
        <f aca="false">IF(AND(Premissas!$B$80=1,D$41=DATE(YEAR(Premissas!$B$82),MONTH(Premissas!$B$82),1)),Premissas!$B$81,0)</f>
        <v>0</v>
      </c>
      <c r="E47" s="68" t="n">
        <f aca="false">IF(AND(Premissas!$B$80=1,E$41=DATE(YEAR(Premissas!$B$82),MONTH(Premissas!$B$82),1)),Premissas!$B$81,0)</f>
        <v>0</v>
      </c>
      <c r="F47" s="68" t="n">
        <f aca="false">IF(AND(Premissas!$B$80=1,F$41=DATE(YEAR(Premissas!$B$82),MONTH(Premissas!$B$82),1)),Premissas!$B$81,0)</f>
        <v>0</v>
      </c>
      <c r="G47" s="68" t="n">
        <f aca="false">IF(AND(Premissas!$B$80=1,G$41=DATE(YEAR(Premissas!$B$82),MONTH(Premissas!$B$82),1)),Premissas!$B$81,0)</f>
        <v>0</v>
      </c>
      <c r="H47" s="68" t="n">
        <f aca="false">IF(AND(Premissas!$B$80=1,H$41=DATE(YEAR(Premissas!$B$82),MONTH(Premissas!$B$82),1)),Premissas!$B$81,0)</f>
        <v>0</v>
      </c>
      <c r="I47" s="68" t="n">
        <f aca="false">IF(AND(Premissas!$B$80=1,I$41=DATE(YEAR(Premissas!$B$82),MONTH(Premissas!$B$82),1)),Premissas!$B$81,0)</f>
        <v>0</v>
      </c>
      <c r="J47" s="68" t="n">
        <f aca="false">IF(AND(Premissas!$B$80=1,J$41=DATE(YEAR(Premissas!$B$82),MONTH(Premissas!$B$82),1)),Premissas!$B$81,0)</f>
        <v>0</v>
      </c>
      <c r="K47" s="68" t="n">
        <f aca="false">IF(AND(Premissas!$B$80=1,K$41=DATE(YEAR(Premissas!$B$82),MONTH(Premissas!$B$82),1)),Premissas!$B$81,0)</f>
        <v>0</v>
      </c>
      <c r="L47" s="68" t="n">
        <f aca="false">IF(AND(Premissas!$B$80=1,L$41=DATE(YEAR(Premissas!$B$82),MONTH(Premissas!$B$82),1)),Premissas!$B$81,0)</f>
        <v>0</v>
      </c>
      <c r="M47" s="68" t="n">
        <f aca="false">IF(AND(Premissas!$B$80=1,M$41=DATE(YEAR(Premissas!$B$82),MONTH(Premissas!$B$82),1)),Premissas!$B$81,0)</f>
        <v>0</v>
      </c>
      <c r="N47" s="68" t="n">
        <f aca="false">IF(AND(Premissas!$B$80=1,N$41=DATE(YEAR(Premissas!$B$82),MONTH(Premissas!$B$82),1)),Premissas!$B$81,0)</f>
        <v>0</v>
      </c>
      <c r="O47" s="68" t="n">
        <f aca="false">IF(AND(Premissas!$B$80=1,O$41=DATE(YEAR(Premissas!$B$82),MONTH(Premissas!$B$82),1)),Premissas!$B$81,0)</f>
        <v>0</v>
      </c>
      <c r="P47" s="68" t="n">
        <f aca="false">IF(AND(Premissas!$B$80=1,P$41=DATE(YEAR(Premissas!$B$82),MONTH(Premissas!$B$82),1)),Premissas!$B$81,0)</f>
        <v>0</v>
      </c>
      <c r="Q47" s="68" t="n">
        <f aca="false">IF(AND(Premissas!$B$80=1,Q$41=DATE(YEAR(Premissas!$B$82),MONTH(Premissas!$B$82),1)),Premissas!$B$81,0)</f>
        <v>0</v>
      </c>
      <c r="R47" s="68" t="n">
        <f aca="false">IF(AND(Premissas!$B$80=1,R$41=DATE(YEAR(Premissas!$B$82),MONTH(Premissas!$B$82),1)),Premissas!$B$81,0)</f>
        <v>0</v>
      </c>
      <c r="S47" s="68" t="n">
        <f aca="false">IF(AND(Premissas!$B$80=1,S$41=DATE(YEAR(Premissas!$B$82),MONTH(Premissas!$B$82),1)),Premissas!$B$81,0)</f>
        <v>0</v>
      </c>
      <c r="T47" s="68" t="n">
        <f aca="false">IF(AND(Premissas!$B$80=1,T$41=DATE(YEAR(Premissas!$B$82),MONTH(Premissas!$B$82),1)),Premissas!$B$81,0)</f>
        <v>0</v>
      </c>
      <c r="U47" s="68" t="n">
        <f aca="false">IF(AND(Premissas!$B$80=1,U$41=DATE(YEAR(Premissas!$B$82),MONTH(Premissas!$B$82),1)),Premissas!$B$81,0)</f>
        <v>0</v>
      </c>
      <c r="V47" s="68" t="n">
        <f aca="false">IF(AND(Premissas!$B$80=1,V$41=DATE(YEAR(Premissas!$B$82),MONTH(Premissas!$B$82),1)),Premissas!$B$81,0)</f>
        <v>0</v>
      </c>
      <c r="W47" s="68" t="n">
        <f aca="false">IF(AND(Premissas!$B$80=1,W$41=DATE(YEAR(Premissas!$B$82),MONTH(Premissas!$B$82),1)),Premissas!$B$81,0)</f>
        <v>0</v>
      </c>
      <c r="X47" s="68" t="n">
        <f aca="false">IF(AND(Premissas!$B$80=1,X$41=DATE(YEAR(Premissas!$B$82),MONTH(Premissas!$B$82),1)),Premissas!$B$81,0)</f>
        <v>0</v>
      </c>
      <c r="Y47" s="68" t="n">
        <f aca="false">IF(AND(Premissas!$B$80=1,Y$41=DATE(YEAR(Premissas!$B$82),MONTH(Premissas!$B$82),1)),Premissas!$B$81,0)</f>
        <v>0</v>
      </c>
      <c r="Z47" s="68" t="n">
        <f aca="false">IF(AND(Premissas!$B$80=1,Z$41=DATE(YEAR(Premissas!$B$82),MONTH(Premissas!$B$82),1)),Premissas!$B$81,0)</f>
        <v>0</v>
      </c>
      <c r="AA47" s="68" t="n">
        <f aca="false">IF(AND(Premissas!$B$80=1,AA$41=DATE(YEAR(Premissas!$B$82),MONTH(Premissas!$B$82),1)),Premissas!$B$81,0)</f>
        <v>0</v>
      </c>
      <c r="AB47" s="68" t="n">
        <f aca="false">IF(AND(Premissas!$B$80=1,AB$41=DATE(YEAR(Premissas!$B$82),MONTH(Premissas!$B$82),1)),Premissas!$B$81,0)</f>
        <v>0</v>
      </c>
      <c r="AC47" s="68" t="n">
        <f aca="false">IF(AND(Premissas!$B$80=1,AC$41=DATE(YEAR(Premissas!$B$82),MONTH(Premissas!$B$82),1)),Premissas!$B$81,0)</f>
        <v>0</v>
      </c>
      <c r="AD47" s="68" t="n">
        <f aca="false">IF(AND(Premissas!$B$80=1,AD$41=DATE(YEAR(Premissas!$B$82),MONTH(Premissas!$B$82),1)),Premissas!$B$81,0)</f>
        <v>0</v>
      </c>
      <c r="AE47" s="68" t="n">
        <f aca="false">IF(AND(Premissas!$B$80=1,AE$41=DATE(YEAR(Premissas!$B$82),MONTH(Premissas!$B$82),1)),Premissas!$B$81,0)</f>
        <v>0</v>
      </c>
      <c r="AF47" s="68" t="n">
        <f aca="false">IF(AND(Premissas!$B$80=1,AF$41=DATE(YEAR(Premissas!$B$82),MONTH(Premissas!$B$82),1)),Premissas!$B$81,0)</f>
        <v>0</v>
      </c>
      <c r="AG47" s="68" t="n">
        <f aca="false">IF(AND(Premissas!$B$80=1,AG$41=DATE(YEAR(Premissas!$B$82),MONTH(Premissas!$B$82),1)),Premissas!$B$81,0)</f>
        <v>0</v>
      </c>
      <c r="AH47" s="68" t="n">
        <f aca="false">IF(AND(Premissas!$B$80=1,AH$41=DATE(YEAR(Premissas!$B$82),MONTH(Premissas!$B$82),1)),Premissas!$B$81,0)</f>
        <v>0</v>
      </c>
      <c r="AI47" s="68" t="n">
        <f aca="false">IF(AND(Premissas!$B$80=1,AI$41=DATE(YEAR(Premissas!$B$82),MONTH(Premissas!$B$82),1)),Premissas!$B$81,0)</f>
        <v>0</v>
      </c>
      <c r="AJ47" s="68" t="n">
        <f aca="false">IF(AND(Premissas!$B$80=1,AJ$41=DATE(YEAR(Premissas!$B$82),MONTH(Premissas!$B$82),1)),Premissas!$B$81,0)</f>
        <v>0</v>
      </c>
      <c r="AK47" s="68" t="n">
        <f aca="false">IF(AND(Premissas!$B$80=1,AK$41=DATE(YEAR(Premissas!$B$82),MONTH(Premissas!$B$82),1)),Premissas!$B$81,0)</f>
        <v>0</v>
      </c>
      <c r="AL47" s="68" t="n">
        <f aca="false">IF(AND(Premissas!$B$80=1,AL$41=DATE(YEAR(Premissas!$B$82),MONTH(Premissas!$B$82),1)),Premissas!$B$81,0)</f>
        <v>0</v>
      </c>
      <c r="AM47" s="68" t="n">
        <f aca="false">IF(AND(Premissas!$B$80=1,AM$41=DATE(YEAR(Premissas!$B$82),MONTH(Premissas!$B$82),1)),Premissas!$B$81,0)</f>
        <v>0</v>
      </c>
      <c r="AN47" s="68" t="n">
        <f aca="false">IF(AND(Premissas!$B$80=1,AN$41=DATE(YEAR(Premissas!$B$82),MONTH(Premissas!$B$82),1)),Premissas!$B$81,0)</f>
        <v>0</v>
      </c>
      <c r="AO47" s="68" t="n">
        <f aca="false">IF(AND(Premissas!$B$80=1,AO$41=DATE(YEAR(Premissas!$B$82),MONTH(Premissas!$B$82),1)),Premissas!$B$81,0)</f>
        <v>0</v>
      </c>
      <c r="AP47" s="68" t="n">
        <f aca="false">IF(AND(Premissas!$B$80=1,AP$41=DATE(YEAR(Premissas!$B$82),MONTH(Premissas!$B$82),1)),Premissas!$B$81,0)</f>
        <v>0</v>
      </c>
      <c r="AQ47" s="68" t="n">
        <f aca="false">IF(AND(Premissas!$B$80=1,AQ$41=DATE(YEAR(Premissas!$B$82),MONTH(Premissas!$B$82),1)),Premissas!$B$81,0)</f>
        <v>0</v>
      </c>
      <c r="AR47" s="68" t="n">
        <f aca="false">IF(AND(Premissas!$B$80=1,AR$41=DATE(YEAR(Premissas!$B$82),MONTH(Premissas!$B$82),1)),Premissas!$B$81,0)</f>
        <v>0</v>
      </c>
      <c r="AS47" s="68" t="n">
        <f aca="false">IF(AND(Premissas!$B$80=1,AS$41=DATE(YEAR(Premissas!$B$82),MONTH(Premissas!$B$82),1)),Premissas!$B$81,0)</f>
        <v>0</v>
      </c>
      <c r="AT47" s="68" t="n">
        <f aca="false">IF(AND(Premissas!$B$80=1,AT$41=DATE(YEAR(Premissas!$B$82),MONTH(Premissas!$B$82),1)),Premissas!$B$81,0)</f>
        <v>0</v>
      </c>
      <c r="AU47" s="68" t="n">
        <f aca="false">IF(AND(Premissas!$B$80=1,AU$41=DATE(YEAR(Premissas!$B$82),MONTH(Premissas!$B$82),1)),Premissas!$B$81,0)</f>
        <v>0</v>
      </c>
      <c r="AV47" s="68" t="n">
        <f aca="false">IF(AND(Premissas!$B$80=1,AV$41=DATE(YEAR(Premissas!$B$82),MONTH(Premissas!$B$82),1)),Premissas!$B$81,0)</f>
        <v>0</v>
      </c>
      <c r="AW47" s="68" t="n">
        <f aca="false">IF(AND(Premissas!$B$80=1,AW$41=DATE(YEAR(Premissas!$B$82),MONTH(Premissas!$B$82),1)),Premissas!$B$81,0)</f>
        <v>0</v>
      </c>
      <c r="AX47" s="68" t="n">
        <f aca="false">IF(AND(Premissas!$B$80=1,AX$41=DATE(YEAR(Premissas!$B$82),MONTH(Premissas!$B$82),1)),Premissas!$B$81,0)</f>
        <v>0</v>
      </c>
      <c r="AY47" s="68" t="n">
        <f aca="false">IF(AND(Premissas!$B$80=1,AY$41=DATE(YEAR(Premissas!$B$82),MONTH(Premissas!$B$82),1)),Premissas!$B$81,0)</f>
        <v>0</v>
      </c>
      <c r="AZ47" s="68" t="n">
        <f aca="false">IF(AND(Premissas!$B$80=1,AZ$41=DATE(YEAR(Premissas!$B$82),MONTH(Premissas!$B$82),1)),Premissas!$B$81,0)</f>
        <v>0</v>
      </c>
      <c r="BA47" s="68" t="n">
        <f aca="false">IF(AND(Premissas!$B$80=1,BA$41=DATE(YEAR(Premissas!$B$82),MONTH(Premissas!$B$82),1)),Premissas!$B$81,0)</f>
        <v>0</v>
      </c>
      <c r="BB47" s="68" t="n">
        <f aca="false">IF(AND(Premissas!$B$80=1,BB$41=DATE(YEAR(Premissas!$B$82),MONTH(Premissas!$B$82),1)),Premissas!$B$81,0)</f>
        <v>0</v>
      </c>
      <c r="BC47" s="68" t="n">
        <f aca="false">IF(AND(Premissas!$B$80=1,BC$41=DATE(YEAR(Premissas!$B$82),MONTH(Premissas!$B$82),1)),Premissas!$B$81,0)</f>
        <v>0</v>
      </c>
      <c r="BD47" s="68" t="n">
        <f aca="false">IF(AND(Premissas!$B$80=1,BD$41=DATE(YEAR(Premissas!$B$82),MONTH(Premissas!$B$82),1)),Premissas!$B$81,0)</f>
        <v>0</v>
      </c>
      <c r="BE47" s="68" t="n">
        <f aca="false">IF(AND(Premissas!$B$80=1,BE$41=DATE(YEAR(Premissas!$B$82),MONTH(Premissas!$B$82),1)),Premissas!$B$81,0)</f>
        <v>0</v>
      </c>
      <c r="BF47" s="68" t="n">
        <f aca="false">IF(AND(Premissas!$B$80=1,BF$41=DATE(YEAR(Premissas!$B$82),MONTH(Premissas!$B$82),1)),Premissas!$B$81,0)</f>
        <v>0</v>
      </c>
      <c r="BG47" s="68" t="n">
        <f aca="false">IF(AND(Premissas!$B$80=1,BG$41=DATE(YEAR(Premissas!$B$82),MONTH(Premissas!$B$82),1)),Premissas!$B$81,0)</f>
        <v>0</v>
      </c>
      <c r="BH47" s="68" t="n">
        <f aca="false">IF(AND(Premissas!$B$80=1,BH$41=DATE(YEAR(Premissas!$B$82),MONTH(Premissas!$B$82),1)),Premissas!$B$81,0)</f>
        <v>0</v>
      </c>
      <c r="BI47" s="68" t="n">
        <f aca="false">IF(AND(Premissas!$B$80=1,BI$41=DATE(YEAR(Premissas!$B$82),MONTH(Premissas!$B$82),1)),Premissas!$B$81,0)</f>
        <v>0</v>
      </c>
      <c r="BJ47" s="69" t="n">
        <f aca="false">SUM(B47:BI47)</f>
        <v>0</v>
      </c>
    </row>
    <row r="48" customFormat="false" ht="15" hidden="false" customHeight="false" outlineLevel="0" collapsed="false">
      <c r="A48" s="34" t="s">
        <v>428</v>
      </c>
      <c r="B48" s="69" t="n">
        <f aca="false">SUM(B45:B47)</f>
        <v>0</v>
      </c>
      <c r="C48" s="69" t="n">
        <f aca="false">SUM(C45:C47)</f>
        <v>0</v>
      </c>
      <c r="D48" s="69" t="n">
        <f aca="false">SUM(D45:D47)</f>
        <v>0</v>
      </c>
      <c r="E48" s="69" t="n">
        <f aca="false">SUM(E45:E47)</f>
        <v>10000</v>
      </c>
      <c r="F48" s="69" t="n">
        <f aca="false">SUM(F45:F47)</f>
        <v>0</v>
      </c>
      <c r="G48" s="69" t="n">
        <f aca="false">SUM(G45:G47)</f>
        <v>0</v>
      </c>
      <c r="H48" s="69" t="n">
        <f aca="false">SUM(H45:H47)</f>
        <v>5000</v>
      </c>
      <c r="I48" s="69" t="n">
        <f aca="false">SUM(I45:I47)</f>
        <v>18000</v>
      </c>
      <c r="J48" s="69" t="n">
        <f aca="false">SUM(J45:J47)</f>
        <v>0</v>
      </c>
      <c r="K48" s="69" t="n">
        <f aca="false">SUM(K45:K47)</f>
        <v>80000</v>
      </c>
      <c r="L48" s="69" t="n">
        <f aca="false">SUM(L45:L47)</f>
        <v>40000</v>
      </c>
      <c r="M48" s="69" t="n">
        <f aca="false">SUM(M45:M47)</f>
        <v>17000</v>
      </c>
      <c r="N48" s="69" t="n">
        <f aca="false">SUM(N45:N47)</f>
        <v>0</v>
      </c>
      <c r="O48" s="69" t="n">
        <f aca="false">SUM(O45:O47)</f>
        <v>0</v>
      </c>
      <c r="P48" s="69" t="n">
        <f aca="false">SUM(P45:P47)</f>
        <v>0</v>
      </c>
      <c r="Q48" s="69" t="n">
        <f aca="false">SUM(Q45:Q47)</f>
        <v>0</v>
      </c>
      <c r="R48" s="69" t="n">
        <f aca="false">SUM(R45:R47)</f>
        <v>0</v>
      </c>
      <c r="S48" s="69" t="n">
        <f aca="false">SUM(S45:S47)</f>
        <v>15000</v>
      </c>
      <c r="T48" s="69" t="n">
        <f aca="false">SUM(T45:T47)</f>
        <v>0</v>
      </c>
      <c r="U48" s="69" t="n">
        <f aca="false">SUM(U45:U47)</f>
        <v>0</v>
      </c>
      <c r="V48" s="69" t="n">
        <f aca="false">SUM(V45:V47)</f>
        <v>0</v>
      </c>
      <c r="W48" s="69" t="n">
        <f aca="false">SUM(W45:W47)</f>
        <v>0</v>
      </c>
      <c r="X48" s="69" t="n">
        <f aca="false">SUM(X45:X47)</f>
        <v>0</v>
      </c>
      <c r="Y48" s="69" t="n">
        <f aca="false">SUM(Y45:Y47)</f>
        <v>15000</v>
      </c>
      <c r="Z48" s="69" t="n">
        <f aca="false">SUM(Z45:Z47)</f>
        <v>0</v>
      </c>
      <c r="AA48" s="69" t="n">
        <f aca="false">SUM(AA45:AA47)</f>
        <v>0</v>
      </c>
      <c r="AB48" s="69" t="n">
        <f aca="false">SUM(AB45:AB47)</f>
        <v>0</v>
      </c>
      <c r="AC48" s="69" t="n">
        <f aca="false">SUM(AC45:AC47)</f>
        <v>0</v>
      </c>
      <c r="AD48" s="69" t="n">
        <f aca="false">SUM(AD45:AD47)</f>
        <v>0</v>
      </c>
      <c r="AE48" s="69" t="n">
        <f aca="false">SUM(AE45:AE47)</f>
        <v>0</v>
      </c>
      <c r="AF48" s="69" t="n">
        <f aca="false">SUM(AF45:AF47)</f>
        <v>0</v>
      </c>
      <c r="AG48" s="69" t="n">
        <f aca="false">SUM(AG45:AG47)</f>
        <v>0</v>
      </c>
      <c r="AH48" s="69" t="n">
        <f aca="false">SUM(AH45:AH47)</f>
        <v>0</v>
      </c>
      <c r="AI48" s="69" t="n">
        <f aca="false">SUM(AI45:AI47)</f>
        <v>0</v>
      </c>
      <c r="AJ48" s="69" t="n">
        <f aca="false">SUM(AJ45:AJ47)</f>
        <v>0</v>
      </c>
      <c r="AK48" s="69" t="n">
        <f aca="false">SUM(AK45:AK47)</f>
        <v>0</v>
      </c>
      <c r="AL48" s="69" t="n">
        <f aca="false">SUM(AL45:AL47)</f>
        <v>0</v>
      </c>
      <c r="AM48" s="69" t="n">
        <f aca="false">SUM(AM45:AM47)</f>
        <v>0</v>
      </c>
      <c r="AN48" s="69" t="n">
        <f aca="false">SUM(AN45:AN47)</f>
        <v>0</v>
      </c>
      <c r="AO48" s="69" t="n">
        <f aca="false">SUM(AO45:AO47)</f>
        <v>0</v>
      </c>
      <c r="AP48" s="69" t="n">
        <f aca="false">SUM(AP45:AP47)</f>
        <v>0</v>
      </c>
      <c r="AQ48" s="69" t="n">
        <f aca="false">SUM(AQ45:AQ47)</f>
        <v>0</v>
      </c>
      <c r="AR48" s="69" t="n">
        <f aca="false">SUM(AR45:AR47)</f>
        <v>0</v>
      </c>
      <c r="AS48" s="69" t="n">
        <f aca="false">SUM(AS45:AS47)</f>
        <v>0</v>
      </c>
      <c r="AT48" s="69" t="n">
        <f aca="false">SUM(AT45:AT47)</f>
        <v>0</v>
      </c>
      <c r="AU48" s="69" t="n">
        <f aca="false">SUM(AU45:AU47)</f>
        <v>0</v>
      </c>
      <c r="AV48" s="69" t="n">
        <f aca="false">SUM(AV45:AV47)</f>
        <v>0</v>
      </c>
      <c r="AW48" s="69" t="n">
        <f aca="false">SUM(AW45:AW47)</f>
        <v>0</v>
      </c>
      <c r="AX48" s="69" t="n">
        <f aca="false">SUM(AX45:AX47)</f>
        <v>0</v>
      </c>
      <c r="AY48" s="69" t="n">
        <f aca="false">SUM(AY45:AY47)</f>
        <v>0</v>
      </c>
      <c r="AZ48" s="69" t="n">
        <f aca="false">SUM(AZ45:AZ47)</f>
        <v>0</v>
      </c>
      <c r="BA48" s="69" t="n">
        <f aca="false">SUM(BA45:BA47)</f>
        <v>0</v>
      </c>
      <c r="BB48" s="69" t="n">
        <f aca="false">SUM(BB45:BB47)</f>
        <v>0</v>
      </c>
      <c r="BC48" s="69" t="n">
        <f aca="false">SUM(BC45:BC47)</f>
        <v>0</v>
      </c>
      <c r="BD48" s="69" t="n">
        <f aca="false">SUM(BD45:BD47)</f>
        <v>0</v>
      </c>
      <c r="BE48" s="69" t="n">
        <f aca="false">SUM(BE45:BE47)</f>
        <v>0</v>
      </c>
      <c r="BF48" s="69" t="n">
        <f aca="false">SUM(BF45:BF47)</f>
        <v>0</v>
      </c>
      <c r="BG48" s="69" t="n">
        <f aca="false">SUM(BG45:BG47)</f>
        <v>0</v>
      </c>
      <c r="BH48" s="69" t="n">
        <f aca="false">SUM(BH45:BH47)</f>
        <v>0</v>
      </c>
      <c r="BI48" s="69" t="n">
        <f aca="false">SUM(BI45:BI47)</f>
        <v>0</v>
      </c>
      <c r="BJ48" s="69" t="n">
        <f aca="false">SUM(B48:BI48)</f>
        <v>200000</v>
      </c>
    </row>
    <row r="49" customFormat="false" ht="15" hidden="false" customHeight="false" outlineLevel="0" collapsed="false">
      <c r="A49" s="76" t="s">
        <v>429</v>
      </c>
      <c r="B49" s="74" t="n">
        <f aca="false">B48</f>
        <v>0</v>
      </c>
      <c r="C49" s="74" t="n">
        <f aca="false">B49+C48</f>
        <v>0</v>
      </c>
      <c r="D49" s="74" t="n">
        <f aca="false">C49+D48</f>
        <v>0</v>
      </c>
      <c r="E49" s="74" t="n">
        <f aca="false">D49+E48</f>
        <v>10000</v>
      </c>
      <c r="F49" s="74" t="n">
        <f aca="false">E49+F48</f>
        <v>10000</v>
      </c>
      <c r="G49" s="74" t="n">
        <f aca="false">F49+G48</f>
        <v>10000</v>
      </c>
      <c r="H49" s="74" t="n">
        <f aca="false">G49+H48</f>
        <v>15000</v>
      </c>
      <c r="I49" s="74" t="n">
        <f aca="false">H49+I48</f>
        <v>33000</v>
      </c>
      <c r="J49" s="74" t="n">
        <f aca="false">I49+J48</f>
        <v>33000</v>
      </c>
      <c r="K49" s="74" t="n">
        <f aca="false">J49+K48</f>
        <v>113000</v>
      </c>
      <c r="L49" s="74" t="n">
        <f aca="false">K49+L48</f>
        <v>153000</v>
      </c>
      <c r="M49" s="74" t="n">
        <f aca="false">L49+M48</f>
        <v>170000</v>
      </c>
      <c r="N49" s="74" t="n">
        <f aca="false">M49+N48</f>
        <v>170000</v>
      </c>
      <c r="O49" s="74" t="n">
        <f aca="false">N49+O48</f>
        <v>170000</v>
      </c>
      <c r="P49" s="74" t="n">
        <f aca="false">O49+P48</f>
        <v>170000</v>
      </c>
      <c r="Q49" s="74" t="n">
        <f aca="false">P49+Q48</f>
        <v>170000</v>
      </c>
      <c r="R49" s="74" t="n">
        <f aca="false">Q49+R48</f>
        <v>170000</v>
      </c>
      <c r="S49" s="74" t="n">
        <f aca="false">R49+S48</f>
        <v>185000</v>
      </c>
      <c r="T49" s="74" t="n">
        <f aca="false">S49+T48</f>
        <v>185000</v>
      </c>
      <c r="U49" s="74" t="n">
        <f aca="false">T49+U48</f>
        <v>185000</v>
      </c>
      <c r="V49" s="74" t="n">
        <f aca="false">U49+V48</f>
        <v>185000</v>
      </c>
      <c r="W49" s="74" t="n">
        <f aca="false">V49+W48</f>
        <v>185000</v>
      </c>
      <c r="X49" s="74" t="n">
        <f aca="false">W49+X48</f>
        <v>185000</v>
      </c>
      <c r="Y49" s="74" t="n">
        <f aca="false">X49+Y48</f>
        <v>200000</v>
      </c>
      <c r="Z49" s="74" t="n">
        <f aca="false">Y49+Z48</f>
        <v>200000</v>
      </c>
      <c r="AA49" s="74" t="n">
        <f aca="false">Z49+AA48</f>
        <v>200000</v>
      </c>
      <c r="AB49" s="74" t="n">
        <f aca="false">AA49+AB48</f>
        <v>200000</v>
      </c>
      <c r="AC49" s="74" t="n">
        <f aca="false">AB49+AC48</f>
        <v>200000</v>
      </c>
      <c r="AD49" s="74" t="n">
        <f aca="false">AC49+AD48</f>
        <v>200000</v>
      </c>
      <c r="AE49" s="74" t="n">
        <f aca="false">AD49+AE48</f>
        <v>200000</v>
      </c>
      <c r="AF49" s="74" t="n">
        <f aca="false">AE49+AF48</f>
        <v>200000</v>
      </c>
      <c r="AG49" s="74" t="n">
        <f aca="false">AF49+AG48</f>
        <v>200000</v>
      </c>
      <c r="AH49" s="74" t="n">
        <f aca="false">AG49+AH48</f>
        <v>200000</v>
      </c>
      <c r="AI49" s="74" t="n">
        <f aca="false">AH49+AI48</f>
        <v>200000</v>
      </c>
      <c r="AJ49" s="74" t="n">
        <f aca="false">AI49+AJ48</f>
        <v>200000</v>
      </c>
      <c r="AK49" s="74" t="n">
        <f aca="false">AJ49+AK48</f>
        <v>200000</v>
      </c>
      <c r="AL49" s="74" t="n">
        <f aca="false">AK49+AL48</f>
        <v>200000</v>
      </c>
      <c r="AM49" s="74" t="n">
        <f aca="false">AL49+AM48</f>
        <v>200000</v>
      </c>
      <c r="AN49" s="74" t="n">
        <f aca="false">AM49+AN48</f>
        <v>200000</v>
      </c>
      <c r="AO49" s="74" t="n">
        <f aca="false">AN49+AO48</f>
        <v>200000</v>
      </c>
      <c r="AP49" s="74" t="n">
        <f aca="false">AO49+AP48</f>
        <v>200000</v>
      </c>
      <c r="AQ49" s="74" t="n">
        <f aca="false">AP49+AQ48</f>
        <v>200000</v>
      </c>
      <c r="AR49" s="74" t="n">
        <f aca="false">AQ49+AR48</f>
        <v>200000</v>
      </c>
      <c r="AS49" s="74" t="n">
        <f aca="false">AR49+AS48</f>
        <v>200000</v>
      </c>
      <c r="AT49" s="74" t="n">
        <f aca="false">AS49+AT48</f>
        <v>200000</v>
      </c>
      <c r="AU49" s="74" t="n">
        <f aca="false">AT49+AU48</f>
        <v>200000</v>
      </c>
      <c r="AV49" s="74" t="n">
        <f aca="false">AU49+AV48</f>
        <v>200000</v>
      </c>
      <c r="AW49" s="74" t="n">
        <f aca="false">AV49+AW48</f>
        <v>200000</v>
      </c>
      <c r="AX49" s="74" t="n">
        <f aca="false">AW49+AX48</f>
        <v>200000</v>
      </c>
      <c r="AY49" s="74" t="n">
        <f aca="false">AX49+AY48</f>
        <v>200000</v>
      </c>
      <c r="AZ49" s="74" t="n">
        <f aca="false">AY49+AZ48</f>
        <v>200000</v>
      </c>
      <c r="BA49" s="74" t="n">
        <f aca="false">AZ49+BA48</f>
        <v>200000</v>
      </c>
      <c r="BB49" s="74" t="n">
        <f aca="false">BA49+BB48</f>
        <v>200000</v>
      </c>
      <c r="BC49" s="74" t="n">
        <f aca="false">BB49+BC48</f>
        <v>200000</v>
      </c>
      <c r="BD49" s="74" t="n">
        <f aca="false">BC49+BD48</f>
        <v>200000</v>
      </c>
      <c r="BE49" s="74" t="n">
        <f aca="false">BD49+BE48</f>
        <v>200000</v>
      </c>
      <c r="BF49" s="74" t="n">
        <f aca="false">BE49+BF48</f>
        <v>200000</v>
      </c>
      <c r="BG49" s="74" t="n">
        <f aca="false">BF49+BG48</f>
        <v>200000</v>
      </c>
      <c r="BH49" s="74" t="n">
        <f aca="false">BG49+BH48</f>
        <v>200000</v>
      </c>
      <c r="BI49" s="74" t="n">
        <f aca="false">BH49+BI48</f>
        <v>200000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H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20"/>
    <col collapsed="false" customWidth="true" hidden="false" outlineLevel="0" max="4" min="4" style="0" width="18"/>
    <col collapsed="false" customWidth="true" hidden="false" outlineLevel="0" max="5" min="5" style="0" width="20"/>
    <col collapsed="false" customWidth="true" hidden="false" outlineLevel="0" max="6" min="6" style="0" width="6"/>
    <col collapsed="false" customWidth="true" hidden="false" outlineLevel="0" max="7" min="7" style="0" width="78"/>
    <col collapsed="false" customWidth="true" hidden="false" outlineLevel="0" max="8" min="8" style="0" width="6"/>
  </cols>
  <sheetData>
    <row r="1" customFormat="false" ht="25.5" hidden="false" customHeight="true" outlineLevel="0" collapsed="false">
      <c r="A1" s="1" t="s">
        <v>430</v>
      </c>
      <c r="B1" s="2"/>
      <c r="C1" s="2"/>
      <c r="D1" s="2"/>
      <c r="E1" s="2"/>
      <c r="F1" s="2"/>
      <c r="G1" s="2"/>
      <c r="H1" s="2"/>
    </row>
    <row r="2" customFormat="false" ht="15.75" hidden="false" customHeight="true" outlineLevel="0" collapsed="false">
      <c r="A2" s="3" t="s">
        <v>431</v>
      </c>
    </row>
    <row r="4" customFormat="false" ht="18" hidden="false" customHeight="true" outlineLevel="0" collapsed="false">
      <c r="A4" s="10" t="s">
        <v>432</v>
      </c>
      <c r="B4" s="11"/>
      <c r="C4" s="11"/>
      <c r="D4" s="11"/>
      <c r="E4" s="11"/>
      <c r="F4" s="11"/>
      <c r="G4" s="11"/>
      <c r="H4" s="11"/>
    </row>
    <row r="5" customFormat="false" ht="15" hidden="false" customHeight="false" outlineLevel="0" collapsed="false">
      <c r="A5" s="138" t="s">
        <v>433</v>
      </c>
      <c r="B5" s="138" t="s">
        <v>434</v>
      </c>
      <c r="C5" s="138" t="s">
        <v>435</v>
      </c>
      <c r="D5" s="138" t="s">
        <v>436</v>
      </c>
      <c r="E5" s="138" t="s">
        <v>437</v>
      </c>
      <c r="G5" s="14" t="s">
        <v>438</v>
      </c>
    </row>
    <row r="6" customFormat="false" ht="15" hidden="false" customHeight="false" outlineLevel="0" collapsed="false">
      <c r="A6" s="142" t="n">
        <v>1</v>
      </c>
      <c r="B6" s="143" t="n">
        <v>0</v>
      </c>
      <c r="C6" s="143" t="n">
        <v>180000</v>
      </c>
      <c r="D6" s="144" t="n">
        <v>0.06</v>
      </c>
      <c r="E6" s="143" t="n">
        <v>0</v>
      </c>
    </row>
    <row r="7" customFormat="false" ht="15" hidden="false" customHeight="false" outlineLevel="0" collapsed="false">
      <c r="A7" s="142" t="n">
        <v>2</v>
      </c>
      <c r="B7" s="143" t="n">
        <v>180000.01</v>
      </c>
      <c r="C7" s="143" t="n">
        <v>360000</v>
      </c>
      <c r="D7" s="144" t="n">
        <v>0.112</v>
      </c>
      <c r="E7" s="143" t="n">
        <v>9360</v>
      </c>
    </row>
    <row r="8" customFormat="false" ht="15" hidden="false" customHeight="false" outlineLevel="0" collapsed="false">
      <c r="A8" s="142" t="n">
        <v>3</v>
      </c>
      <c r="B8" s="143" t="n">
        <v>360000.01</v>
      </c>
      <c r="C8" s="143" t="n">
        <v>720000</v>
      </c>
      <c r="D8" s="144" t="n">
        <v>0.135</v>
      </c>
      <c r="E8" s="143" t="n">
        <v>17640</v>
      </c>
    </row>
    <row r="9" customFormat="false" ht="15" hidden="false" customHeight="false" outlineLevel="0" collapsed="false">
      <c r="A9" s="142" t="n">
        <v>4</v>
      </c>
      <c r="B9" s="143" t="n">
        <v>720000.01</v>
      </c>
      <c r="C9" s="143" t="n">
        <v>1800000</v>
      </c>
      <c r="D9" s="144" t="n">
        <v>0.16</v>
      </c>
      <c r="E9" s="143" t="n">
        <v>35640</v>
      </c>
    </row>
    <row r="10" customFormat="false" ht="15" hidden="false" customHeight="false" outlineLevel="0" collapsed="false">
      <c r="A10" s="142" t="n">
        <v>5</v>
      </c>
      <c r="B10" s="143" t="n">
        <v>1800000.01</v>
      </c>
      <c r="C10" s="143" t="n">
        <v>3600000</v>
      </c>
      <c r="D10" s="144" t="n">
        <v>0.21</v>
      </c>
      <c r="E10" s="143" t="n">
        <v>125640</v>
      </c>
    </row>
    <row r="11" customFormat="false" ht="15" hidden="false" customHeight="false" outlineLevel="0" collapsed="false">
      <c r="A11" s="142" t="n">
        <v>6</v>
      </c>
      <c r="B11" s="143" t="n">
        <v>3600000.01</v>
      </c>
      <c r="C11" s="143" t="n">
        <v>4800000</v>
      </c>
      <c r="D11" s="144" t="n">
        <v>0.33</v>
      </c>
      <c r="E11" s="143" t="n">
        <v>648000</v>
      </c>
    </row>
    <row r="13" customFormat="false" ht="18" hidden="false" customHeight="true" outlineLevel="0" collapsed="false">
      <c r="A13" s="10" t="s">
        <v>439</v>
      </c>
      <c r="B13" s="11"/>
      <c r="C13" s="11"/>
      <c r="D13" s="11"/>
      <c r="E13" s="11"/>
      <c r="F13" s="11"/>
      <c r="G13" s="11"/>
      <c r="H13" s="11"/>
    </row>
    <row r="14" customFormat="false" ht="15" hidden="false" customHeight="false" outlineLevel="0" collapsed="false">
      <c r="A14" s="138" t="s">
        <v>433</v>
      </c>
      <c r="B14" s="138" t="s">
        <v>434</v>
      </c>
      <c r="C14" s="138" t="s">
        <v>435</v>
      </c>
      <c r="D14" s="138" t="s">
        <v>436</v>
      </c>
      <c r="E14" s="138" t="s">
        <v>437</v>
      </c>
      <c r="G14" s="14" t="s">
        <v>440</v>
      </c>
    </row>
    <row r="15" customFormat="false" ht="15" hidden="false" customHeight="false" outlineLevel="0" collapsed="false">
      <c r="A15" s="142" t="n">
        <v>1</v>
      </c>
      <c r="B15" s="143" t="n">
        <v>0</v>
      </c>
      <c r="C15" s="143" t="n">
        <v>180000</v>
      </c>
      <c r="D15" s="144" t="n">
        <v>0.155</v>
      </c>
      <c r="E15" s="143" t="n">
        <v>0</v>
      </c>
    </row>
    <row r="16" customFormat="false" ht="15" hidden="false" customHeight="false" outlineLevel="0" collapsed="false">
      <c r="A16" s="142" t="n">
        <v>2</v>
      </c>
      <c r="B16" s="143" t="n">
        <v>180000.01</v>
      </c>
      <c r="C16" s="143" t="n">
        <v>360000</v>
      </c>
      <c r="D16" s="144" t="n">
        <v>0.18</v>
      </c>
      <c r="E16" s="143" t="n">
        <v>4500</v>
      </c>
    </row>
    <row r="17" customFormat="false" ht="15" hidden="false" customHeight="false" outlineLevel="0" collapsed="false">
      <c r="A17" s="142" t="n">
        <v>3</v>
      </c>
      <c r="B17" s="143" t="n">
        <v>360000.01</v>
      </c>
      <c r="C17" s="143" t="n">
        <v>720000</v>
      </c>
      <c r="D17" s="144" t="n">
        <v>0.195</v>
      </c>
      <c r="E17" s="143" t="n">
        <v>9900</v>
      </c>
    </row>
    <row r="18" customFormat="false" ht="15" hidden="false" customHeight="false" outlineLevel="0" collapsed="false">
      <c r="A18" s="142" t="n">
        <v>4</v>
      </c>
      <c r="B18" s="143" t="n">
        <v>720000.01</v>
      </c>
      <c r="C18" s="143" t="n">
        <v>1800000</v>
      </c>
      <c r="D18" s="144" t="n">
        <v>0.205</v>
      </c>
      <c r="E18" s="143" t="n">
        <v>17100</v>
      </c>
    </row>
    <row r="19" customFormat="false" ht="15" hidden="false" customHeight="false" outlineLevel="0" collapsed="false">
      <c r="A19" s="142" t="n">
        <v>5</v>
      </c>
      <c r="B19" s="143" t="n">
        <v>1800000.01</v>
      </c>
      <c r="C19" s="143" t="n">
        <v>3600000</v>
      </c>
      <c r="D19" s="144" t="n">
        <v>0.23</v>
      </c>
      <c r="E19" s="143" t="n">
        <v>62100</v>
      </c>
    </row>
    <row r="20" customFormat="false" ht="15" hidden="false" customHeight="false" outlineLevel="0" collapsed="false">
      <c r="A20" s="142" t="n">
        <v>6</v>
      </c>
      <c r="B20" s="143" t="n">
        <v>3600000.01</v>
      </c>
      <c r="C20" s="143" t="n">
        <v>4800000</v>
      </c>
      <c r="D20" s="144" t="n">
        <v>0.305</v>
      </c>
      <c r="E20" s="143" t="n">
        <v>540000</v>
      </c>
    </row>
    <row r="22" customFormat="false" ht="18" hidden="false" customHeight="true" outlineLevel="0" collapsed="false">
      <c r="A22" s="10" t="s">
        <v>441</v>
      </c>
      <c r="B22" s="11"/>
      <c r="C22" s="11"/>
      <c r="D22" s="11"/>
      <c r="E22" s="11"/>
      <c r="F22" s="11"/>
      <c r="G22" s="11"/>
      <c r="H22" s="11"/>
    </row>
    <row r="23" customFormat="false" ht="15" hidden="false" customHeight="false" outlineLevel="0" collapsed="false">
      <c r="A23" s="138" t="s">
        <v>433</v>
      </c>
      <c r="B23" s="138" t="s">
        <v>434</v>
      </c>
      <c r="C23" s="138" t="s">
        <v>436</v>
      </c>
      <c r="D23" s="138" t="s">
        <v>437</v>
      </c>
    </row>
    <row r="24" customFormat="false" ht="15" hidden="false" customHeight="false" outlineLevel="0" collapsed="false">
      <c r="A24" s="145" t="n">
        <v>1</v>
      </c>
      <c r="B24" s="146" t="n">
        <f aca="false">IF(Premissas!$B$16=2,B15,B6)</f>
        <v>0</v>
      </c>
      <c r="C24" s="147" t="n">
        <f aca="false">IF(Premissas!$B$16=2,D15,D6)</f>
        <v>0.06</v>
      </c>
      <c r="D24" s="146" t="n">
        <f aca="false">IF(Premissas!$B$16=2,E15,E6)</f>
        <v>0</v>
      </c>
    </row>
    <row r="25" customFormat="false" ht="15" hidden="false" customHeight="false" outlineLevel="0" collapsed="false">
      <c r="A25" s="145" t="n">
        <v>2</v>
      </c>
      <c r="B25" s="146" t="n">
        <f aca="false">IF(Premissas!$B$16=2,B16,B7)</f>
        <v>180000.01</v>
      </c>
      <c r="C25" s="147" t="n">
        <f aca="false">IF(Premissas!$B$16=2,D16,D7)</f>
        <v>0.112</v>
      </c>
      <c r="D25" s="146" t="n">
        <f aca="false">IF(Premissas!$B$16=2,E16,E7)</f>
        <v>9360</v>
      </c>
    </row>
    <row r="26" customFormat="false" ht="15" hidden="false" customHeight="false" outlineLevel="0" collapsed="false">
      <c r="A26" s="145" t="n">
        <v>3</v>
      </c>
      <c r="B26" s="146" t="n">
        <f aca="false">IF(Premissas!$B$16=2,B17,B8)</f>
        <v>360000.01</v>
      </c>
      <c r="C26" s="147" t="n">
        <f aca="false">IF(Premissas!$B$16=2,D17,D8)</f>
        <v>0.135</v>
      </c>
      <c r="D26" s="146" t="n">
        <f aca="false">IF(Premissas!$B$16=2,E17,E8)</f>
        <v>17640</v>
      </c>
    </row>
    <row r="27" customFormat="false" ht="15" hidden="false" customHeight="false" outlineLevel="0" collapsed="false">
      <c r="A27" s="145" t="n">
        <v>4</v>
      </c>
      <c r="B27" s="146" t="n">
        <f aca="false">IF(Premissas!$B$16=2,B18,B9)</f>
        <v>720000.01</v>
      </c>
      <c r="C27" s="147" t="n">
        <f aca="false">IF(Premissas!$B$16=2,D18,D9)</f>
        <v>0.16</v>
      </c>
      <c r="D27" s="146" t="n">
        <f aca="false">IF(Premissas!$B$16=2,E18,E9)</f>
        <v>35640</v>
      </c>
    </row>
    <row r="28" customFormat="false" ht="15" hidden="false" customHeight="false" outlineLevel="0" collapsed="false">
      <c r="A28" s="145" t="n">
        <v>5</v>
      </c>
      <c r="B28" s="146" t="n">
        <f aca="false">IF(Premissas!$B$16=2,B19,B10)</f>
        <v>1800000.01</v>
      </c>
      <c r="C28" s="147" t="n">
        <f aca="false">IF(Premissas!$B$16=2,D19,D10)</f>
        <v>0.21</v>
      </c>
      <c r="D28" s="146" t="n">
        <f aca="false">IF(Premissas!$B$16=2,E19,E10)</f>
        <v>125640</v>
      </c>
    </row>
    <row r="29" customFormat="false" ht="15" hidden="false" customHeight="false" outlineLevel="0" collapsed="false">
      <c r="A29" s="145" t="n">
        <v>6</v>
      </c>
      <c r="B29" s="146" t="n">
        <f aca="false">IF(Premissas!$B$16=2,B20,B11)</f>
        <v>3600000.01</v>
      </c>
      <c r="C29" s="147" t="n">
        <f aca="false">IF(Premissas!$B$16=2,D20,D11)</f>
        <v>0.33</v>
      </c>
      <c r="D29" s="146" t="n">
        <f aca="false">IF(Premissas!$B$16=2,E20,E11)</f>
        <v>648000</v>
      </c>
    </row>
    <row r="31" customFormat="false" ht="18" hidden="false" customHeight="true" outlineLevel="0" collapsed="false">
      <c r="A31" s="10" t="s">
        <v>442</v>
      </c>
      <c r="B31" s="11"/>
      <c r="C31" s="11"/>
      <c r="D31" s="11"/>
      <c r="E31" s="11"/>
      <c r="F31" s="11"/>
      <c r="G31" s="11"/>
      <c r="H31" s="11"/>
    </row>
    <row r="32" customFormat="false" ht="15" hidden="false" customHeight="true" outlineLevel="0" collapsed="false">
      <c r="A32" s="148" t="s">
        <v>443</v>
      </c>
      <c r="B32" s="148"/>
      <c r="C32" s="148"/>
      <c r="D32" s="148"/>
      <c r="E32" s="148"/>
      <c r="F32" s="148"/>
      <c r="G32" s="148"/>
    </row>
    <row r="33" customFormat="false" ht="15" hidden="false" customHeight="true" outlineLevel="0" collapsed="false">
      <c r="A33" s="149" t="s">
        <v>444</v>
      </c>
      <c r="B33" s="149"/>
      <c r="C33" s="149"/>
      <c r="D33" s="149"/>
      <c r="E33" s="149"/>
      <c r="F33" s="149"/>
      <c r="G33" s="149"/>
    </row>
    <row r="34" customFormat="false" ht="15" hidden="false" customHeight="true" outlineLevel="0" collapsed="false">
      <c r="A34" s="149" t="s">
        <v>445</v>
      </c>
      <c r="B34" s="149"/>
      <c r="C34" s="149"/>
      <c r="D34" s="149"/>
      <c r="E34" s="149"/>
      <c r="F34" s="149"/>
      <c r="G34" s="149"/>
    </row>
    <row r="35" customFormat="false" ht="15" hidden="false" customHeight="true" outlineLevel="0" collapsed="false">
      <c r="A35" s="149"/>
      <c r="B35" s="149"/>
      <c r="C35" s="149"/>
      <c r="D35" s="149"/>
      <c r="E35" s="149"/>
      <c r="F35" s="149"/>
      <c r="G35" s="149"/>
    </row>
    <row r="36" customFormat="false" ht="43.5" hidden="false" customHeight="true" outlineLevel="0" collapsed="false">
      <c r="A36" s="150" t="s">
        <v>446</v>
      </c>
      <c r="B36" s="150"/>
      <c r="C36" s="150"/>
      <c r="D36" s="150"/>
      <c r="E36" s="150"/>
      <c r="F36" s="150"/>
      <c r="G36" s="150"/>
    </row>
    <row r="37" customFormat="false" ht="15" hidden="false" customHeight="true" outlineLevel="0" collapsed="false">
      <c r="A37" s="149"/>
      <c r="B37" s="149"/>
      <c r="C37" s="149"/>
      <c r="D37" s="149"/>
      <c r="E37" s="149"/>
      <c r="F37" s="149"/>
      <c r="G37" s="149"/>
    </row>
    <row r="38" customFormat="false" ht="43.5" hidden="false" customHeight="true" outlineLevel="0" collapsed="false">
      <c r="A38" s="149" t="s">
        <v>447</v>
      </c>
      <c r="B38" s="149"/>
      <c r="C38" s="149"/>
      <c r="D38" s="149"/>
      <c r="E38" s="149"/>
      <c r="F38" s="149"/>
      <c r="G38" s="149"/>
    </row>
    <row r="40" customFormat="false" ht="18" hidden="false" customHeight="true" outlineLevel="0" collapsed="false">
      <c r="A40" s="10" t="s">
        <v>448</v>
      </c>
      <c r="B40" s="11"/>
      <c r="C40" s="11"/>
      <c r="D40" s="11"/>
      <c r="E40" s="11"/>
      <c r="F40" s="11"/>
      <c r="G40" s="11"/>
      <c r="H40" s="11"/>
    </row>
    <row r="41" customFormat="false" ht="15" hidden="false" customHeight="false" outlineLevel="0" collapsed="false">
      <c r="A41" s="138" t="s">
        <v>449</v>
      </c>
      <c r="B41" s="138" t="s">
        <v>450</v>
      </c>
      <c r="C41" s="138" t="s">
        <v>451</v>
      </c>
      <c r="D41" s="138" t="s">
        <v>452</v>
      </c>
      <c r="E41" s="138" t="s">
        <v>453</v>
      </c>
    </row>
    <row r="42" customFormat="false" ht="15" hidden="false" customHeight="false" outlineLevel="0" collapsed="false">
      <c r="A42" s="133" t="n">
        <v>180000</v>
      </c>
      <c r="B42" s="151" t="n">
        <f aca="false">($A42*INDEX($D$6:$D$11,MATCH($A42,$B$6:$B$11,1))-INDEX($E$6:$E$11,MATCH($A42,$B$6:$B$11,1)))/$A42</f>
        <v>0.06</v>
      </c>
      <c r="C42" s="151" t="n">
        <f aca="false">($A42*INDEX($D$15:$D$20,MATCH($A42,$B$15:$B$20,1))-INDEX($E$15:$E$20,MATCH($A42,$B$15:$B$20,1)))/$A42</f>
        <v>0.155</v>
      </c>
      <c r="D42" s="151" t="n">
        <f aca="false">$C42-$B42</f>
        <v>0.095</v>
      </c>
      <c r="E42" s="152" t="n">
        <f aca="false">$D42*$A42</f>
        <v>17100</v>
      </c>
      <c r="G42" s="14" t="s">
        <v>454</v>
      </c>
    </row>
    <row r="43" customFormat="false" ht="15" hidden="false" customHeight="false" outlineLevel="0" collapsed="false">
      <c r="A43" s="133" t="n">
        <v>360000</v>
      </c>
      <c r="B43" s="151" t="n">
        <f aca="false">($A43*INDEX($D$6:$D$11,MATCH($A43,$B$6:$B$11,1))-INDEX($E$6:$E$11,MATCH($A43,$B$6:$B$11,1)))/$A43</f>
        <v>0.086</v>
      </c>
      <c r="C43" s="151" t="n">
        <f aca="false">($A43*INDEX($D$15:$D$20,MATCH($A43,$B$15:$B$20,1))-INDEX($E$15:$E$20,MATCH($A43,$B$15:$B$20,1)))/$A43</f>
        <v>0.1675</v>
      </c>
      <c r="D43" s="151" t="n">
        <f aca="false">$C43-$B43</f>
        <v>0.0815</v>
      </c>
      <c r="E43" s="152" t="n">
        <f aca="false">$D43*$A43</f>
        <v>29340</v>
      </c>
    </row>
    <row r="44" customFormat="false" ht="15" hidden="false" customHeight="false" outlineLevel="0" collapsed="false">
      <c r="A44" s="133" t="n">
        <v>720000</v>
      </c>
      <c r="B44" s="151" t="n">
        <f aca="false">($A44*INDEX($D$6:$D$11,MATCH($A44,$B$6:$B$11,1))-INDEX($E$6:$E$11,MATCH($A44,$B$6:$B$11,1)))/$A44</f>
        <v>0.1105</v>
      </c>
      <c r="C44" s="151" t="n">
        <f aca="false">($A44*INDEX($D$15:$D$20,MATCH($A44,$B$15:$B$20,1))-INDEX($E$15:$E$20,MATCH($A44,$B$15:$B$20,1)))/$A44</f>
        <v>0.18125</v>
      </c>
      <c r="D44" s="151" t="n">
        <f aca="false">$C44-$B44</f>
        <v>0.07075</v>
      </c>
      <c r="E44" s="152" t="n">
        <f aca="false">$D44*$A44</f>
        <v>50940</v>
      </c>
    </row>
    <row r="45" customFormat="false" ht="15" hidden="false" customHeight="false" outlineLevel="0" collapsed="false">
      <c r="A45" s="133" t="n">
        <v>1800000</v>
      </c>
      <c r="B45" s="151" t="n">
        <f aca="false">($A45*INDEX($D$6:$D$11,MATCH($A45,$B$6:$B$11,1))-INDEX($E$6:$E$11,MATCH($A45,$B$6:$B$11,1)))/$A45</f>
        <v>0.1402</v>
      </c>
      <c r="C45" s="151" t="n">
        <f aca="false">($A45*INDEX($D$15:$D$20,MATCH($A45,$B$15:$B$20,1))-INDEX($E$15:$E$20,MATCH($A45,$B$15:$B$20,1)))/$A45</f>
        <v>0.1955</v>
      </c>
      <c r="D45" s="151" t="n">
        <f aca="false">$C45-$B45</f>
        <v>0.0553</v>
      </c>
      <c r="E45" s="152" t="n">
        <f aca="false">$D45*$A45</f>
        <v>99540</v>
      </c>
    </row>
    <row r="46" customFormat="false" ht="15" hidden="false" customHeight="false" outlineLevel="0" collapsed="false">
      <c r="A46" s="133" t="n">
        <v>3600000</v>
      </c>
      <c r="B46" s="151" t="n">
        <f aca="false">($A46*INDEX($D$6:$D$11,MATCH($A46,$B$6:$B$11,1))-INDEX($E$6:$E$11,MATCH($A46,$B$6:$B$11,1)))/$A46</f>
        <v>0.1751</v>
      </c>
      <c r="C46" s="151" t="n">
        <f aca="false">($A46*INDEX($D$15:$D$20,MATCH($A46,$B$15:$B$20,1))-INDEX($E$15:$E$20,MATCH($A46,$B$15:$B$20,1)))/$A46</f>
        <v>0.21275</v>
      </c>
      <c r="D46" s="151" t="n">
        <f aca="false">$C46-$B46</f>
        <v>0.03765</v>
      </c>
      <c r="E46" s="152" t="n">
        <f aca="false">$D46*$A46</f>
        <v>135540</v>
      </c>
    </row>
    <row r="47" customFormat="false" ht="15" hidden="false" customHeight="false" outlineLevel="0" collapsed="false">
      <c r="A47" s="133" t="n">
        <v>4800000</v>
      </c>
      <c r="B47" s="151" t="n">
        <f aca="false">($A47*INDEX($D$6:$D$11,MATCH($A47,$B$6:$B$11,1))-INDEX($E$6:$E$11,MATCH($A47,$B$6:$B$11,1)))/$A47</f>
        <v>0.195</v>
      </c>
      <c r="C47" s="151" t="n">
        <f aca="false">($A47*INDEX($D$15:$D$20,MATCH($A47,$B$15:$B$20,1))-INDEX($E$15:$E$20,MATCH($A47,$B$15:$B$20,1)))/$A47</f>
        <v>0.1925</v>
      </c>
      <c r="D47" s="151" t="n">
        <f aca="false">$C47-$B47</f>
        <v>-0.0025</v>
      </c>
      <c r="E47" s="152" t="n">
        <f aca="false">$D47*$A47</f>
        <v>-12000</v>
      </c>
    </row>
  </sheetData>
  <mergeCells count="7">
    <mergeCell ref="A32:G32"/>
    <mergeCell ref="A33:G33"/>
    <mergeCell ref="A34:G34"/>
    <mergeCell ref="A35:G35"/>
    <mergeCell ref="A36:G36"/>
    <mergeCell ref="A37:G37"/>
    <mergeCell ref="A38:G3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2026-08-29T22:18:20Z</dcterms:created>
  <dc:creator>openpyxl</dc:creator>
  <dc:description/>
  <dc:language>en-US</dc:language>
  <cp:lastModifiedBy/>
  <dcterms:modified xsi:type="dcterms:W3CDTF">2026-08-29T22:18:21Z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