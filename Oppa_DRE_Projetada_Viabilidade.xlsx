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o usar" sheetId="1" state="visible" r:id="rId3"/>
    <sheet name="Resumo" sheetId="2" state="visible" r:id="rId4"/>
    <sheet name="Premissas" sheetId="3" state="visible" r:id="rId5"/>
    <sheet name="Pessoas" sheetId="4" state="visible" r:id="rId6"/>
    <sheet name="Sócios" sheetId="5" state="visible" r:id="rId7"/>
    <sheet name="DRE Projetada" sheetId="6" state="visible" r:id="rId8"/>
    <sheet name="Análise Fluxo" sheetId="7" state="visible" r:id="rId9"/>
    <sheet name="Faturamento" sheetId="8" state="visible" r:id="rId10"/>
    <sheet name="Usuários" sheetId="9" state="visible" r:id="rId11"/>
    <sheet name="Cenários" sheetId="10" state="visible" r:id="rId12"/>
    <sheet name="Investimentos" sheetId="11" state="visible" r:id="rId13"/>
    <sheet name="Aportes" sheetId="12" state="visible" r:id="rId14"/>
    <sheet name="Tributo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8" authorId="0">
      <text>
        <r>
          <rPr>
            <sz val="10"/>
            <rFont val="Arial"/>
            <family val="2"/>
          </rPr>
          <t xml:space="preserve">Aba Pessoas. Com 0, só entram no modelo as pessoas com status 'Contratado' — hoje, apenas a equipe do MVP de set–out/2026. Com 1, entra também o plano de contratações futuras, que é sugestão a validar, não compromisso.</t>
        </r>
      </text>
    </comment>
    <comment ref="B15" authorId="0">
      <text>
        <r>
          <rPr>
            <sz val="10"/>
            <rFont val="Arial"/>
            <family val="2"/>
          </rPr>
          <t xml:space="preserve">Um app recém-lançado não converte no patamar de regime no primeiro mês. A conversão cresce linearmente do lançamento até atingir, em N meses, o patamar definido para o ano. Com 6 meses e patamar de 5%, outubro/2026 converte a 0,83%, novembro a 1,67% e dezembro a 2,50%.</t>
        </r>
      </text>
    </comment>
    <comment ref="B18" authorId="0">
      <text>
        <r>
          <rPr>
            <sz val="10"/>
            <rFont val="Arial"/>
            <family val="2"/>
          </rPr>
          <t xml:space="preserve">Taxa de desconto. A planilha original usava 16% a.a. Para startup pré-receita a faixa usual é 25%–40% a.a. Ajustável.</t>
        </r>
      </text>
    </comment>
    <comment ref="B23" authorId="0">
      <text>
        <r>
          <rPr>
            <sz val="10"/>
            <rFont val="Arial"/>
            <family val="2"/>
          </rPr>
          <t xml:space="preserve">ATENÇÃO — Fator R. Licenciamento/cessão de uso de software é Anexo V, migrando para Anexo III só se o Fator R (folha + pró-labore dos últimos 12 meses ÷ RBT12) for &gt;= 28%. Pagamento a equipe PJ NÃO conta como folha. A aba Pessoas calcula o Fator R do seu quadro.</t>
        </r>
      </text>
    </comment>
    <comment ref="B24" authorId="0">
      <text>
        <r>
          <rPr>
            <sz val="10"/>
            <rFont val="Arial"/>
            <family val="2"/>
          </rPr>
          <t xml:space="preserve">Serviços: PIS 0,65% + COFINS 3,00% + ISS 5,00% + IRPJ 4,80% (32% de presunção × 15%) + CSLL 2,88% (32% × 9%) = 16,33% da receita bruta. ISS varia de 2% a 5% conforme o município.</t>
        </r>
      </text>
    </comment>
    <comment ref="B62" authorId="0">
      <text>
        <r>
          <rPr>
            <sz val="10"/>
            <rFont val="Arial"/>
            <family val="2"/>
          </rPr>
          <t xml:space="preserve">Google Play cobra 15% em todas as assinaturas auto-renováveis desde o 1º dia. Apple cobra 30%, reduzidos a 15% no App Store Small Business Program (receita anual &lt; US$ 1 mi) ou a partir do 2º ano de assinatura. Acima de US$ 1 mi/ano a Apple volta a 30%.</t>
        </r>
      </text>
    </comment>
    <comment ref="B85" authorId="0">
      <text>
        <r>
          <rPr>
            <sz val="10"/>
            <rFont val="Arial"/>
            <family val="2"/>
          </rPr>
          <t xml:space="preserve">Aportes em negociação adiantada mas sem assinatura — hoje os R$ 120 mil de C-ioT, Felipe Martinelli e Shaiane. Estão ligados por padrão porque a negociação está em curso. Desligue para ver a Oppa apenas com o capital dos fundadores.</t>
        </r>
      </text>
    </comment>
    <comment ref="B86" authorId="0">
      <text>
        <r>
          <rPr>
            <sz val="10"/>
            <rFont val="Arial"/>
            <family val="2"/>
          </rPr>
          <t xml:space="preserve">Vale para os lançamentos marcados como 'Em negociação' e para as parcerias estratégicas com status 'Em negociação' — hoje, a Boston Scientific. Desligado por padrão para que a viabilidade não dependa de receita nem de capital não contratados. Ligue para dimensionar o upside.</t>
        </r>
      </text>
    </comment>
    <comment ref="C34" authorId="0">
      <text>
        <r>
          <rPr>
            <sz val="10"/>
            <rFont val="Arial"/>
            <family val="2"/>
          </rPr>
          <t xml:space="preserve">Em assinatura B2C de ticket baixo a decisão é 'pagar ou não pagar', não 'qual plano' — o degrau de entrada concentra a base. Referências de mercado põem o plano de entrada em 60–75% dos assinantes. O efeito compromisso (Simonson &amp; Tversky, 1992) puxa parte da base para o plano do meio ao longo do tempo. Daí o mix migrar de 75/20/5 para 60/28/12.</t>
        </r>
      </text>
    </comment>
    <comment ref="C45" authorId="0">
      <text>
        <r>
          <rPr>
            <sz val="10"/>
            <rFont val="Arial"/>
            <family val="2"/>
          </rPr>
          <t xml:space="preserve">Calibrado para a meta do brief: ~50.000 usuários na base ao final de 2026. Com lançamento em out/2026 e churn de 8%/mês, 18.100 novos/mês em out+nov+dez levam a uma base de ~50.100 em dez/2026.</t>
        </r>
      </text>
    </comment>
    <comment ref="C49" authorId="0">
      <text>
        <r>
          <rPr>
            <sz val="10"/>
            <rFont val="Arial"/>
            <family val="2"/>
          </rPr>
          <t xml:space="preserve">Benchmarks 2025/2026 de apps de assinatura em Saúde &amp; Fitness: churn mensal de 7% a 10% (mediana ~9,2%); os melhores ficam abaixo de 5%. Adotado 8% em 2026 melhorando 6% ao ano, assumindo que monitoramento de saúde retém melhor que fitness (necessidade médica, não motivação). Fontes: RevenueCat State of Subscription Apps 2025; Business of Apps.</t>
        </r>
      </text>
    </comment>
    <comment ref="C53" authorId="0">
      <text>
        <r>
          <rPr>
            <sz val="10"/>
            <rFont val="Arial"/>
            <family val="2"/>
          </rPr>
          <t xml:space="preserve">Premissa do brief: 5% de pagantes. Benchmarks de freemium: mediana 2,2%–2,6%, faixa típica 2%–5%, quartil superior 5%–8%. Este é o patamar de REGIME: nos primeiros meses após o lançamento a conversão sobe pela rampa definida no controle 1, então 2026 sai bem abaixo de 5%. Fontes: RevenueCat 2025; Userpilot; Geneo.</t>
        </r>
      </text>
    </comment>
    <comment ref="C57" authorId="0">
      <text>
        <r>
          <rPr>
            <sz val="10"/>
            <rFont val="Arial"/>
            <family val="2"/>
          </rPr>
          <t xml:space="preserve">CPI (custo por instalação) no Brasil em Meta/Google Ads para apps de saúde: R$ 1,50–4,00. Sobe ao longo do tempo conforme se esgotam as audiências baratas. A agência da Shaiane reduz o custo de produção criativa, não o custo de mídia.</t>
        </r>
      </text>
    </comment>
    <comment ref="C72" authorId="0">
      <text>
        <r>
          <rPr>
            <sz val="10"/>
            <rFont val="Arial"/>
            <family val="2"/>
          </rPr>
          <t xml:space="preserve">Ancorado no gasto real de R$ 532,29 em 04/05/2026 (pré-lançamento). Cresce com ambientes, observabilidade, banco gerenciado e redundância.</t>
        </r>
      </text>
    </comment>
    <comment ref="C73" authorId="0">
      <text>
        <r>
          <rPr>
            <sz val="10"/>
            <rFont val="Arial"/>
            <family val="2"/>
          </rPr>
          <t xml:space="preserve">Usuário pagante tem histórico: série temporal de sinais vitais armazenada e consultável. Custo de banco time-series + storage + processamento. Cai com escala.</t>
        </r>
      </text>
    </comment>
    <comment ref="C74" authorId="0">
      <text>
        <r>
          <rPr>
            <sz val="10"/>
            <rFont val="Arial"/>
            <family val="2"/>
          </rPr>
          <t xml:space="preserve">O brief assume custo ~zero para o gratuito, pois não há histórico. Não é exatamente zero: a ingestão em tempo real e as chamadas de API consomem compute mesmo sem persistência. R$ 0,02/mês (R$ 0,24/ano) é esse custo residual.</t>
        </r>
      </text>
    </comment>
    <comment ref="C78" authorId="0">
      <text>
        <r>
          <rPr>
            <sz val="10"/>
            <rFont val="Arial"/>
            <family val="2"/>
          </rPr>
          <t xml:space="preserve">Reduzido pela entrada da Shaiane, sócia com agência de marketing própria, que absorve produção criativa e gestão. Não elimina o custo: ferramentas, mídia de conteúdo, influenciadores e produção seguem sendo desembolso. Pessoas de growth ficam na aba Pessoas.</t>
        </r>
      </text>
    </comment>
    <comment ref="D34" authorId="0">
      <text>
        <r>
          <rPr>
            <sz val="10"/>
            <rFont val="Arial"/>
            <family val="2"/>
          </rPr>
          <t xml:space="preserve">Em assinatura B2C de ticket baixo a decisão é 'pagar ou não pagar', não 'qual plano' — o degrau de entrada concentra a base. Referências de mercado põem o plano de entrada em 60–75% dos assinantes. O efeito compromisso (Simonson &amp; Tversky, 1992) puxa parte da base para o plano do meio ao longo do tempo. Daí o mix migrar de 75/20/5 para 60/28/12.</t>
        </r>
      </text>
    </comment>
    <comment ref="D72" authorId="0">
      <text>
        <r>
          <rPr>
            <sz val="10"/>
            <rFont val="Arial"/>
            <family val="2"/>
          </rPr>
          <t xml:space="preserve">Ancorado no gasto real de R$ 532,29 em 04/05/2026 (pré-lançamento). Cresce com ambientes, observabilidade, banco gerenciado e redundância.</t>
        </r>
      </text>
    </comment>
    <comment ref="D73" authorId="0">
      <text>
        <r>
          <rPr>
            <sz val="10"/>
            <rFont val="Arial"/>
            <family val="2"/>
          </rPr>
          <t xml:space="preserve">Usuário pagante tem histórico: série temporal de sinais vitais armazenada e consultável. Custo de banco time-series + storage + processamento. Cai com escala.</t>
        </r>
      </text>
    </comment>
    <comment ref="D74" authorId="0">
      <text>
        <r>
          <rPr>
            <sz val="10"/>
            <rFont val="Arial"/>
            <family val="2"/>
          </rPr>
          <t xml:space="preserve">O brief assume custo ~zero para o gratuito, pois não há histórico. Não é exatamente zero: a ingestão em tempo real e as chamadas de API consomem compute mesmo sem persistência. R$ 0,02/mês (R$ 0,24/ano) é esse custo residual.</t>
        </r>
      </text>
    </comment>
    <comment ref="D78" authorId="0">
      <text>
        <r>
          <rPr>
            <sz val="10"/>
            <rFont val="Arial"/>
            <family val="2"/>
          </rPr>
          <t xml:space="preserve">Reduzido pela entrada da Shaiane, sócia com agência de marketing própria, que absorve produção criativa e gestão. Não elimina o custo: ferramentas, mídia de conteúdo, influenciadores e produção seguem sendo desembolso. Pessoas de growth ficam na aba Pessoas.</t>
        </r>
      </text>
    </comment>
    <comment ref="E34" authorId="0">
      <text>
        <r>
          <rPr>
            <sz val="10"/>
            <rFont val="Arial"/>
            <family val="2"/>
          </rPr>
          <t xml:space="preserve">Em assinatura B2C de ticket baixo a decisão é 'pagar ou não pagar', não 'qual plano' — o degrau de entrada concentra a base. Referências de mercado põem o plano de entrada em 60–75% dos assinantes. O efeito compromisso (Simonson &amp; Tversky, 1992) puxa parte da base para o plano do meio ao longo do tempo. Daí o mix migrar de 75/20/5 para 60/28/12.</t>
        </r>
      </text>
    </comment>
    <comment ref="E72" authorId="0">
      <text>
        <r>
          <rPr>
            <sz val="10"/>
            <rFont val="Arial"/>
            <family val="2"/>
          </rPr>
          <t xml:space="preserve">Ancorado no gasto real de R$ 532,29 em 04/05/2026 (pré-lançamento). Cresce com ambientes, observabilidade, banco gerenciado e redundância.</t>
        </r>
      </text>
    </comment>
    <comment ref="E73" authorId="0">
      <text>
        <r>
          <rPr>
            <sz val="10"/>
            <rFont val="Arial"/>
            <family val="2"/>
          </rPr>
          <t xml:space="preserve">Usuário pagante tem histórico: série temporal de sinais vitais armazenada e consultável. Custo de banco time-series + storage + processamento. Cai com escala.</t>
        </r>
      </text>
    </comment>
    <comment ref="E74" authorId="0">
      <text>
        <r>
          <rPr>
            <sz val="10"/>
            <rFont val="Arial"/>
            <family val="2"/>
          </rPr>
          <t xml:space="preserve">O brief assume custo ~zero para o gratuito, pois não há histórico. Não é exatamente zero: a ingestão em tempo real e as chamadas de API consomem compute mesmo sem persistência. R$ 0,02/mês (R$ 0,24/ano) é esse custo residual.</t>
        </r>
      </text>
    </comment>
    <comment ref="E78" authorId="0">
      <text>
        <r>
          <rPr>
            <sz val="10"/>
            <rFont val="Arial"/>
            <family val="2"/>
          </rPr>
          <t xml:space="preserve">Reduzido pela entrada da Shaiane, sócia com agência de marketing própria, que absorve produção criativa e gestão. Não elimina o custo: ferramentas, mídia de conteúdo, influenciadores e produção seguem sendo desembolso. Pessoas de growth ficam na aba Pessoas.</t>
        </r>
      </text>
    </comment>
    <comment ref="F34" authorId="0">
      <text>
        <r>
          <rPr>
            <sz val="10"/>
            <rFont val="Arial"/>
            <family val="2"/>
          </rPr>
          <t xml:space="preserve">Em assinatura B2C de ticket baixo a decisão é 'pagar ou não pagar', não 'qual plano' — o degrau de entrada concentra a base. Referências de mercado põem o plano de entrada em 60–75% dos assinantes. O efeito compromisso (Simonson &amp; Tversky, 1992) puxa parte da base para o plano do meio ao longo do tempo. Daí o mix migrar de 75/20/5 para 60/28/12.</t>
        </r>
      </text>
    </comment>
    <comment ref="F72" authorId="0">
      <text>
        <r>
          <rPr>
            <sz val="10"/>
            <rFont val="Arial"/>
            <family val="2"/>
          </rPr>
          <t xml:space="preserve">Ancorado no gasto real de R$ 532,29 em 04/05/2026 (pré-lançamento). Cresce com ambientes, observabilidade, banco gerenciado e redundância.</t>
        </r>
      </text>
    </comment>
    <comment ref="F73" authorId="0">
      <text>
        <r>
          <rPr>
            <sz val="10"/>
            <rFont val="Arial"/>
            <family val="2"/>
          </rPr>
          <t xml:space="preserve">Usuário pagante tem histórico: série temporal de sinais vitais armazenada e consultável. Custo de banco time-series + storage + processamento. Cai com escala.</t>
        </r>
      </text>
    </comment>
    <comment ref="F74" authorId="0">
      <text>
        <r>
          <rPr>
            <sz val="10"/>
            <rFont val="Arial"/>
            <family val="2"/>
          </rPr>
          <t xml:space="preserve">O brief assume custo ~zero para o gratuito, pois não há histórico. Não é exatamente zero: a ingestão em tempo real e as chamadas de API consomem compute mesmo sem persistência. R$ 0,02/mês (R$ 0,24/ano) é esse custo residual.</t>
        </r>
      </text>
    </comment>
    <comment ref="F78" authorId="0">
      <text>
        <r>
          <rPr>
            <sz val="10"/>
            <rFont val="Arial"/>
            <family val="2"/>
          </rPr>
          <t xml:space="preserve">Reduzido pela entrada da Shaiane, sócia com agência de marketing própria, que absorve produção criativa e gestão. Não elimina o custo: ferramentas, mídia de conteúdo, influenciadores e produção seguem sendo desembolso. Pessoas de growth ficam na aba Pessoas.</t>
        </r>
      </text>
    </comment>
    <comment ref="G34" authorId="0">
      <text>
        <r>
          <rPr>
            <sz val="10"/>
            <rFont val="Arial"/>
            <family val="2"/>
          </rPr>
          <t xml:space="preserve">Em assinatura B2C de ticket baixo a decisão é 'pagar ou não pagar', não 'qual plano' — o degrau de entrada concentra a base. Referências de mercado põem o plano de entrada em 60–75% dos assinantes. O efeito compromisso (Simonson &amp; Tversky, 1992) puxa parte da base para o plano do meio ao longo do tempo. Daí o mix migrar de 75/20/5 para 60/28/12.</t>
        </r>
      </text>
    </comment>
    <comment ref="G72" authorId="0">
      <text>
        <r>
          <rPr>
            <sz val="10"/>
            <rFont val="Arial"/>
            <family val="2"/>
          </rPr>
          <t xml:space="preserve">Ancorado no gasto real de R$ 532,29 em 04/05/2026 (pré-lançamento). Cresce com ambientes, observabilidade, banco gerenciado e redundância.</t>
        </r>
      </text>
    </comment>
    <comment ref="G73" authorId="0">
      <text>
        <r>
          <rPr>
            <sz val="10"/>
            <rFont val="Arial"/>
            <family val="2"/>
          </rPr>
          <t xml:space="preserve">Usuário pagante tem histórico: série temporal de sinais vitais armazenada e consultável. Custo de banco time-series + storage + processamento. Cai com escala.</t>
        </r>
      </text>
    </comment>
    <comment ref="G74" authorId="0">
      <text>
        <r>
          <rPr>
            <sz val="10"/>
            <rFont val="Arial"/>
            <family val="2"/>
          </rPr>
          <t xml:space="preserve">O brief assume custo ~zero para o gratuito, pois não há histórico. Não é exatamente zero: a ingestão em tempo real e as chamadas de API consomem compute mesmo sem persistência. R$ 0,02/mês (R$ 0,24/ano) é esse custo residual.</t>
        </r>
      </text>
    </comment>
    <comment ref="G78" authorId="0">
      <text>
        <r>
          <rPr>
            <sz val="10"/>
            <rFont val="Arial"/>
            <family val="2"/>
          </rPr>
          <t xml:space="preserve">Reduzido pela entrada da Shaiane, sócia com agência de marketing própria, que absorve produção criativa e gestão. Não elimina o custo: ferramentas, mídia de conteúdo, influenciadores e produção seguem sendo desembolso. Pessoas de growth ficam na aba Pessoas.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6" authorId="0">
      <text>
        <r>
          <rPr>
            <sz val="10"/>
            <rFont val="Arial"/>
            <family val="2"/>
          </rPr>
          <t xml:space="preserve">Único custo de pessoal efetivamente comprometido. Brief: equipe PJ contratada em setembro para entregar o app até outubro, orçamento total de R$ 21.000 (2 meses × R$ 10.500). Classificado como Investimento porque é o desenvolvimento do ativo — amortizado em 60 meses na DRE.</t>
        </r>
      </text>
    </comment>
    <comment ref="A7" authorId="0">
      <text>
        <r>
          <rPr>
            <sz val="10"/>
            <rFont val="Arial"/>
            <family val="2"/>
          </rPr>
          <t xml:space="preserve">Manutenção e evolução do app após o lançamento. Sugestão a validar.</t>
        </r>
      </text>
    </comment>
    <comment ref="A8" authorId="0">
      <text>
        <r>
          <rPr>
            <sz val="10"/>
            <rFont val="Arial"/>
            <family val="2"/>
          </rPr>
          <t xml:space="preserve">Soma-se ao time base — não o substitui.</t>
        </r>
      </text>
    </comment>
    <comment ref="A9" authorId="0">
      <text>
        <r>
          <rPr>
            <sz val="10"/>
            <rFont val="Arial"/>
            <family val="2"/>
          </rPr>
          <t xml:space="preserve">Soma-se aos anteriores.</t>
        </r>
      </text>
    </comment>
    <comment ref="A10" authorId="0">
      <text>
        <r>
          <rPr>
            <sz val="10"/>
            <rFont val="Arial"/>
            <family val="2"/>
          </rPr>
          <t xml:space="preserve">Soma-se aos anteriores.</t>
        </r>
      </text>
    </comment>
    <comment ref="A11" authorId="0">
      <text>
        <r>
          <rPr>
            <sz val="10"/>
            <rFont val="Arial"/>
            <family val="2"/>
          </rPr>
          <t xml:space="preserve">Atendimento humano. As ferramentas de suporte (chatbot, help desk) estão em Premissas, no custo variável por pagante.</t>
        </r>
      </text>
    </comment>
    <comment ref="A15" authorId="0">
      <text>
        <r>
          <rPr>
            <sz val="10"/>
            <rFont val="Arial"/>
            <family val="2"/>
          </rPr>
          <t xml:space="preserve">Pessoa dedicada a aquisição e retenção. A mídia paga está em Premissas (CAC e marketing recorrente), não aqui.</t>
        </r>
      </text>
    </comment>
    <comment ref="A18" authorId="0">
      <text>
        <r>
          <rPr>
            <sz val="10"/>
            <rFont val="Arial"/>
            <family val="2"/>
          </rPr>
          <t xml:space="preserve">Confiabilidade da ingestão de sinais vitais e custo de nuvem sob controle.</t>
        </r>
      </text>
    </comment>
    <comment ref="A22" authorId="0">
      <text>
        <r>
          <rPr>
            <sz val="10"/>
            <rFont val="Arial"/>
            <family val="2"/>
          </rPr>
          <t xml:space="preserve">Retirada dos sócios ativos. Zero em 2026. Conta para o Fator R — ver quadro no fim desta aba.</t>
        </r>
      </text>
    </comment>
    <comment ref="A23" authorId="0">
      <text>
        <r>
          <rPr>
            <sz val="10"/>
            <rFont val="Arial"/>
            <family val="2"/>
          </rPr>
          <t xml:space="preserve">Substitui a linha anterior, que se encerra em dez/2028.</t>
        </r>
      </text>
    </comment>
    <comment ref="A24" authorId="0">
      <text>
        <r>
          <rPr>
            <sz val="10"/>
            <rFont val="Arial"/>
            <family val="2"/>
          </rPr>
          <t xml:space="preserve">Linha de exemplo, com quantidade zero. Encargos de 70% cobrem INSS patronal, FGTS, férias, 13º e provisões. Contratar em CLT eleva o Fator R e pode levar a empresa do Anexo V ao Anexo III — compare o custo da folha com a economia tributária no quadro abaixo.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4" authorId="0">
      <text>
        <r>
          <rPr>
            <sz val="10"/>
            <rFont val="Arial"/>
            <family val="2"/>
          </rPr>
          <t xml:space="preserve">Reserva de segurança. Nenhuma empresa distribui até o último real: sazonalidade, inadimplência e imprevisto exigem colchão. Seis meses de custo operacional é uma referência conservadora e comum.</t>
        </r>
      </text>
    </comment>
  </commentList>
</comments>
</file>

<file path=xl/sharedStrings.xml><?xml version="1.0" encoding="utf-8"?>
<sst xmlns="http://schemas.openxmlformats.org/spreadsheetml/2006/main" count="1152" uniqueCount="696">
  <si>
    <t xml:space="preserve">COMO USAR ESTA PLANILHA</t>
  </si>
  <si>
    <t xml:space="preserve">Leia uma vez. Depois é só mexer nas células azuis e ver tudo recalcular.</t>
  </si>
  <si>
    <t xml:space="preserve">EM 30 SEGUNDOS</t>
  </si>
  <si>
    <t xml:space="preserve">Só existem dois lugares onde você digita: a aba PREMISSAS (todos os números do negócio) e a aba PESSOAS (o quadro de pessoal). Todo o resto da planilha é calculado a partir dessas duas. Comece olhando o RESUMO, volte, ajuste, olhe de novo.</t>
  </si>
  <si>
    <t xml:space="preserve">1. Abra o Resumo</t>
  </si>
  <si>
    <t xml:space="preserve">Painel executivo com os três cenários lado a lado e o diagnóstico Go / No-Go. É a foto do modelo.</t>
  </si>
  <si>
    <t xml:space="preserve">2. Mude o cenário</t>
  </si>
  <si>
    <t xml:space="preserve">Premissas, controle 1.1: digite 1 (Conservador), 2 (Provável) ou 3 (Agressivo). As abas de detalhe passam todas a mostrar o cenário escolhido. O Resumo mostra os três sempre.</t>
  </si>
  <si>
    <t xml:space="preserve">3. Ajuste o que quiser</t>
  </si>
  <si>
    <t xml:space="preserve">Qualquer célula azul. O modelo inteiro recalcula na hora — não há nada para rodar ou atualizar.</t>
  </si>
  <si>
    <t xml:space="preserve">4. Confira</t>
  </si>
  <si>
    <t xml:space="preserve">Na Análise Fluxo há uma linha de verificação que compara o detalhamento com o motor de cenários. Ela tem que ficar zerada. Se aparecer um número diferente de zero, alguma fórmula foi sobrescrita por engano.</t>
  </si>
  <si>
    <t xml:space="preserve">AS CORES DIZEM O QUE É CADA CÉLULA</t>
  </si>
  <si>
    <t xml:space="preserve">Azul</t>
  </si>
  <si>
    <t xml:space="preserve">Você digita. É uma premissa sua.</t>
  </si>
  <si>
    <t xml:space="preserve">Fundo amarelo</t>
  </si>
  <si>
    <t xml:space="preserve">Premissa-chave: mexer nela desloca bastante o resultado. Comece por essas.</t>
  </si>
  <si>
    <t xml:space="preserve">Preto</t>
  </si>
  <si>
    <t xml:space="preserve">Fórmula calculada dentro da própria aba. Não mexa.</t>
  </si>
  <si>
    <t xml:space="preserve">Verde</t>
  </si>
  <si>
    <t xml:space="preserve">Valor que vem de outra aba. Não mexa — mude na origem.</t>
  </si>
  <si>
    <t xml:space="preserve">Marca vermelha no canto</t>
  </si>
  <si>
    <t xml:space="preserve">Passe o mouse: há um comentário com a fonte ou a justificativa do número.</t>
  </si>
  <si>
    <t xml:space="preserve">AS PERGUNTAS MAIS COMUNS E ONDE MEXER</t>
  </si>
  <si>
    <t xml:space="preserve">“E se lançarmos mais tarde?”</t>
  </si>
  <si>
    <t xml:space="preserve">Premissas → Ano de lançamento e Mês de lançamento. São dois campos separados; a data e o mês nº da linha do tempo se ajustam sozinhos, e com eles receita, marketing e conversão.</t>
  </si>
  <si>
    <t xml:space="preserve">“Achamos que 5% de pagantes é otimista.”</t>
  </si>
  <si>
    <t xml:space="preserve">Premissas → seção 4 → Taxa de conversão. Digite o patamar de 2026 na coluna C e a evolução anual na coluna B. Lembre que este é o patamar DE REGIME: nos primeiros meses a conversão sobe pela rampa, então 2026 sai naturalmente mais tímido.</t>
  </si>
  <si>
    <t xml:space="preserve">“Quanto tempo até converter no patamar cheio?”</t>
  </si>
  <si>
    <t xml:space="preserve">Premissas → Rampa de maturação da conversão (meses). Com 6, o app leva 6 meses após o lançamento para atingir o patamar do ano. Coloque 1 se quiser conversão cheia desde o primeiro mês.</t>
  </si>
  <si>
    <t xml:space="preserve">“Vamos contratar mais gente / menos gente.”</t>
  </si>
  <si>
    <t xml:space="preserve">Aba PESSOAS. Uma linha por papel: quantidade, custo por pessoa, mês de início e mês de fim. Adicione linhas nos espaços em branco no fim da tabela. O custo total do mês é calculado sozinho e desce para a DRE e para o fluxo de caixa.</t>
  </si>
  <si>
    <t xml:space="preserve">“Quero ver o modelo só com o que já está contratado.”</t>
  </si>
  <si>
    <t xml:space="preserve">Premissas → controle “Considerar o plano de contratações?” → digite 0. Some do modelo tudo que está marcado como Plano na aba Pessoas, sobrando apenas a equipe do MVP.</t>
  </si>
  <si>
    <t xml:space="preserve">“E se os aportes atrasarem?”</t>
  </si>
  <si>
    <t xml:space="preserve">Aba APORTES: mude a data de qualquer linha. Veja o efeito na linha Caixa Acumulado da Análise Fluxo e no indicador “Caixa mínimo” do Resumo.</t>
  </si>
  <si>
    <t xml:space="preserve">“Quero incluir um investidor novo.”</t>
  </si>
  <si>
    <t xml:space="preserve">Aba APORTES. Se ele só coloca dinheiro, preencha uma linha em branco da tabela 1: data, nome, valor, status e tipo. Se ele também traz receita — uma parceria como a da Boston Scientific — use a tabela 2, que tem campos para o aporte e para a receita mensal recorrente, com início e fim. Não é preciso mexer em nenhuma fórmula.</t>
  </si>
  <si>
    <t xml:space="preserve">“E se a Boston fechar?”</t>
  </si>
  <si>
    <t xml:space="preserve">Aba Aportes, tabela 2: mude o status da linha da Boston para Confirmado, ou ligue o interruptor “Considerar acordos em negociação” na seção 7 de Premissas para ver todos os acordos em negociação de uma vez.</t>
  </si>
  <si>
    <t xml:space="preserve">“Quanto cada sócio tem do capital?”</t>
  </si>
  <si>
    <t xml:space="preserve">Aba Aportes, seção 5. É a proporção do dinheiro aportado — ponto de partida da conversa societária, não percentual de equity, que depende do valuation de cada rodada. Ao incluir um investidor novo, lembre de acrescentar o nome dele também nesta tabela: a linha “Capital não atribuído” avisa se você esquecer.</t>
  </si>
  <si>
    <t xml:space="preserve">“Vamos mudar os preços dos planos.”</t>
  </si>
  <si>
    <t xml:space="preserve">Premissas → seção 3. Preços e mix por plano. A ARPPU implícita aparece logo abaixo do mix, para você conferir o efeito antes de olhar o resultado.</t>
  </si>
  <si>
    <t xml:space="preserve">AS ABAS, UMA A UMA</t>
  </si>
  <si>
    <t xml:space="preserve">Como usar</t>
  </si>
  <si>
    <t xml:space="preserve">Este guia.</t>
  </si>
  <si>
    <t xml:space="preserve">Resumo</t>
  </si>
  <si>
    <t xml:space="preserve">Painel executivo. Três cenários lado a lado, teste Go/No-Go em quatro perguntas objetivas, métricas de unidade e a lista de pontos de atenção que apareceram na modelagem. É a aba para mostrar a um investidor.</t>
  </si>
  <si>
    <t xml:space="preserve">Premissas</t>
  </si>
  <si>
    <t xml:space="preserve">Todos os números do negócio, em oito seções: controles, tributação, preços e mix, drivers por cenário, monetização, custos operacionais, Boston Scientific e notas metodológicas. É aqui que você passa a maior parte do tempo.</t>
  </si>
  <si>
    <t xml:space="preserve">Pessoas</t>
  </si>
  <si>
    <t xml:space="preserve">O quadro de pessoal, linha a linha. Separa o que está contratado do que é plano, calcula o headcount mês a mês e o Fator R — o índice que decide se a empresa fica no Anexo III ou no Anexo V do Simples.</t>
  </si>
  <si>
    <t xml:space="preserve">DRE Projetada</t>
  </si>
  <si>
    <t xml:space="preserve">A demonstração de resultado em regime de competência, mês a mês e consolidada por ano. Receita bruta → deduções → receita líquida → lucro bruto → EBITDA → lucro líquido, com as margens em cada etapa.</t>
  </si>
  <si>
    <t xml:space="preserve">Análise Fluxo</t>
  </si>
  <si>
    <t xml:space="preserve">O fluxo de caixa, na mesma estrutura da sua planilha de Análise de Investimento: Projeto (investimentos) → Operacionais → Fluxo de Caixa Livre → VPL, TIR e Payback. Traz também a linha de verificação e o caixa acumulado.</t>
  </si>
  <si>
    <t xml:space="preserve">Faturamento</t>
  </si>
  <si>
    <t xml:space="preserve">A receita aberta por linha de negócio — cada plano, marketplace, B2B — com as deduções e um resumo anual.</t>
  </si>
  <si>
    <t xml:space="preserve">Usuários</t>
  </si>
  <si>
    <t xml:space="preserve">O funil de usuários e as métricas de unidade: CAC, LTV, LTV/CAC, ARPPU, payback do CAC, queima de caixa e runway.</t>
  </si>
  <si>
    <t xml:space="preserve">Cenários</t>
  </si>
  <si>
    <t xml:space="preserve">O motor. Os três cenários rodam aqui, mês a mês, e todas as outras abas leem daqui. É a aba mais densa e a única fonte de verdade dos números — consulte, não edite.</t>
  </si>
  <si>
    <t xml:space="preserve">Investimentos</t>
  </si>
  <si>
    <t xml:space="preserve">Cronograma de CAPEX (equipamentos, marca, certificações) e a amortização em 60 meses. O desenvolvimento do app entra aqui vindo da aba Pessoas.</t>
  </si>
  <si>
    <t xml:space="preserve">Aportes</t>
  </si>
  <si>
    <t xml:space="preserve">Todo o capital da empresa: lançamentos de aporte, investidores estratégicos que trazem receita recorrente, resumo do capital, controle do compromisso de R$ 20.000 por fundador e a proporção do capital por sócio. Todas as tabelas têm linhas em branco para você incluir investidores novos.</t>
  </si>
  <si>
    <t xml:space="preserve">Tributos</t>
  </si>
  <si>
    <t xml:space="preserve">Tabelas dos Anexos III e V do Simples Nacional, a tabela ativa conforme o regime escolhido, a explicação do Fator R e quanto custa por ano cair no anexo errado.</t>
  </si>
  <si>
    <t xml:space="preserve">O QUE NÃO MEXER</t>
  </si>
  <si>
    <t xml:space="preserve">Nada quebra de forma irreversível, mas três coisas causam confusão:</t>
  </si>
  <si>
    <t xml:space="preserve">A aba Cenários</t>
  </si>
  <si>
    <t xml:space="preserve">É o motor. Se você mudar uma fórmula lá, as outras abas passam a mostrar números que não batem entre si. A linha de verificação da Análise Fluxo vai acusar.</t>
  </si>
  <si>
    <t xml:space="preserve">As linhas de total</t>
  </si>
  <si>
    <t xml:space="preserve">Em negrito e com fundo azul-claro. São somas — mude as parcelas, não o total.</t>
  </si>
  <si>
    <t xml:space="preserve">A coluna TOTAL (última à direita)</t>
  </si>
  <si>
    <t xml:space="preserve">Em linhas de saldo — base de usuários, caixa acumulado, pagantes — ela mostra o valor do último mês, não uma soma. Está anotado ao lado de cada uma.</t>
  </si>
  <si>
    <t xml:space="preserve">SE ALGUM NÚMERO PARECER ERRADO</t>
  </si>
  <si>
    <t xml:space="preserve">Confira a linha de verificação</t>
  </si>
  <si>
    <t xml:space="preserve">Análise Fluxo, logo abaixo do Caixa Acumulado. Tem que estar zerada em todos os meses.</t>
  </si>
  <si>
    <t xml:space="preserve">Confira o mix de planos</t>
  </si>
  <si>
    <t xml:space="preserve">Premissas, seção 3: a linha de verificação do mix precisa somar 100% em todos os anos.</t>
  </si>
  <si>
    <t xml:space="preserve">Recalcule</t>
  </si>
  <si>
    <t xml:space="preserve">No Excel, F9 força o recálculo. Se você abriu o arquivo e os números parecem antigos, confira se o cálculo automático está ligado em Fórmulas → Opções de Cálculo.</t>
  </si>
  <si>
    <t xml:space="preserve">Cuidado ao sobrescrever fórmulas</t>
  </si>
  <si>
    <t xml:space="preserve">Nas seções com evolução anual (drivers por cenário), as colunas de 2027 a 2030 são calculadas. Digitar por cima é permitido e às vezes desejável — mas aquele ano deixa de seguir a taxa de evolução, e os anos seguintes passam a contar a partir do que você digitou.</t>
  </si>
  <si>
    <t xml:space="preserve">As premissas mais sensíveis do modelo, em ordem: taxa de conversão, churn, CAC e quadro de pessoal. Se for calibrar alguma coisa com os sócios, comece por essas quatro.</t>
  </si>
  <si>
    <t xml:space="preserve">OPPA — VIABILIDADE FINANCEIRA · PAINEL EXECUTIVO</t>
  </si>
  <si>
    <t xml:space="preserve">Projeção de 60 meses (jan/2026 – dez/2030). Os três cenários são calculados simultaneamente. Todos os números vêm de fórmulas — nada está digitado à mão.</t>
  </si>
  <si>
    <t xml:space="preserve">INDICADOR</t>
  </si>
  <si>
    <t xml:space="preserve">CONSERVADOR</t>
  </si>
  <si>
    <t xml:space="preserve">PROVÁVEL</t>
  </si>
  <si>
    <t xml:space="preserve">AGRESSIVO</t>
  </si>
  <si>
    <t xml:space="preserve">Cenário em uso nas abas de detalhe</t>
  </si>
  <si>
    <t xml:space="preserve">TRAÇÃO — USUÁRIOS E RECEITA</t>
  </si>
  <si>
    <t xml:space="preserve">Usuários na base em dez/2026</t>
  </si>
  <si>
    <t xml:space="preserve">Meta do brief: 50 mil usuários ao final de 2026.</t>
  </si>
  <si>
    <t xml:space="preserve">Usuários na base em dez/2030</t>
  </si>
  <si>
    <t xml:space="preserve">Assinantes pagantes em dez/2026</t>
  </si>
  <si>
    <t xml:space="preserve">Meta do brief: 5% da base pagante.</t>
  </si>
  <si>
    <t xml:space="preserve">Assinantes pagantes em dez/2030</t>
  </si>
  <si>
    <t xml:space="preserve">Receita bruta de 2026</t>
  </si>
  <si>
    <t xml:space="preserve">Receita bruta de 2030</t>
  </si>
  <si>
    <t xml:space="preserve">Receita bruta acumulada em 5 anos</t>
  </si>
  <si>
    <t xml:space="preserve">RESULTADO OPERACIONAL</t>
  </si>
  <si>
    <t xml:space="preserve">EBITDA de 2026</t>
  </si>
  <si>
    <t xml:space="preserve">EBITDA de 2030</t>
  </si>
  <si>
    <t xml:space="preserve">EBITDA acumulado em 5 anos</t>
  </si>
  <si>
    <t xml:space="preserve">Margem EBITDA em 2030 (% da receita bruta)</t>
  </si>
  <si>
    <t xml:space="preserve">Break-even do EBITDA</t>
  </si>
  <si>
    <t xml:space="preserve">Primeiro mês com EBITDA positivo — quando a operação passa a se pagar.</t>
  </si>
  <si>
    <t xml:space="preserve">CAPITAL E CAIXA</t>
  </si>
  <si>
    <t xml:space="preserve">Investimento total (CAPEX)</t>
  </si>
  <si>
    <t xml:space="preserve">Capital requerido (pico de caixa negativo do FCL)</t>
  </si>
  <si>
    <t xml:space="preserve">Quanto a operação precisa de capital antes de se sustentar sozinha.</t>
  </si>
  <si>
    <t xml:space="preserve">Capital total considerado</t>
  </si>
  <si>
    <t xml:space="preserve">Caixa mínimo ao longo do período</t>
  </si>
  <si>
    <t xml:space="preserve">Se ficar negativo, o capital planejado não é suficiente — falta captar a diferença.</t>
  </si>
  <si>
    <t xml:space="preserve">Mês do caixa mínimo</t>
  </si>
  <si>
    <t xml:space="preserve">Quando o caixa chega no fundo do poço — é o mês para o qual o aporte precisa chegar antes.</t>
  </si>
  <si>
    <t xml:space="preserve">Caixa em dez/2030</t>
  </si>
  <si>
    <t xml:space="preserve">INDICADORES DE VIABILIDADE (sobre o Fluxo de Caixa Livre)</t>
  </si>
  <si>
    <t xml:space="preserve">VPL — Valor Presente Líquido</t>
  </si>
  <si>
    <t xml:space="preserve">Descontado à TMA definida em Premissas. Positivo = o projeto cria valor.</t>
  </si>
  <si>
    <t xml:space="preserve">TIR mensal</t>
  </si>
  <si>
    <t xml:space="preserve">TIR anual</t>
  </si>
  <si>
    <t xml:space="preserve">Compare com a TMA. Atenção: quando o investimento inicial é pequeno diante do caixa gerado, a TIR fica muito alta e perde poder de comparação — olhe o VPL junto.</t>
  </si>
  <si>
    <t xml:space="preserve">Payback simples (meses)</t>
  </si>
  <si>
    <t xml:space="preserve">Mês em que o FCL acumulado passa a positivo e não volta mais.</t>
  </si>
  <si>
    <t xml:space="preserve">Payback descontado (meses)</t>
  </si>
  <si>
    <t xml:space="preserve">Critério de decisão: payback desejado definido em Premissas.</t>
  </si>
  <si>
    <t xml:space="preserve">FCL acumulado em 5 anos</t>
  </si>
  <si>
    <t xml:space="preserve">Retorno sobre o capital requerido (múltiplo)</t>
  </si>
  <si>
    <t xml:space="preserve">Múltiplo, não percentual: 3,0x significa devolver três vezes o capital que o projeto precisou. Negativo significa que o capital não volta.</t>
  </si>
  <si>
    <t xml:space="preserve">TESTE DE DECISÃO — GO / NO-GO</t>
  </si>
  <si>
    <t xml:space="preserve">O caixa nunca fica negativo?</t>
  </si>
  <si>
    <t xml:space="preserve">O VPL é positivo?</t>
  </si>
  <si>
    <t xml:space="preserve">A TIR anual supera a TMA?</t>
  </si>
  <si>
    <t xml:space="preserve">O payback descontado cabe no prazo desejado?</t>
  </si>
  <si>
    <t xml:space="preserve">DIAGNÓSTICO</t>
  </si>
  <si>
    <t xml:space="preserve">Critério herdado da planilha de viabilidade da EMS (Go / No-Go).</t>
  </si>
  <si>
    <t xml:space="preserve">MÉTRICAS DE UNIDADE — CENÁRIO ATIVO (dez/2030)</t>
  </si>
  <si>
    <t xml:space="preserve">LTV — valor do assinante</t>
  </si>
  <si>
    <t xml:space="preserve">CAC por assinante pagante</t>
  </si>
  <si>
    <t xml:space="preserve">LTV ÷ CAC</t>
  </si>
  <si>
    <t xml:space="preserve">Referência: ≥ 3,0x é saudável. Abaixo de 1,0x destrói valor.</t>
  </si>
  <si>
    <t xml:space="preserve">Payback do CAC (meses)</t>
  </si>
  <si>
    <t xml:space="preserve">Ideal abaixo de 12 meses.</t>
  </si>
  <si>
    <t xml:space="preserve">ARPPU — receita por assinante</t>
  </si>
  <si>
    <t xml:space="preserve">Runway em dez/2026 (meses de caixa)</t>
  </si>
  <si>
    <t xml:space="preserve">Pessoas na operação em dez/2030</t>
  </si>
  <si>
    <t xml:space="preserve">Quadro de pessoal projetado. Edite linha a linha na aba Pessoas.</t>
  </si>
  <si>
    <t xml:space="preserve">PONTOS DE ATENÇÃO IDENTIFICADOS NA MODELAGEM</t>
  </si>
  <si>
    <t xml:space="preserve">▸  Fator R: o modelo está no Anexo V, e é isso mesmo</t>
  </si>
  <si>
    <t xml:space="preserve">A aba Pessoas calcula o Fator R do quadro projetado: fica entre 1% e 6%, muito abaixo dos 28% exigidos para o Anexo III. Como pagamento a PJ não conta como folha, o Anexo III simplesmente não está disponível com a estrutura atual — por isso o regime padrão do modelo é o Anexo V. Migrar parte do time para CLT ou elevar o pró-labore pode reverter isso e economizar até R$ 135 mil por ano; compare na aba Tributos antes de decidir.</t>
  </si>
  <si>
    <t xml:space="preserve">▸  Dependência dos aportes não assinados</t>
  </si>
  <si>
    <t xml:space="preserve">Dos R$ 200 mil do caso-base, R$ 120 mil vêm de C-ioT, Felipe Martinelli e Shaiane — ainda não formalizados. Sem eles, o capital cai para R$ 80 mil e o lançamento com aquisição paga não se sustenta. Este é o maior risco de curto prazo do plano.</t>
  </si>
  <si>
    <t xml:space="preserve">▸  Comissão das lojas de aplicativos</t>
  </si>
  <si>
    <t xml:space="preserve">Apple e Google retêm 15% da assinatura (Google desde o primeiro dia; Apple pelo Small Business Program, válido enquanto a receita anual for inferior a US$ 1 milhão). Acima disso a Apple volta a 30%. É a maior dedução isolada da receita e não estava no brief.</t>
  </si>
  <si>
    <t xml:space="preserve">▸  Conversão de 5% é premissa de quartil superior</t>
  </si>
  <si>
    <t xml:space="preserve">Benchmarks de freemium apontam mediana de 2,2% a 2,6% e faixa típica de 2% a 5%. Os 5% do brief são defensáveis para saúde com feature paga clara (histórico de dados), mas são a premissa mais sensível do modelo — teste o cenário Conservador (3%).</t>
  </si>
  <si>
    <t xml:space="preserve">▸  Teto do Simples Nacional</t>
  </si>
  <si>
    <t xml:space="preserve">O modelo troca automaticamente para o Lucro Presumido quando o RBT12 ultrapassa R$ 4,8 milhões. No cenário Provável isso acontece dentro do horizonte e eleva a carga tributária — planeje a transição societária e contábil com antecedência.</t>
  </si>
  <si>
    <t xml:space="preserve">▸  Só a equipe do MVP está de fato contratada</t>
  </si>
  <si>
    <t xml:space="preserve">Hoje não há time. O único custo de pessoal comprometido são os R$ 21 mil da equipe PJ de set–out/2026 para entregar o app. Todo o quadro projetado a partir de 2027 é plano, não compromisso: está na aba Pessoas, linha a linha, e pode ser desligado inteiro pelo controle de Premissas. É a premissa de custo que mais desloca o resultado.</t>
  </si>
  <si>
    <t xml:space="preserve">▸  A conversão de 2026 depende da rampa, não do patamar</t>
  </si>
  <si>
    <t xml:space="preserve">O patamar de 5% do brief é o regime de médio prazo. Com a rampa de maturação de 6 meses, outubro/2026 converte a 0,83%, novembro a 1,67% e dezembro a 2,50% — 2026 fecha bem abaixo dos 5%. Ajuste a rampa em Premissas conforme a discussão com os sócios.</t>
  </si>
  <si>
    <t xml:space="preserve">▸  O cenário Conservador mantém a estrutura de custos do Provável</t>
  </si>
  <si>
    <t xml:space="preserve">É proposital: mede o risco de dimensionar equipe, marketing e infraestrutura para uma tração que não se confirma. Na prática a gestão cortaria custos — ajuste as linhas de equipe, marketing recorrente e administrativas em Premissas para ver o Conservador com a operação redimensionada.</t>
  </si>
  <si>
    <t xml:space="preserve">▸  Cruzamento dos anexos no teto do Simples</t>
  </si>
  <si>
    <t xml:space="preserve">Na última faixa (RBT12 entre R$ 3,6 mi e R$ 4,8 mi) o Anexo V passa a ser ligeiramente mais barato que o Anexo III, porque a alíquota nominal do Anexo III sobe para 33%. Não é erro da tabela — é o desenho da LC 123/2006. Até essa faixa, o Anexo III é sempre melhor.</t>
  </si>
  <si>
    <t xml:space="preserve">▸  Boston Scientific fora do caso-base</t>
  </si>
  <si>
    <t xml:space="preserve">O acordo não está confirmado e por isso está desligado: o interruptor 'Considerar acordos em negociação' está em 0, na seção 7 de Premissas. Ligue para dimensionar o upside — e considere que a exclusividade B2B hospitalar limita outras receitas do mesmo canal. Para incluir outro investidor estratégico, some uma linha na tabela 2 da aba Aportes.</t>
  </si>
  <si>
    <t xml:space="preserve">OPPA — PREMISSAS DO MODELO</t>
  </si>
  <si>
    <t xml:space="preserve">AZUL = você digita · fundo AMARELO = premissa-chave · PRETO = calculado pelo modelo. Células com marca vermelha no canto têm a fonte do número em comentário. O quadro de pessoas fica na aba Pessoas.</t>
  </si>
  <si>
    <t xml:space="preserve">1. CONTROLES DO MODELO</t>
  </si>
  <si>
    <t xml:space="preserve">Ano →</t>
  </si>
  <si>
    <t xml:space="preserve">Evolução a.a.</t>
  </si>
  <si>
    <t xml:space="preserve">Cenário ativo  (1 = Conservador · 2 = Provável · 3 = Agressivo)</t>
  </si>
  <si>
    <t xml:space="preserve">Troque este número e a planilha inteira recalcula no cenário escolhido.</t>
  </si>
  <si>
    <t xml:space="preserve">Cenário ativo — nome</t>
  </si>
  <si>
    <t xml:space="preserve">Considerar o plano de contratações?  (1 = Sim · 0 = Não)</t>
  </si>
  <si>
    <t xml:space="preserve">Com 0, o modelo considera só quem já está contratado (equipe do MVP).</t>
  </si>
  <si>
    <t xml:space="preserve">LANÇAMENTO DO APP</t>
  </si>
  <si>
    <t xml:space="preserve">Ano de lançamento</t>
  </si>
  <si>
    <t xml:space="preserve">Mês de lançamento  (1 = janeiro … 12 = dezembro)</t>
  </si>
  <si>
    <t xml:space="preserve">Brief: app majoritariamente pronto em outubro.</t>
  </si>
  <si>
    <t xml:space="preserve">Data de lançamento (calculada)</t>
  </si>
  <si>
    <t xml:space="preserve">Mês nº do lançamento na linha do tempo</t>
  </si>
  <si>
    <t xml:space="preserve">Rampa de maturação da conversão (meses)</t>
  </si>
  <si>
    <t xml:space="preserve">É isto que torna 2026 mais tímido. Coloque 1 para converter no patamar cheio desde o primeiro mês.</t>
  </si>
  <si>
    <t xml:space="preserve">PARÂMETROS FINANCEIROS</t>
  </si>
  <si>
    <t xml:space="preserve">TMA — taxa mínima de atratividade (a.a.)</t>
  </si>
  <si>
    <t xml:space="preserve">Original usava 16% a.a.; 25% reflete risco de startup pré-receita.</t>
  </si>
  <si>
    <t xml:space="preserve">TMA equivalente mensal</t>
  </si>
  <si>
    <t xml:space="preserve">Payback desejado (meses) — critério de decisão</t>
  </si>
  <si>
    <t xml:space="preserve">Critério Go/No-Go, herdado da planilha de viabilidade da EMS.</t>
  </si>
  <si>
    <t xml:space="preserve">2. TRIBUTAÇÃO</t>
  </si>
  <si>
    <t xml:space="preserve">Regime  (1 = Simples Anexo III · 2 = Simples Anexo V · 3 = Lucro Presumido)</t>
  </si>
  <si>
    <t xml:space="preserve">⚠ Padrão = 2 (Anexo V). O Fator R do quadro atual fica muito abaixo de 28%, então o Anexo III não está disponível. Veja a conferência na aba Pessoas.</t>
  </si>
  <si>
    <t xml:space="preserve">Alíquota Lucro Presumido / acima do teto do Simples</t>
  </si>
  <si>
    <t xml:space="preserve">PIS 0,65 + COFINS 3,00 + ISS 5,00 + IRPJ 4,80 + CSLL 2,88 = 16,33%</t>
  </si>
  <si>
    <t xml:space="preserve">Teto do Simples Nacional (RBT12)</t>
  </si>
  <si>
    <t xml:space="preserve">LC 123/2006. Acima disso o modelo passa sozinho ao Lucro Presumido.</t>
  </si>
  <si>
    <t xml:space="preserve">3. PREÇOS E MIX DE PLANOS</t>
  </si>
  <si>
    <t xml:space="preserve">•  São quatro planos, conforme o backlog do produto: Free (gratuito, entra na base de usuários mas não gera receita de assinatura), Essencial, Premium e Família. Os três pagos estão abaixo; o Free é a diferença entre a base ativa e os pagantes, na aba Usuários.</t>
  </si>
  <si>
    <t xml:space="preserve">Plano Essencial (R$/mês)  ·  1 familiar, até 3 cuidadores</t>
  </si>
  <si>
    <t xml:space="preserve">Plano Premium (R$/mês)  ·  1 familiar, cuidadores ilimitados</t>
  </si>
  <si>
    <t xml:space="preserve">Plano Família (R$/mês)  ·  até 4 familiares, cuidadores ilimitados</t>
  </si>
  <si>
    <t xml:space="preserve">Reajuste anual de preços (a.a.)</t>
  </si>
  <si>
    <t xml:space="preserve">Aplicado a partir de 2027 (IPCA projetado ~4,5%).</t>
  </si>
  <si>
    <t xml:space="preserve">Mix de pagantes por plano (% dos assinantes)</t>
  </si>
  <si>
    <t xml:space="preserve">Plano Essencial</t>
  </si>
  <si>
    <t xml:space="preserve">Efeito compromisso (Simonson &amp; Tversky, 1992) + padrão de assinatura B2C de ticket baixo.</t>
  </si>
  <si>
    <t xml:space="preserve">Plano Premium</t>
  </si>
  <si>
    <t xml:space="preserve">Plano-ponte: cresce conforme o Premium ganha valor percebido.</t>
  </si>
  <si>
    <t xml:space="preserve">Plano Família</t>
  </si>
  <si>
    <t xml:space="preserve">Fatia menor mas crescente — ancoragem de preço que sustenta o Intermediário.</t>
  </si>
  <si>
    <t xml:space="preserve">Verificação do mix (deve somar 100%)</t>
  </si>
  <si>
    <t xml:space="preserve">ARPPU implícita (receita média por assinante pagante)</t>
  </si>
  <si>
    <t xml:space="preserve">4. DRIVERS POR CENÁRIO</t>
  </si>
  <si>
    <t xml:space="preserve">•  Cada driver tem 3 linhas — Conservador, Provável e Agressivo. O modelo usa a do cenário ativo.</t>
  </si>
  <si>
    <t xml:space="preserve">•  Digite o patamar de 2026 na coluna C e a taxa de evolução anual na coluna B: 2027 a 2030 são calculados sozinhos. Quer um ano específico fora da curva? Digite por cima — a célula vira entrada manual e os anos seguintes continuam a partir dela.</t>
  </si>
  <si>
    <t xml:space="preserve">Novos usuários captados por mês (média do ano)</t>
  </si>
  <si>
    <t xml:space="preserve">Conservador</t>
  </si>
  <si>
    <t xml:space="preserve">Provável</t>
  </si>
  <si>
    <t xml:space="preserve">Calibrado para a meta de ~50.000 usuários em dez/2026.</t>
  </si>
  <si>
    <t xml:space="preserve">Agressivo</t>
  </si>
  <si>
    <t xml:space="preserve">Churn mensal da base de usuários</t>
  </si>
  <si>
    <t xml:space="preserve">Saúde &amp; Fitness: 7–10%/mês (mediana 9,2%). Evolução negativa = churn melhorando.</t>
  </si>
  <si>
    <t xml:space="preserve">Taxa de conversão (pagantes ÷ base ativa) — patamar de regime</t>
  </si>
  <si>
    <t xml:space="preserve">Patamar de regime. A rampa (controle 1) segura a conversão nos primeiros meses.</t>
  </si>
  <si>
    <t xml:space="preserve">CAC — custo de aquisição por novo usuário (R$)</t>
  </si>
  <si>
    <t xml:space="preserve">CPI Brasil saúde: R$ 1,50–4,00. Sobe com a escala.</t>
  </si>
  <si>
    <t xml:space="preserve">Aquisição orgânica (% dos novos usuários, sem custo de mídia)</t>
  </si>
  <si>
    <t xml:space="preserve">Boca a boca + conteúdo da agência da Shaiane. Reduz a fatia paga com mídia.</t>
  </si>
  <si>
    <t xml:space="preserve">5. MONETIZAÇÃO — CANAIS E TAXAS</t>
  </si>
  <si>
    <t xml:space="preserve">Taxa das lojas de aplicativos (App Store / Google Play)</t>
  </si>
  <si>
    <t xml:space="preserve">Google Play 15% desde o 1º dia; Apple 15% no Small Business Program.</t>
  </si>
  <si>
    <t xml:space="preserve">% da receita de assinaturas cobrada pelas lojas</t>
  </si>
  <si>
    <t xml:space="preserve">Migração gradual para checkout web/PIX próprio, que não paga comissão de loja.</t>
  </si>
  <si>
    <t xml:space="preserve">Taxa de meio de pagamento (venda direta web/PIX)</t>
  </si>
  <si>
    <t xml:space="preserve">Média ponderada de cartão (~4,99%) e PIX (~1,0%).</t>
  </si>
  <si>
    <t xml:space="preserve">Marketplace de dispositivos</t>
  </si>
  <si>
    <t xml:space="preserve">Comissão média sobre GMV</t>
  </si>
  <si>
    <t xml:space="preserve">Brief: faixa de 5% a 15%. Adotado o ponto médio.</t>
  </si>
  <si>
    <t xml:space="preserve">Ticket médio do dispositivo (R$)</t>
  </si>
  <si>
    <t xml:space="preserve">Oxímetro ~R$150, smartwatch de saúde ~R$400, balança/pressão ~R$250.</t>
  </si>
  <si>
    <t xml:space="preserve">Taxa de compra mensal (% da base ativa que compra no mês)</t>
  </si>
  <si>
    <t xml:space="preserve">Marketplace só entra no ar em 2027. Compra de device é evento raro e de alto ticket.</t>
  </si>
  <si>
    <t xml:space="preserve">6. CUSTOS OPERACIONAIS (exceto pessoas — ver aba Pessoas)</t>
  </si>
  <si>
    <t xml:space="preserve">Início dos custos de nuvem</t>
  </si>
  <si>
    <t xml:space="preserve">Primeiro gasto real registrado: R$ 532,29 em 04/05/2026.</t>
  </si>
  <si>
    <t xml:space="preserve">Nuvem — custo fixo mensal (R$)</t>
  </si>
  <si>
    <t xml:space="preserve">Base: gasto real de R$ 532,29 em 04/05/2026.</t>
  </si>
  <si>
    <t xml:space="preserve">Nuvem — custo variável por usuário PAGANTE (R$/mês)</t>
  </si>
  <si>
    <t xml:space="preserve">Só o pagante gera histórico — premissa do brief.</t>
  </si>
  <si>
    <t xml:space="preserve">Nuvem — custo variável por usuário GRATUITO (R$/mês)</t>
  </si>
  <si>
    <t xml:space="preserve">Não é zero: ingestão em tempo real e API consomem compute mesmo sem histórico.</t>
  </si>
  <si>
    <t xml:space="preserve">Suporte — ferramentas e custo variável por pagante (R$/mês)</t>
  </si>
  <si>
    <t xml:space="preserve">Chatbot, help desk e base de conhecimento. As PESSOAS de suporte estão na aba Pessoas.</t>
  </si>
  <si>
    <t xml:space="preserve">Início das despesas administrativas</t>
  </si>
  <si>
    <t xml:space="preserve">A partir da constituição da empresa / primeiro aporte (16/04/2026).</t>
  </si>
  <si>
    <t xml:space="preserve">Administrativas (contabilidade, jurídico, ferramentas) — R$/mês</t>
  </si>
  <si>
    <t xml:space="preserve">Não inclui pessoas. Escalonado com o porte da operação.</t>
  </si>
  <si>
    <t xml:space="preserve">Marketing recorrente — mídia de conteúdo e ferramentas (R$/mês)</t>
  </si>
  <si>
    <t xml:space="preserve">Reduzido pela agência da Shaiane, mas não eliminado.</t>
  </si>
  <si>
    <t xml:space="preserve">Início do marketing recorrente</t>
  </si>
  <si>
    <t xml:space="preserve">Propaganda de lançamento — valor único (R$)</t>
  </si>
  <si>
    <t xml:space="preserve">Mês da propaganda de lançamento</t>
  </si>
  <si>
    <t xml:space="preserve">7. CAPITAL — O QUE ENTRA NA CONTA</t>
  </si>
  <si>
    <t xml:space="preserve">•  Os investidores em si ficam na aba APORTES, em duas tabelas com linhas em branco: lançamentos de aporte, e investidores estratégicos que além de aportar trazem receita recorrente — o caso da Boston Scientific. Aqui ficam só os dois interruptores que decidem o que o modelo considera.</t>
  </si>
  <si>
    <t xml:space="preserve">Considerar aportes PREVISTOS?  (1 = Sim · 0 = Não)</t>
  </si>
  <si>
    <t xml:space="preserve">Hoje: R$ 120 mil de C-ioT, Martinelli e Shaiane. Desligue para ver só os fundadores.</t>
  </si>
  <si>
    <t xml:space="preserve">Considerar acordos EM NEGOCIAÇÃO?  (1 = Sim · 0 = Não)</t>
  </si>
  <si>
    <t xml:space="preserve">⚠ Desligado por padrão. Ligue para incluir a Boston Scientific e qualquer outra parceria em negociação.</t>
  </si>
  <si>
    <t xml:space="preserve">8. NOTAS METODOLÓGICAS</t>
  </si>
  <si>
    <t xml:space="preserve">•  FCL (Fluxo de Caixa Livre) NÃO inclui aportes de sócios. Aporte é financiamento, não geração de caixa — incluí-lo infla VPL e TIR. A planilha original somava o aporte à receita; aqui os dois fluxos estão separados.</t>
  </si>
  <si>
    <t xml:space="preserve">•  VPL, TIR e Payback são calculados sobre o FCL. Caixa Acumulado e Runway usam FCL + aportes.</t>
  </si>
  <si>
    <t xml:space="preserve">•  Rendimento financeiro do caixa não é considerado (premissa conservadora).</t>
  </si>
  <si>
    <t xml:space="preserve">•  Investimentos saem do caixa no mês do desembolso e são amortizados linearmente em 60 meses na DRE — por isso o EBITDA da DRE difere do fluxo de caixa livre.</t>
  </si>
  <si>
    <t xml:space="preserve">•  Propaganda de lançamento é despesa de marketing, não investimento — diferente da planilha original, que a colocava em 'Projeto'.</t>
  </si>
  <si>
    <t xml:space="preserve">•  O modelo troca sozinho do Simples para o Lucro Presumido quando o RBT12 passa de R$ 4,8 milhões.</t>
  </si>
  <si>
    <t xml:space="preserve">•  Todo o custo de pessoas — PJ, CLT e pró-labore — está na aba Pessoas, linha a linha.</t>
  </si>
  <si>
    <t xml:space="preserve">PESSOAS — QUADRO DE PESSOAL</t>
  </si>
  <si>
    <t xml:space="preserve">Uma linha por papel. Edite quantidade, custo, início e fim livremente. Status 'Contratado' entra sempre; 'Plano' só entra se o controle 1 de Premissas estiver em 1. Todo o custo de pessoal do modelo sai daqui.</t>
  </si>
  <si>
    <t xml:space="preserve">QUADRO — edite livremente, inclusive as linhas em branco no fim</t>
  </si>
  <si>
    <t xml:space="preserve">Função / papel</t>
  </si>
  <si>
    <t xml:space="preserve">Tipo</t>
  </si>
  <si>
    <t xml:space="preserve">Status</t>
  </si>
  <si>
    <t xml:space="preserve">Qtd</t>
  </si>
  <si>
    <t xml:space="preserve">Custo mensal
por pessoa</t>
  </si>
  <si>
    <t xml:space="preserve">Encargos
(% sobre CLT)</t>
  </si>
  <si>
    <t xml:space="preserve">Custo total
mensal</t>
  </si>
  <si>
    <t xml:space="preserve">Início</t>
  </si>
  <si>
    <t xml:space="preserve">Fim</t>
  </si>
  <si>
    <t xml:space="preserve">Classificação</t>
  </si>
  <si>
    <t xml:space="preserve">Equipe PJ — desenvolvimento do MVP</t>
  </si>
  <si>
    <t xml:space="preserve">PJ</t>
  </si>
  <si>
    <t xml:space="preserve">Contratado</t>
  </si>
  <si>
    <t xml:space="preserve">Investimento</t>
  </si>
  <si>
    <t xml:space="preserve">Desenvolvimento — time base</t>
  </si>
  <si>
    <t xml:space="preserve">Plano</t>
  </si>
  <si>
    <t xml:space="preserve">Despesa</t>
  </si>
  <si>
    <t xml:space="preserve">Desenvolvimento — ampliação 2028 (adicional)</t>
  </si>
  <si>
    <t xml:space="preserve">Desenvolvimento — ampliação 2029 (adicional)</t>
  </si>
  <si>
    <t xml:space="preserve">Desenvolvimento — ampliação 2030 (adicional)</t>
  </si>
  <si>
    <t xml:space="preserve">Suporte ao cliente — time base</t>
  </si>
  <si>
    <t xml:space="preserve">Suporte — ampliação 2028 (adicional)</t>
  </si>
  <si>
    <t xml:space="preserve">Suporte — ampliação 2029 (adicional)</t>
  </si>
  <si>
    <t xml:space="preserve">Suporte — ampliação 2030 (adicional)</t>
  </si>
  <si>
    <t xml:space="preserve">Growth e marketing</t>
  </si>
  <si>
    <t xml:space="preserve">Growth — ampliação 2028 (adicional)</t>
  </si>
  <si>
    <t xml:space="preserve">Growth — ampliação 2029 (adicional)</t>
  </si>
  <si>
    <t xml:space="preserve">Dados e infraestrutura</t>
  </si>
  <si>
    <t xml:space="preserve">Dados e infraestrutura — ampliação 2029 (adicional)</t>
  </si>
  <si>
    <t xml:space="preserve">Produto e gestão</t>
  </si>
  <si>
    <t xml:space="preserve">Produto e gestão — ampliação 2030 (adicional)</t>
  </si>
  <si>
    <t xml:space="preserve">Pró-labore dos sócios (2027–2028)</t>
  </si>
  <si>
    <t xml:space="preserve">Sócio</t>
  </si>
  <si>
    <t xml:space="preserve">Pró-labore dos sócios (2029–2030)</t>
  </si>
  <si>
    <t xml:space="preserve">(exemplo) Contratação CLT</t>
  </si>
  <si>
    <t xml:space="preserve">CLT</t>
  </si>
  <si>
    <t xml:space="preserve">TOTAL DO QUADRO (custo mensal se todas as linhas estivessem ativas)</t>
  </si>
  <si>
    <t xml:space="preserve">Azul-escuro/verde = já contratado · azul-claro = plano sugerido, a validar. Coluna 'Custo total mensal' é calculada.</t>
  </si>
  <si>
    <t xml:space="preserve">Linha do tempo</t>
  </si>
  <si>
    <t xml:space="preserve">TOTAL</t>
  </si>
  <si>
    <t xml:space="preserve">% / Nota</t>
  </si>
  <si>
    <t xml:space="preserve">Mês nº</t>
  </si>
  <si>
    <t xml:space="preserve">Ano</t>
  </si>
  <si>
    <t xml:space="preserve">Índice do ano (auxiliar)</t>
  </si>
  <si>
    <t xml:space="preserve">CUSTO MENSAL DE PESSOAL</t>
  </si>
  <si>
    <t xml:space="preserve">Pessoas ativas no mês (headcount)</t>
  </si>
  <si>
    <t xml:space="preserve">Quadro em dez/2030, não soma.</t>
  </si>
  <si>
    <t xml:space="preserve">Equipe PJ (despesa)</t>
  </si>
  <si>
    <t xml:space="preserve">Equipe CLT — salários e encargos (despesa)</t>
  </si>
  <si>
    <t xml:space="preserve">Pró-labore dos sócios (despesa)</t>
  </si>
  <si>
    <t xml:space="preserve">TOTAL DE PESSOAL — DESPESA</t>
  </si>
  <si>
    <t xml:space="preserve">Pessoal capitalizado — INVESTIMENTO</t>
  </si>
  <si>
    <t xml:space="preserve">Vai para a aba Investimentos e é amortizado em 60 meses.</t>
  </si>
  <si>
    <t xml:space="preserve">Folha que conta para o Fator R (CLT + pró-labore)</t>
  </si>
  <si>
    <t xml:space="preserve">Pagamento a PJ não entra no Fator R.</t>
  </si>
  <si>
    <t xml:space="preserve">RESUMO ANUAL E FATOR R</t>
  </si>
  <si>
    <t xml:space="preserve">Custo total de pessoal (despesa)</t>
  </si>
  <si>
    <t xml:space="preserve">Pessoal capitalizado (investimento)</t>
  </si>
  <si>
    <t xml:space="preserve">Folha do Fator R (CLT + pró-labore)</t>
  </si>
  <si>
    <t xml:space="preserve">Pessoas ativas em dezembro</t>
  </si>
  <si>
    <t xml:space="preserve">Receita bruta do ano (cenário ativo)</t>
  </si>
  <si>
    <t xml:space="preserve">FATOR R  (folha ÷ receita bruta)</t>
  </si>
  <si>
    <t xml:space="preserve">Anexo aplicável</t>
  </si>
  <si>
    <t xml:space="preserve">Regime escolhido em Premissas</t>
  </si>
  <si>
    <t xml:space="preserve">Escolha compatível com o Fator R?</t>
  </si>
  <si>
    <t xml:space="preserve">Custo de pessoal ÷ receita bruta</t>
  </si>
  <si>
    <t xml:space="preserve">▸  Como o Fator R funciona</t>
  </si>
  <si>
    <t xml:space="preserve">Fator R = (folha CLT + pró-labore dos últimos 12 meses) ÷ receita bruta dos últimos 12 meses. Igual ou acima de 28%, a empresa fica no Anexo III do Simples (alíquota efetiva a partir de 6%). Abaixo, cai no Anexo V (a partir de 15,5%). Pagamento a equipe PJ NÃO entra na conta.</t>
  </si>
  <si>
    <t xml:space="preserve">▸  Por que isso importa para a Oppa</t>
  </si>
  <si>
    <t xml:space="preserve">Com o quadro atual — equipe PJ e pró-labore modesto — o Fator R fica bem abaixo de 28%, o que leva ao Anexo V. Migrar parte do time para CLT ou aumentar o pró-labore eleva o custo de folha, mas pode reduzir mais imposto do que custa. Use a linha de exemplo CLT e a aba Tributos para comparar os dois efeitos antes de decidir.</t>
  </si>
  <si>
    <t xml:space="preserve">▸  O que está de fato contratado</t>
  </si>
  <si>
    <t xml:space="preserve">Só a equipe PJ do MVP, de setembro a outubro de 2026, R$ 21.000 no total. Todo o resto é plano — desligue no controle 1 de Premissas para ver o modelo sem nenhuma contratação futura.</t>
  </si>
  <si>
    <t xml:space="preserve">SÓCIOS — QUANTO SOBRA PARA DIVIDIR</t>
  </si>
  <si>
    <t xml:space="preserve">Quanto o negócio gera de lucro, quanto disso pode virar dinheiro no bolso dos sócios, e quanto cabe a cada um. Os percentuais de participação são PLACEHOLDER — troque pelos reais quando o quadro societário estiver fechado.</t>
  </si>
  <si>
    <t xml:space="preserve">1. QUADRO SOCIETÁRIO — preencha quando os percentuais estiverem fechados</t>
  </si>
  <si>
    <t xml:space="preserve">⚠ Os percentuais abaixo são um PLACEHOLDER que apenas reflete o que você disse: fundadores majoritários (52% somados) e investidores com fatias menores. Não vieram de negociação nenhuma. Participação societária depende do valuation acordado em cada rodada, e é diferente da proporção do capital aportado — a coluna da direita mostra o tamanho dessa diferença.</t>
  </si>
  <si>
    <t xml:space="preserve">Participação
societária</t>
  </si>
  <si>
    <t xml:space="preserve">Fatia do
pró-labore</t>
  </si>
  <si>
    <t xml:space="preserve">Capital
aportado</t>
  </si>
  <si>
    <t xml:space="preserve">Proporção do
capital</t>
  </si>
  <si>
    <t xml:space="preserve">Prêmio sobre
o capital</t>
  </si>
  <si>
    <t xml:space="preserve">Paulo Kapp</t>
  </si>
  <si>
    <t xml:space="preserve">Fundador</t>
  </si>
  <si>
    <t xml:space="preserve">Lucas Medina</t>
  </si>
  <si>
    <t xml:space="preserve">Felipe Toescher</t>
  </si>
  <si>
    <t xml:space="preserve">Lucas Iung</t>
  </si>
  <si>
    <t xml:space="preserve">C-ioT</t>
  </si>
  <si>
    <t xml:space="preserve">Investidor</t>
  </si>
  <si>
    <t xml:space="preserve">Felipe Martinelli</t>
  </si>
  <si>
    <t xml:space="preserve">Shaiane</t>
  </si>
  <si>
    <t xml:space="preserve">Verificação — a participação soma 100%?</t>
  </si>
  <si>
    <t xml:space="preserve">Os fundadores somam 52% neste placeholder. Se a participação seguisse o capital aportado, eles teriam 40% e seriam minoria.</t>
  </si>
  <si>
    <t xml:space="preserve">2. POLÍTICA DE DISTRIBUIÇÃO</t>
  </si>
  <si>
    <t xml:space="preserve">Meses de custo operacional a manter em caixa</t>
  </si>
  <si>
    <t xml:space="preserve">% do lucro disponível distribuído no ano</t>
  </si>
  <si>
    <t xml:space="preserve">Zero nos primeiros anos: o caixa é para financiar o crescimento. A partir de 2028 distribui parte, e retém o resto.</t>
  </si>
  <si>
    <t xml:space="preserve">3. APURAÇÃO — CENÁRIO ATIVO</t>
  </si>
  <si>
    <t xml:space="preserve">Lucro líquido do exercício</t>
  </si>
  <si>
    <t xml:space="preserve">Vem da DRE anual. É lucro contábil, não dinheiro em caixa.</t>
  </si>
  <si>
    <t xml:space="preserve">Lucro acumulado (compensa prejuízo dos anos anteriores)</t>
  </si>
  <si>
    <t xml:space="preserve">Prejuízo de um ano abate o lucro do seguinte antes de qualquer distribuição.</t>
  </si>
  <si>
    <t xml:space="preserve">Distribuições já feitas em anos anteriores</t>
  </si>
  <si>
    <t xml:space="preserve">O que já foi distribuído em anos anteriores não pode ser distribuído de novo, nem continua em caixa.</t>
  </si>
  <si>
    <t xml:space="preserve">Lucro ainda não distribuído</t>
  </si>
  <si>
    <t xml:space="preserve">Caixa em dezembro (antes de distribuir)</t>
  </si>
  <si>
    <t xml:space="preserve">(−) Distribuições de anos anteriores</t>
  </si>
  <si>
    <t xml:space="preserve">(−) Reserva de caixa</t>
  </si>
  <si>
    <t xml:space="preserve">Meses de custo operacional médio do ano, conforme a política acima.</t>
  </si>
  <si>
    <t xml:space="preserve">Caixa livre</t>
  </si>
  <si>
    <t xml:space="preserve">LUCRO DISTRIBUÍVEL (o menor entre lucro e caixa livre)</t>
  </si>
  <si>
    <t xml:space="preserve">Só se distribui o que é lucro E está em caixa. Um dos dois limita.</t>
  </si>
  <si>
    <t xml:space="preserve">% aplicado</t>
  </si>
  <si>
    <t xml:space="preserve">DISTRIBUÍDO NO ANO</t>
  </si>
  <si>
    <t xml:space="preserve">Distribuições acumuladas</t>
  </si>
  <si>
    <t xml:space="preserve">Pró-labore pago aos sócios no ano</t>
  </si>
  <si>
    <t xml:space="preserve">Já está na DRE como despesa — é dinheiro que os sócios recebem trabalhando, separado da distribuição de lucros.</t>
  </si>
  <si>
    <t xml:space="preserve">Lucro retido na empresa</t>
  </si>
  <si>
    <t xml:space="preserve">Fica na empresa para financiar crescimento — e continua sendo dos sócios.</t>
  </si>
  <si>
    <t xml:space="preserve">4. QUANTO CABE A CADA SÓCIO</t>
  </si>
  <si>
    <t xml:space="preserve">Distribuição de lucros por sócio</t>
  </si>
  <si>
    <t xml:space="preserve">TOTAL 5 ANOS</t>
  </si>
  <si>
    <t xml:space="preserve">TOTAL DISTRIBUÍDO</t>
  </si>
  <si>
    <t xml:space="preserve">Total recebido por sócio nos 5 anos</t>
  </si>
  <si>
    <t xml:space="preserve">Distribuição de lucros</t>
  </si>
  <si>
    <t xml:space="preserve">Pró-labore</t>
  </si>
  <si>
    <t xml:space="preserve">TOTAL RECEBIDO</t>
  </si>
  <si>
    <t xml:space="preserve">Por 1% de participação</t>
  </si>
  <si>
    <t xml:space="preserve">DRE PROJETADA — DEMONSTRAÇÃO DO RESULTADO DO EXERCÍCIO</t>
  </si>
  <si>
    <t xml:space="preserve">RECEITA OPERACIONAL BRUTA</t>
  </si>
  <si>
    <t xml:space="preserve">Assinaturas — Plano Essencial</t>
  </si>
  <si>
    <t xml:space="preserve">Assinaturas — Plano Premium</t>
  </si>
  <si>
    <t xml:space="preserve">Assinaturas — Plano Família</t>
  </si>
  <si>
    <t xml:space="preserve">Marketplace — comissões</t>
  </si>
  <si>
    <t xml:space="preserve">B2B — parcerias estratégicas</t>
  </si>
  <si>
    <t xml:space="preserve">(=) RECEITA BRUTA</t>
  </si>
  <si>
    <t xml:space="preserve">DEDUÇÕES DA RECEITA BRUTA</t>
  </si>
  <si>
    <t xml:space="preserve">(−) Impostos sobre a receita (Simples / Lucro Presumido)</t>
  </si>
  <si>
    <t xml:space="preserve">(−) Comissão das lojas de aplicativos</t>
  </si>
  <si>
    <t xml:space="preserve">Apple/Google. A maior dedução isolada da receita de assinatura.</t>
  </si>
  <si>
    <t xml:space="preserve">(−) Taxas de meios de pagamento</t>
  </si>
  <si>
    <t xml:space="preserve">(=) RECEITA OPERACIONAL LÍQUIDA</t>
  </si>
  <si>
    <t xml:space="preserve">CUSTO DOS SERVIÇOS PRESTADOS</t>
  </si>
  <si>
    <t xml:space="preserve">(−) Infraestrutura e nuvem</t>
  </si>
  <si>
    <t xml:space="preserve">(−) Suporte ao cliente</t>
  </si>
  <si>
    <t xml:space="preserve">(=) LUCRO BRUTO</t>
  </si>
  <si>
    <t xml:space="preserve">Margem bruta (% da receita líquida)</t>
  </si>
  <si>
    <t xml:space="preserve">DESPESAS OPERACIONAIS</t>
  </si>
  <si>
    <t xml:space="preserve">(−) Pessoal — equipe PJ, CLT e pró-labore</t>
  </si>
  <si>
    <t xml:space="preserve">(−) Marketing e aquisição</t>
  </si>
  <si>
    <t xml:space="preserve">Inclui a propaganda de lançamento, tratada como despesa e não como investimento.</t>
  </si>
  <si>
    <t xml:space="preserve">(−) Despesas administrativas</t>
  </si>
  <si>
    <t xml:space="preserve">(=) EBITDA</t>
  </si>
  <si>
    <t xml:space="preserve">Margem EBITDA (% da receita líquida)</t>
  </si>
  <si>
    <t xml:space="preserve">RESULTADO</t>
  </si>
  <si>
    <t xml:space="preserve">(−) Depreciação e amortização</t>
  </si>
  <si>
    <t xml:space="preserve">Investimentos amortizados linearmente em 60 meses.</t>
  </si>
  <si>
    <t xml:space="preserve">(=) EBIT — resultado operacional</t>
  </si>
  <si>
    <t xml:space="preserve">(+/−) Resultado financeiro</t>
  </si>
  <si>
    <t xml:space="preserve">Rendimento do caixa não considerado (premissa conservadora).</t>
  </si>
  <si>
    <t xml:space="preserve">(=) RESULTADO ANTES DO IR</t>
  </si>
  <si>
    <t xml:space="preserve">(−) IRPJ e CSLL</t>
  </si>
  <si>
    <t xml:space="preserve">Já incluídos na linha de impostos sobre a receita (DAS do Simples ou Lucro Presumido).</t>
  </si>
  <si>
    <t xml:space="preserve">(=) LUCRO LÍQUIDO DO EXERCÍCIO</t>
  </si>
  <si>
    <t xml:space="preserve">Margem líquida (% da receita líquida)</t>
  </si>
  <si>
    <t xml:space="preserve">Lucro líquido acumulado</t>
  </si>
  <si>
    <t xml:space="preserve">DRE ANUAL CONSOLIDADA</t>
  </si>
  <si>
    <t xml:space="preserve">Demonstração do Resultado</t>
  </si>
  <si>
    <t xml:space="preserve">5 ANOS</t>
  </si>
  <si>
    <t xml:space="preserve">RECEITA BRUTA</t>
  </si>
  <si>
    <t xml:space="preserve">(−) Impostos sobre a receita</t>
  </si>
  <si>
    <t xml:space="preserve">(=) RECEITA LÍQUIDA</t>
  </si>
  <si>
    <t xml:space="preserve">Margem bruta</t>
  </si>
  <si>
    <t xml:space="preserve">(−) Pessoal</t>
  </si>
  <si>
    <t xml:space="preserve">Margem EBITDA</t>
  </si>
  <si>
    <t xml:space="preserve">(=) EBIT</t>
  </si>
  <si>
    <t xml:space="preserve">(=) LUCRO LÍQUIDO</t>
  </si>
  <si>
    <t xml:space="preserve">Margem líquida</t>
  </si>
  <si>
    <t xml:space="preserve">ANÁLISE DE FLUXO DE CAIXA E VIABILIDADE</t>
  </si>
  <si>
    <t xml:space="preserve">PROJETO — INVESTIMENTOS</t>
  </si>
  <si>
    <t xml:space="preserve">Desenvolvimento do app (pessoal capitalizado)</t>
  </si>
  <si>
    <t xml:space="preserve">Equipamentos</t>
  </si>
  <si>
    <t xml:space="preserve">Constituição, marca e jurídico</t>
  </si>
  <si>
    <t xml:space="preserve">Certificações e conformidade</t>
  </si>
  <si>
    <t xml:space="preserve">TOTAL PROJETO</t>
  </si>
  <si>
    <t xml:space="preserve">OPERACIONAIS</t>
  </si>
  <si>
    <t xml:space="preserve">Infraestrutura e nuvem</t>
  </si>
  <si>
    <t xml:space="preserve">Suporte ao cliente</t>
  </si>
  <si>
    <t xml:space="preserve">Equipe PJ</t>
  </si>
  <si>
    <t xml:space="preserve">Equipe CLT (salários e encargos)</t>
  </si>
  <si>
    <t xml:space="preserve">Pró-labore dos sócios</t>
  </si>
  <si>
    <t xml:space="preserve">Marketing de performance (aquisição)</t>
  </si>
  <si>
    <t xml:space="preserve">Marketing recorrente (agência e conteúdo)</t>
  </si>
  <si>
    <t xml:space="preserve">Propaganda de lançamento</t>
  </si>
  <si>
    <t xml:space="preserve">Comissão das lojas de aplicativos</t>
  </si>
  <si>
    <t xml:space="preserve">Taxas de meios de pagamento</t>
  </si>
  <si>
    <t xml:space="preserve">Impostos sobre a receita</t>
  </si>
  <si>
    <t xml:space="preserve">Despesas administrativas</t>
  </si>
  <si>
    <t xml:space="preserve">TOTAL OPERACIONAIS</t>
  </si>
  <si>
    <t xml:space="preserve">FLUXO DE CAIXA</t>
  </si>
  <si>
    <t xml:space="preserve">Receita bruta total</t>
  </si>
  <si>
    <t xml:space="preserve">FLUXO DE CAIXA LIVRE (FCL)</t>
  </si>
  <si>
    <t xml:space="preserve">Sem aportes — aporte é financiamento, não geração de caixa.</t>
  </si>
  <si>
    <t xml:space="preserve">FCL descontado</t>
  </si>
  <si>
    <t xml:space="preserve">FCL descontado acumulado</t>
  </si>
  <si>
    <t xml:space="preserve">FCL acumulado (nominal)</t>
  </si>
  <si>
    <t xml:space="preserve">(+) Aportes de sócios</t>
  </si>
  <si>
    <t xml:space="preserve">Fluxo de caixa do período (FCL + aportes)</t>
  </si>
  <si>
    <t xml:space="preserve">CAIXA ACUMULADO</t>
  </si>
  <si>
    <t xml:space="preserve">Auxiliar — mês com FCL acumulado negativo</t>
  </si>
  <si>
    <t xml:space="preserve">Guarda o nº do mês enquanto o acumulado está negativo. O payback é o maior valor desta linha, mais um.</t>
  </si>
  <si>
    <t xml:space="preserve">Auxiliar — mês com FCL descontado acumulado negativo</t>
  </si>
  <si>
    <t xml:space="preserve">✔ Verificação: FCL desta aba − FCL do motor (deve ser zero)</t>
  </si>
  <si>
    <t xml:space="preserve">Zero confirma que o detalhamento reconcilia com o motor de cenários.</t>
  </si>
  <si>
    <t xml:space="preserve">INDICADORES DE VIABILIDADE — CENÁRIO SELECIONADO</t>
  </si>
  <si>
    <t xml:space="preserve">Soma do FCL trazido a valor presente pela TMA. Positivo = cria valor.</t>
  </si>
  <si>
    <t xml:space="preserve">Taxa que zera o VPL.</t>
  </si>
  <si>
    <t xml:space="preserve">Compare com a TMA. Acima dela, o projeto remunera o risco.</t>
  </si>
  <si>
    <t xml:space="preserve">Idem, com o dinheiro trazido a valor presente.</t>
  </si>
  <si>
    <t xml:space="preserve">Capital requerido (pico de caixa negativo)</t>
  </si>
  <si>
    <t xml:space="preserve">Quanto de capital o projeto precisa antes de se sustentar.</t>
  </si>
  <si>
    <t xml:space="preserve">Se negativo, o capital planejado não é suficiente.</t>
  </si>
  <si>
    <t xml:space="preserve">Receita bruta acumulada</t>
  </si>
  <si>
    <t xml:space="preserve">FCL acumulado no período</t>
  </si>
  <si>
    <t xml:space="preserve">FCL acumulado ÷ capital requerido. É um múltiplo, não um percentual: 3,0x significa que o projeto devolve três vezes o capital que precisou.</t>
  </si>
  <si>
    <t xml:space="preserve">TMA utilizada (a.a.)</t>
  </si>
  <si>
    <t xml:space="preserve">Alíquota efetiva média de impostos</t>
  </si>
  <si>
    <t xml:space="preserve">PREMISSAS — RESUMO (editar na aba Premissas)</t>
  </si>
  <si>
    <t xml:space="preserve">Plano Essencial (R$/mês)</t>
  </si>
  <si>
    <t xml:space="preserve">Plano Premium (R$/mês)</t>
  </si>
  <si>
    <t xml:space="preserve">Plano Família (R$/mês)</t>
  </si>
  <si>
    <t xml:space="preserve">Taxa das lojas de aplicativos</t>
  </si>
  <si>
    <t xml:space="preserve">Comissão do marketplace</t>
  </si>
  <si>
    <t xml:space="preserve">TMA (a.a.)</t>
  </si>
  <si>
    <t xml:space="preserve">Payback desejado (meses)</t>
  </si>
  <si>
    <t xml:space="preserve">Rampa de conversão (meses)</t>
  </si>
  <si>
    <t xml:space="preserve">FATURAMENTO PROJETADO</t>
  </si>
  <si>
    <t xml:space="preserve">Marketplace — comissões sobre dispositivos</t>
  </si>
  <si>
    <t xml:space="preserve">RECEITA BRUTA TOTAL</t>
  </si>
  <si>
    <t xml:space="preserve">DEDUÇÕES DA RECEITA</t>
  </si>
  <si>
    <t xml:space="preserve">RECEITA LÍQUIDA</t>
  </si>
  <si>
    <t xml:space="preserve">Alíquota efetiva de impostos</t>
  </si>
  <si>
    <t xml:space="preserve">Simples Nacional progressivo; migra para Lucro Presumido acima de R$ 4,8 mi.</t>
  </si>
  <si>
    <t xml:space="preserve">RESUMO ANUAL</t>
  </si>
  <si>
    <t xml:space="preserve">Receita bruta</t>
  </si>
  <si>
    <t xml:space="preserve">Receita líquida</t>
  </si>
  <si>
    <t xml:space="preserve">Impostos sobre receita</t>
  </si>
  <si>
    <t xml:space="preserve">Comissão de lojas</t>
  </si>
  <si>
    <t xml:space="preserve">USUÁRIOS E INDICADORES DE UNIDADE</t>
  </si>
  <si>
    <t xml:space="preserve">FUNIL DE USUÁRIOS</t>
  </si>
  <si>
    <t xml:space="preserve">Novos usuários captados</t>
  </si>
  <si>
    <t xml:space="preserve">Base de usuários — início do mês</t>
  </si>
  <si>
    <t xml:space="preserve">Saldo em dez/2030.</t>
  </si>
  <si>
    <t xml:space="preserve">(−) Usuários perdidos (churn)</t>
  </si>
  <si>
    <t xml:space="preserve">Base de usuários — fim do mês</t>
  </si>
  <si>
    <t xml:space="preserve">Taxa de conversão</t>
  </si>
  <si>
    <t xml:space="preserve">Usuários pagantes</t>
  </si>
  <si>
    <t xml:space="preserve">Pagantes — Plano Essencial</t>
  </si>
  <si>
    <t xml:space="preserve">Pagantes — Plano Premium</t>
  </si>
  <si>
    <t xml:space="preserve">Pagantes — Plano Família</t>
  </si>
  <si>
    <t xml:space="preserve">Pessoas na operação (headcount)</t>
  </si>
  <si>
    <t xml:space="preserve">Usuários gratuitos</t>
  </si>
  <si>
    <t xml:space="preserve">INDICADORES DE UNIDADE</t>
  </si>
  <si>
    <t xml:space="preserve">Investimento em mídia de aquisição</t>
  </si>
  <si>
    <t xml:space="preserve">CAC — custo por usuário adquirido</t>
  </si>
  <si>
    <t xml:space="preserve">Média do período.</t>
  </si>
  <si>
    <t xml:space="preserve">CAC por usuário PAGANTE conquistado</t>
  </si>
  <si>
    <t xml:space="preserve">É este o CAC que a receita de assinatura precisa pagar.</t>
  </si>
  <si>
    <t xml:space="preserve">ARPPU — receita média por assinante pagante</t>
  </si>
  <si>
    <t xml:space="preserve">ARPU — receita média por usuário da base</t>
  </si>
  <si>
    <t xml:space="preserve">Margem de contribuição por pagante (R$/mês)</t>
  </si>
  <si>
    <t xml:space="preserve">Receita líquida menos nuvem e suporte, por assinante.</t>
  </si>
  <si>
    <t xml:space="preserve">LTV — valor do assinante ao longo da vida</t>
  </si>
  <si>
    <t xml:space="preserve">Margem de contribuição ÷ churn mensal.</t>
  </si>
  <si>
    <t xml:space="preserve">LTV ÷ CAC por pagante</t>
  </si>
  <si>
    <t xml:space="preserve">Referência de mercado: ≥ 3,0x é saudável; &lt; 1,0x destrói valor.</t>
  </si>
  <si>
    <t xml:space="preserve">Meses de assinatura para recuperar o custo de aquisição. Ideal: &lt; 12.</t>
  </si>
  <si>
    <t xml:space="preserve">CAIXA E FÔLEGO</t>
  </si>
  <si>
    <t xml:space="preserve">Caixa acumulado</t>
  </si>
  <si>
    <t xml:space="preserve">Queima de caixa do mês (burn)</t>
  </si>
  <si>
    <t xml:space="preserve">Runway (meses de caixa restantes)</t>
  </si>
  <si>
    <t xml:space="preserve">Caixa ÷ queima média dos últimos 3 meses. 999 = sem queima.</t>
  </si>
  <si>
    <t xml:space="preserve">MOTOR DE CENÁRIOS — CONSERVADOR · PROVÁVEL · AGRESSIVO</t>
  </si>
  <si>
    <t xml:space="preserve">Os três cenários rodam sempre, lado a lado. As demais abas mostram em detalhe o cenário selecionado em Premissas. Esta aba é a única fonte de verdade dos números.</t>
  </si>
  <si>
    <t xml:space="preserve">CENÁRIO 1 — CONSERVADOR</t>
  </si>
  <si>
    <t xml:space="preserve">Saldo no último mês (dez/2030), não soma.</t>
  </si>
  <si>
    <t xml:space="preserve">Taxa de conversão (pagantes ÷ base)</t>
  </si>
  <si>
    <t xml:space="preserve">Receita — Plano Essencial</t>
  </si>
  <si>
    <t xml:space="preserve">Receita — Plano Premium</t>
  </si>
  <si>
    <t xml:space="preserve">Receita — Plano Família</t>
  </si>
  <si>
    <t xml:space="preserve">Receita de assinaturas</t>
  </si>
  <si>
    <t xml:space="preserve">Receita de marketplace (comissões)</t>
  </si>
  <si>
    <t xml:space="preserve">Receita B2B — parcerias estratégicas</t>
  </si>
  <si>
    <t xml:space="preserve">RBT12 — base de cálculo do Simples</t>
  </si>
  <si>
    <t xml:space="preserve">Alíquota efetiva média ponderada do período.</t>
  </si>
  <si>
    <t xml:space="preserve">(−) Pessoal (equipe PJ + pró-labore)</t>
  </si>
  <si>
    <t xml:space="preserve">EBITDA</t>
  </si>
  <si>
    <t xml:space="preserve">(−) Investimentos (CAPEX)</t>
  </si>
  <si>
    <t xml:space="preserve">Marcador — EBITDA já ficou positivo</t>
  </si>
  <si>
    <t xml:space="preserve">Fluxo de caixa do período</t>
  </si>
  <si>
    <t xml:space="preserve">Marcador — mês com FCL acumulado negativo</t>
  </si>
  <si>
    <t xml:space="preserve">Auxiliar do payback: guarda o nº do mês enquanto o acumulado está negativo. O payback é o maior valor, mais um.</t>
  </si>
  <si>
    <t xml:space="preserve">Marcador — mês com FCL descontado negativo</t>
  </si>
  <si>
    <t xml:space="preserve">CENÁRIO 2 — PROVÁVEL</t>
  </si>
  <si>
    <t xml:space="preserve">CENÁRIO 3 — AGRESSIVO</t>
  </si>
  <si>
    <t xml:space="preserve">INVESTIMENTOS (CAPEX) — CRONOGRAMA E AMORTIZAÇÃO</t>
  </si>
  <si>
    <t xml:space="preserve">Desembolsos de capital. Saem do caixa no mês do lançamento (aba Análise Fluxo) e são amortizados linearmente em 60 meses na DRE. Verde = já realizado.</t>
  </si>
  <si>
    <t xml:space="preserve">LANÇAMENTOS DE INVESTIMENTO</t>
  </si>
  <si>
    <t xml:space="preserve">Data</t>
  </si>
  <si>
    <t xml:space="preserve">Item</t>
  </si>
  <si>
    <t xml:space="preserve">Categoria</t>
  </si>
  <si>
    <t xml:space="preserve">Valor</t>
  </si>
  <si>
    <t xml:space="preserve">Constituição da empresa, registro de marca e assessoria jurídica</t>
  </si>
  <si>
    <t xml:space="preserve">Marca e jurídico</t>
  </si>
  <si>
    <t xml:space="preserve">Previsto</t>
  </si>
  <si>
    <t xml:space="preserve">2 notebooks Lenovo</t>
  </si>
  <si>
    <t xml:space="preserve">Realizado</t>
  </si>
  <si>
    <t xml:space="preserve">Fatos do brief: 2 notebooks Lenovo por R$ 9.127,82.</t>
  </si>
  <si>
    <t xml:space="preserve">Adequação LGPD e segurança da informação</t>
  </si>
  <si>
    <t xml:space="preserve">Certificações</t>
  </si>
  <si>
    <t xml:space="preserve">Equipamentos — expansão da equipe</t>
  </si>
  <si>
    <t xml:space="preserve">Certificação de conformidade em saúde (SBIS / ANVISA se houver device)</t>
  </si>
  <si>
    <t xml:space="preserve">CRONOGRAMA MENSAL DE DESEMBOLSO</t>
  </si>
  <si>
    <t xml:space="preserve">TOTAL DE INVESTIMENTOS</t>
  </si>
  <si>
    <t xml:space="preserve">DEPRECIAÇÃO E AMORTIZAÇÃO (linear, 60 meses)</t>
  </si>
  <si>
    <t xml:space="preserve">Vida útil adotada (meses)</t>
  </si>
  <si>
    <t xml:space="preserve">Equipamentos de informática: 5 anos (20% a.a., IN RFB 1.700). Software e intangíveis amortizados no mesmo prazo.</t>
  </si>
  <si>
    <t xml:space="preserve">Investimento acumulado (base amortizável)</t>
  </si>
  <si>
    <t xml:space="preserve">Depreciação e amortização do mês</t>
  </si>
  <si>
    <t xml:space="preserve">Cada item começa a amortizar no mês seguinte ao desembolso.</t>
  </si>
  <si>
    <t xml:space="preserve">Saldo contábil do ativo (imobilizado + intangível)</t>
  </si>
  <si>
    <t xml:space="preserve">APORTES E INVESTIDORES</t>
  </si>
  <si>
    <t xml:space="preserve">Todo o capital da Oppa entra por esta aba. Há linhas em branco em todas as tabelas: para incluir um investidor novo, basta preencher uma delas — o modelo inteiro recalcula sozinho, sem mexer em fórmula nenhuma.</t>
  </si>
  <si>
    <t xml:space="preserve">1. LANÇAMENTOS DE APORTE — quem colocou (ou colocará) dinheiro, e quando</t>
  </si>
  <si>
    <t xml:space="preserve">Sócio / Investidor</t>
  </si>
  <si>
    <t xml:space="preserve">Observação</t>
  </si>
  <si>
    <t xml:space="preserve">Completa os R$ 20.000 de compromisso.</t>
  </si>
  <si>
    <t xml:space="preserve">Novo sócio</t>
  </si>
  <si>
    <t xml:space="preserve">Negociação em curso, sem assinatura.</t>
  </si>
  <si>
    <t xml:space="preserve">Sócia responsável pelo marketing.</t>
  </si>
  <si>
    <t xml:space="preserve">Compromisso</t>
  </si>
  <si>
    <t xml:space="preserve">Fecha os R$ 10.000 exigidos ainda em 2026.</t>
  </si>
  <si>
    <t xml:space="preserve">Completa os R$ 20.000.</t>
  </si>
  <si>
    <t xml:space="preserve">TOTAL LANÇADO (conforme os controles de status)</t>
  </si>
  <si>
    <t xml:space="preserve">2. INVESTIDORES ESTRATÉGICOS E PARCERIAS — aporte mais receita recorrente</t>
  </si>
  <si>
    <t xml:space="preserve">Use esta tabela para investidor que, além de aportar, traz receita — como a Boston Scientific. Preencha uma linha em branco para incluir outro. O aporte entra no caixa no mês indicado; a receita recorrente entra na DRE como receita B2B, todo mês, entre as datas de início e fim.</t>
  </si>
  <si>
    <t xml:space="preserve">Aporte (R$)</t>
  </si>
  <si>
    <t xml:space="preserve">Mês do aporte</t>
  </si>
  <si>
    <t xml:space="preserve">Receita B2B (R$/mês)</t>
  </si>
  <si>
    <t xml:space="preserve">Início da receita</t>
  </si>
  <si>
    <t xml:space="preserve">Fim da receita</t>
  </si>
  <si>
    <t xml:space="preserve">Boston Scientific</t>
  </si>
  <si>
    <t xml:space="preserve">Em negociação</t>
  </si>
  <si>
    <t xml:space="preserve">Monitoramento de pacientes pós-operatórios. Aporte na casa dos seis dígitos, não confirmado — adotado o ponto médio da faixa. Contrapartida esperada: exclusividade B2B hospitalar por um período longo.</t>
  </si>
  <si>
    <t xml:space="preserve">Receita B2B mensal somada de todas as parcerias ativas.</t>
  </si>
  <si>
    <t xml:space="preserve">3. RESUMO DO CAPITAL</t>
  </si>
  <si>
    <t xml:space="preserve">Realizado — dinheiro que já entrou</t>
  </si>
  <si>
    <t xml:space="preserve">Compromisso dos fundadores a integralizar</t>
  </si>
  <si>
    <t xml:space="preserve">Previsto — negociação em curso, sem assinatura</t>
  </si>
  <si>
    <t xml:space="preserve">Em negociação — lançamentos</t>
  </si>
  <si>
    <t xml:space="preserve">Investidores estratégicos</t>
  </si>
  <si>
    <t xml:space="preserve">CAPITAL TOTAL CONSIDERADO NO MODELO</t>
  </si>
  <si>
    <t xml:space="preserve">Os controles que ligam e desligam 'Previsto' e 'Em negociação' estão na aba Premissas, seção 7.</t>
  </si>
  <si>
    <t xml:space="preserve">4. COMPROMISSO DOS FUNDADORES — R$ 20.000 cada, sendo R$ 10.000 ainda em 2026</t>
  </si>
  <si>
    <t xml:space="preserve">Meta total</t>
  </si>
  <si>
    <t xml:space="preserve">Aportado até 2026</t>
  </si>
  <si>
    <t xml:space="preserve">Aportado total</t>
  </si>
  <si>
    <t xml:space="preserve">Falta em 2026</t>
  </si>
  <si>
    <t xml:space="preserve">Falta total</t>
  </si>
  <si>
    <t xml:space="preserve">Paulo Kapp já integralizou os R$ 20.000. Os demais têm saldo a aportar.</t>
  </si>
  <si>
    <t xml:space="preserve">5. PARTICIPAÇÃO PROPORCIONAL AO CAPITAL APORTADO — inclua aqui o nome de todo investidor novo</t>
  </si>
  <si>
    <t xml:space="preserve">Leia com cuidado: isto é a proporção do dinheiro colocado, não a participação societária. Percentual de sociedade depende do valuation acordado em cada rodada e de outras condições — no caso de um investidor estratégico como a Boston, a contrapartida pode ser exclusividade comercial em vez de mais equity. Use esta tabela como ponto de partida da conversa, não como resultado.</t>
  </si>
  <si>
    <t xml:space="preserve">Capital aportado</t>
  </si>
  <si>
    <t xml:space="preserve">Proporção</t>
  </si>
  <si>
    <t xml:space="preserve">Capital não atribuído nesta tabela</t>
  </si>
  <si>
    <t xml:space="preserve">Se aparecer valor diferente de zero, algum investidor foi lançado nas tabelas 1 ou 2 e não foi acrescentado aqui. Digite o nome dele numa linha em branco acima — exatamente como está escrito no lançamento.</t>
  </si>
  <si>
    <t xml:space="preserve">6. CRONOGRAMA MENSAL DE ENTRADA DE CAPITAL</t>
  </si>
  <si>
    <t xml:space="preserve">Aportes de fundadores</t>
  </si>
  <si>
    <t xml:space="preserve">Aportes de novos sócios</t>
  </si>
  <si>
    <t xml:space="preserve">Aportes de investidores estratégicos (lançamentos)</t>
  </si>
  <si>
    <t xml:space="preserve">Aportes da tabela de parcerias estratégicas</t>
  </si>
  <si>
    <t xml:space="preserve">TOTAL DE APORTES NO MÊS</t>
  </si>
  <si>
    <t xml:space="preserve">Capital acumulado</t>
  </si>
  <si>
    <t xml:space="preserve">Receita B2B das parcerias estratégicas</t>
  </si>
  <si>
    <t xml:space="preserve">Entra na DRE como receita B2B. Some outra parceria na tabela 2 e ela aparece aqui.</t>
  </si>
  <si>
    <t xml:space="preserve">TRIBUTAÇÃO — SIMPLES NACIONAL E LUCRO PRESUMIDO</t>
  </si>
  <si>
    <t xml:space="preserve">Tabelas da LC 123/2006. A 'Tabela Ativa' é a que o modelo usa, conforme o regime escolhido em Premissas.</t>
  </si>
  <si>
    <t xml:space="preserve">ANEXO III — Serviços em geral (alíquota efetiva de 6% a ~19,5%)</t>
  </si>
  <si>
    <t xml:space="preserve">Faixa</t>
  </si>
  <si>
    <t xml:space="preserve">RBT12 — de</t>
  </si>
  <si>
    <t xml:space="preserve">RBT12 — até</t>
  </si>
  <si>
    <t xml:space="preserve">Alíquota nominal</t>
  </si>
  <si>
    <t xml:space="preserve">Parcela a deduzir</t>
  </si>
  <si>
    <t xml:space="preserve">Aplica-se a software/SaaS SOMENTE se o Fator R ≥ 28%.</t>
  </si>
  <si>
    <t xml:space="preserve">ANEXO V — Licenciamento/cessão de uso de software (Fator R &lt; 28%)</t>
  </si>
  <si>
    <t xml:space="preserve">Regra padrão para licenciamento de software quando o Fator R fica abaixo de 28%.</t>
  </si>
  <si>
    <t xml:space="preserve">TABELA ATIVA — selecionada pelo regime definido em Premissas</t>
  </si>
  <si>
    <t xml:space="preserve">FATOR R — o teste que decide entre Anexo III e Anexo V</t>
  </si>
  <si>
    <t xml:space="preserve">Fator R = (folha de salários + pró-labore + encargos dos últimos 12 meses) ÷ RBT12</t>
  </si>
  <si>
    <t xml:space="preserve">Fator R ≥ 28%  →  Anexo III (alíquota efetiva a partir de 6%)</t>
  </si>
  <si>
    <t xml:space="preserve">Fator R &lt; 28%   →  Anexo V (alíquota efetiva a partir de 15,5%)</t>
  </si>
  <si>
    <t xml:space="preserve">⚠ RISCO MATERIAL PARA A OPPA: pagamento a equipe PJ (prestadores de serviço) NÃO entra no cálculo do Fator R. Só contam folha CLT e pró-labore dos sócios. Com a estrutura descrita no brief — equipe PJ e pró-labore zero em 2026 — o Fator R fica próximo de 0% e a empresa cai no Anexo V, com alíquota inicial de 15,5% em vez de 6%.</t>
  </si>
  <si>
    <t xml:space="preserve">Como reverter: (a) registrar pró-labore relevante para os sócios; (b) contratar parte da equipe em regime CLT. Ambos aumentam o custo de folha, mas podem valer a pena pela economia tributária. O quadro abaixo compara os dois anexos no faturamento projetado.</t>
  </si>
  <si>
    <t xml:space="preserve">COMPARATIVO — alíquota efetiva por faixa de faturamento anual</t>
  </si>
  <si>
    <t xml:space="preserve">RBT12</t>
  </si>
  <si>
    <t xml:space="preserve">Anexo III efetivo</t>
  </si>
  <si>
    <t xml:space="preserve">Anexo V efetivo</t>
  </si>
  <si>
    <t xml:space="preserve">Diferença</t>
  </si>
  <si>
    <t xml:space="preserve">Custo anual da diferença</t>
  </si>
  <si>
    <t xml:space="preserve">Quanto a Oppa paga a mais por ano se cair no Anexo V em vez do Anexo III.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</si>
</sst>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#,##0;\(#,##0\);\–"/>
    <numFmt numFmtId="166" formatCode="&quot;R$ &quot;#,##0;&quot;(R$ &quot;#,##0\);\–"/>
    <numFmt numFmtId="167" formatCode="0.0%;\(0.0%\);\–"/>
    <numFmt numFmtId="168" formatCode="@"/>
    <numFmt numFmtId="169" formatCode="0.00%;\(0.00%\);\–"/>
    <numFmt numFmtId="170" formatCode="#,##0%;\(#,##0%\);\–"/>
    <numFmt numFmtId="171" formatCode="0.0\x;\(0.0&quot;x)&quot;;\–"/>
    <numFmt numFmtId="172" formatCode="&quot;R$ &quot;#,##0.00;&quot;(R$ &quot;#,##0.00\);\–"/>
    <numFmt numFmtId="173" formatCode="0.0"/>
    <numFmt numFmtId="174" formatCode="0"/>
    <numFmt numFmtId="175" formatCode="mmm/yy"/>
    <numFmt numFmtId="176" formatCode="0.00%"/>
    <numFmt numFmtId="177" formatCode="0.0;\(0.0\);\–"/>
    <numFmt numFmtId="178" formatCode="0;\(0\);\–"/>
    <numFmt numFmtId="179" formatCode="dd/mm/yyyy"/>
  </numFmts>
  <fonts count="4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262626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BF8F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1F7040"/>
      <name val="Arial"/>
      <family val="0"/>
      <charset val="1"/>
    </font>
    <font>
      <b val="true"/>
      <sz val="10"/>
      <color rgb="FF2E5C8A"/>
      <name val="Arial"/>
      <family val="0"/>
      <charset val="1"/>
    </font>
    <font>
      <b val="true"/>
      <sz val="10"/>
      <color rgb="FF7030A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008000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0"/>
      <name val="Arial"/>
      <family val="2"/>
    </font>
    <font>
      <b val="true"/>
      <sz val="9"/>
      <color rgb="FF0000FF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595959"/>
      <name val="Arial"/>
      <family val="0"/>
      <charset val="1"/>
    </font>
    <font>
      <sz val="8"/>
      <color rgb="FF595959"/>
      <name val="Arial"/>
      <family val="0"/>
      <charset val="1"/>
    </font>
    <font>
      <sz val="8"/>
      <color rgb="FFBFBFBF"/>
      <name val="Arial"/>
      <family val="0"/>
      <charset val="1"/>
    </font>
    <font>
      <sz val="9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sz val="9"/>
      <color rgb="FF008000"/>
      <name val="Arial"/>
      <family val="0"/>
      <charset val="1"/>
    </font>
    <font>
      <sz val="10"/>
      <color rgb="FF595959"/>
      <name val="Arial"/>
      <family val="0"/>
      <charset val="1"/>
    </font>
    <font>
      <sz val="9"/>
      <color rgb="FFC00000"/>
      <name val="Arial"/>
      <family val="0"/>
      <charset val="1"/>
    </font>
    <font>
      <b val="true"/>
      <sz val="9"/>
      <color rgb="FFC00000"/>
      <name val="Arial"/>
      <family val="0"/>
      <charset val="1"/>
    </font>
    <font>
      <sz val="9"/>
      <color rgb="FFBF8F00"/>
      <name val="Arial"/>
      <family val="0"/>
      <charset val="1"/>
    </font>
    <font>
      <i val="true"/>
      <sz val="9"/>
      <color rgb="FFC00000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2E5C8A"/>
        <bgColor rgb="FF595959"/>
      </patternFill>
    </fill>
    <fill>
      <patternFill patternType="solid">
        <fgColor rgb="FF404040"/>
        <bgColor rgb="FF1F3864"/>
      </patternFill>
    </fill>
    <fill>
      <patternFill patternType="solid">
        <fgColor rgb="FFC00000"/>
        <bgColor rgb="FF800000"/>
      </patternFill>
    </fill>
    <fill>
      <patternFill patternType="solid">
        <fgColor rgb="FF1F7040"/>
        <bgColor rgb="FF008000"/>
      </patternFill>
    </fill>
    <fill>
      <patternFill patternType="solid">
        <fgColor rgb="FFBDD7EE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D9E2F3"/>
        <bgColor rgb="FFD9D9D9"/>
      </patternFill>
    </fill>
    <fill>
      <patternFill patternType="solid">
        <fgColor rgb="FFE2EFDA"/>
        <bgColor rgb="FFD9E2F3"/>
      </patternFill>
    </fill>
    <fill>
      <patternFill patternType="solid">
        <fgColor rgb="FFFCE4D6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D9D9D9"/>
      </top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9" fillId="4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9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5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6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2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top" textRotation="0" wrapText="true" indent="2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25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5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5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5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72" fontId="25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2" shrinkToFit="false"/>
      <protection locked="true" hidden="false"/>
    </xf>
    <xf numFmtId="167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6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9" fillId="10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9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9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9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9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7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9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9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7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0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3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6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6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7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38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7" fontId="30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7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34" fillId="0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27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7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2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7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3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34" fillId="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64" fontId="34" fillId="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72" fontId="34" fillId="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79" fontId="29" fillId="1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64" fontId="29" fillId="1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72" fontId="29" fillId="1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72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29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40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11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40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3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2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2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30" fillId="11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0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0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0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11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7" fillId="0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30" fillId="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66" fontId="34" fillId="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64" fontId="41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7" fontId="34" fillId="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67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9" fontId="3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7040"/>
      <rgbColor rgb="FFBFBFBF"/>
      <rgbColor rgb="FF808080"/>
      <rgbColor rgb="FF9999FF"/>
      <rgbColor rgb="FF7030A0"/>
      <rgbColor rgb="FFFCE4D6"/>
      <rgbColor rgb="FFD9E2F3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000"/>
      <rgbColor rgb="FFBF8F00"/>
      <rgbColor rgb="FFFF6600"/>
      <rgbColor rgb="FF595959"/>
      <rgbColor rgb="FF969696"/>
      <rgbColor rgb="FF1F3864"/>
      <rgbColor rgb="FF339966"/>
      <rgbColor rgb="FF003300"/>
      <rgbColor rgb="FF404040"/>
      <rgbColor rgb="FF993300"/>
      <rgbColor rgb="FF993366"/>
      <rgbColor rgb="FF2E5C8A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H5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6"/>
    <col collapsed="false" customWidth="true" hidden="false" outlineLevel="0" max="3" min="3" style="0" width="96"/>
    <col collapsed="false" customWidth="true" hidden="false" outlineLevel="0" max="7" min="4" style="0" width="3"/>
  </cols>
  <sheetData>
    <row r="1" customFormat="false" ht="25.5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2"/>
    </row>
    <row r="2" customFormat="false" ht="15.75" hidden="false" customHeight="true" outlineLevel="0" collapsed="false">
      <c r="A2" s="3" t="s">
        <v>1</v>
      </c>
    </row>
    <row r="5" customFormat="false" ht="21.75" hidden="false" customHeight="true" outlineLevel="0" collapsed="false">
      <c r="B5" s="4" t="s">
        <v>2</v>
      </c>
      <c r="C5" s="5"/>
    </row>
    <row r="6" customFormat="false" ht="33.75" hidden="false" customHeight="true" outlineLevel="0" collapsed="false">
      <c r="B6" s="6" t="s">
        <v>3</v>
      </c>
      <c r="C6" s="6"/>
    </row>
    <row r="7" customFormat="false" ht="19.5" hidden="false" customHeight="true" outlineLevel="0" collapsed="false">
      <c r="B7" s="7" t="s">
        <v>4</v>
      </c>
      <c r="C7" s="8" t="s">
        <v>5</v>
      </c>
    </row>
    <row r="8" customFormat="false" ht="33.75" hidden="false" customHeight="true" outlineLevel="0" collapsed="false">
      <c r="B8" s="7" t="s">
        <v>6</v>
      </c>
      <c r="C8" s="8" t="s">
        <v>7</v>
      </c>
    </row>
    <row r="9" customFormat="false" ht="19.5" hidden="false" customHeight="true" outlineLevel="0" collapsed="false">
      <c r="B9" s="7" t="s">
        <v>8</v>
      </c>
      <c r="C9" s="8" t="s">
        <v>9</v>
      </c>
    </row>
    <row r="10" customFormat="false" ht="33.75" hidden="false" customHeight="true" outlineLevel="0" collapsed="false">
      <c r="B10" s="7" t="s">
        <v>10</v>
      </c>
      <c r="C10" s="8" t="s">
        <v>11</v>
      </c>
    </row>
    <row r="12" customFormat="false" ht="21.75" hidden="false" customHeight="true" outlineLevel="0" collapsed="false">
      <c r="B12" s="4" t="s">
        <v>12</v>
      </c>
      <c r="C12" s="5"/>
    </row>
    <row r="13" customFormat="false" ht="19.5" hidden="false" customHeight="true" outlineLevel="0" collapsed="false">
      <c r="B13" s="9" t="s">
        <v>13</v>
      </c>
      <c r="C13" s="8" t="s">
        <v>14</v>
      </c>
    </row>
    <row r="14" customFormat="false" ht="19.5" hidden="false" customHeight="true" outlineLevel="0" collapsed="false">
      <c r="B14" s="10" t="s">
        <v>15</v>
      </c>
      <c r="C14" s="8" t="s">
        <v>16</v>
      </c>
    </row>
    <row r="15" customFormat="false" ht="19.5" hidden="false" customHeight="true" outlineLevel="0" collapsed="false">
      <c r="B15" s="7" t="s">
        <v>17</v>
      </c>
      <c r="C15" s="8" t="s">
        <v>18</v>
      </c>
    </row>
    <row r="16" customFormat="false" ht="19.5" hidden="false" customHeight="true" outlineLevel="0" collapsed="false">
      <c r="B16" s="11" t="s">
        <v>19</v>
      </c>
      <c r="C16" s="8" t="s">
        <v>20</v>
      </c>
    </row>
    <row r="17" customFormat="false" ht="19.5" hidden="false" customHeight="true" outlineLevel="0" collapsed="false">
      <c r="B17" s="12" t="s">
        <v>21</v>
      </c>
      <c r="C17" s="8" t="s">
        <v>22</v>
      </c>
    </row>
    <row r="19" customFormat="false" ht="21.75" hidden="false" customHeight="true" outlineLevel="0" collapsed="false">
      <c r="B19" s="4" t="s">
        <v>23</v>
      </c>
      <c r="C19" s="5"/>
    </row>
    <row r="20" customFormat="false" ht="33.75" hidden="false" customHeight="true" outlineLevel="0" collapsed="false">
      <c r="B20" s="7" t="s">
        <v>24</v>
      </c>
      <c r="C20" s="8" t="s">
        <v>25</v>
      </c>
    </row>
    <row r="21" customFormat="false" ht="48" hidden="false" customHeight="true" outlineLevel="0" collapsed="false">
      <c r="B21" s="7" t="s">
        <v>26</v>
      </c>
      <c r="C21" s="8" t="s">
        <v>27</v>
      </c>
    </row>
    <row r="22" customFormat="false" ht="33.75" hidden="false" customHeight="true" outlineLevel="0" collapsed="false">
      <c r="B22" s="7" t="s">
        <v>28</v>
      </c>
      <c r="C22" s="8" t="s">
        <v>29</v>
      </c>
    </row>
    <row r="23" customFormat="false" ht="48" hidden="false" customHeight="true" outlineLevel="0" collapsed="false">
      <c r="B23" s="7" t="s">
        <v>30</v>
      </c>
      <c r="C23" s="8" t="s">
        <v>31</v>
      </c>
    </row>
    <row r="24" customFormat="false" ht="33.75" hidden="false" customHeight="true" outlineLevel="0" collapsed="false">
      <c r="B24" s="7" t="s">
        <v>32</v>
      </c>
      <c r="C24" s="8" t="s">
        <v>33</v>
      </c>
    </row>
    <row r="25" customFormat="false" ht="33.75" hidden="false" customHeight="true" outlineLevel="0" collapsed="false">
      <c r="B25" s="7" t="s">
        <v>34</v>
      </c>
      <c r="C25" s="8" t="s">
        <v>35</v>
      </c>
    </row>
    <row r="26" customFormat="false" ht="61.5" hidden="false" customHeight="true" outlineLevel="0" collapsed="false">
      <c r="B26" s="7" t="s">
        <v>36</v>
      </c>
      <c r="C26" s="8" t="s">
        <v>37</v>
      </c>
    </row>
    <row r="27" customFormat="false" ht="33.75" hidden="false" customHeight="true" outlineLevel="0" collapsed="false">
      <c r="B27" s="7" t="s">
        <v>38</v>
      </c>
      <c r="C27" s="8" t="s">
        <v>39</v>
      </c>
    </row>
    <row r="28" customFormat="false" ht="48" hidden="false" customHeight="true" outlineLevel="0" collapsed="false">
      <c r="B28" s="7" t="s">
        <v>40</v>
      </c>
      <c r="C28" s="8" t="s">
        <v>41</v>
      </c>
    </row>
    <row r="29" customFormat="false" ht="33.75" hidden="false" customHeight="true" outlineLevel="0" collapsed="false">
      <c r="B29" s="7" t="s">
        <v>42</v>
      </c>
      <c r="C29" s="8" t="s">
        <v>43</v>
      </c>
    </row>
    <row r="31" customFormat="false" ht="21.75" hidden="false" customHeight="true" outlineLevel="0" collapsed="false">
      <c r="B31" s="4" t="s">
        <v>44</v>
      </c>
      <c r="C31" s="5"/>
    </row>
    <row r="32" customFormat="false" ht="19.5" hidden="false" customHeight="true" outlineLevel="0" collapsed="false">
      <c r="B32" s="13" t="s">
        <v>45</v>
      </c>
      <c r="C32" s="8" t="s">
        <v>46</v>
      </c>
    </row>
    <row r="33" customFormat="false" ht="33.75" hidden="false" customHeight="true" outlineLevel="0" collapsed="false">
      <c r="B33" s="14" t="s">
        <v>47</v>
      </c>
      <c r="C33" s="8" t="s">
        <v>48</v>
      </c>
    </row>
    <row r="34" customFormat="false" ht="48" hidden="false" customHeight="true" outlineLevel="0" collapsed="false">
      <c r="B34" s="10" t="s">
        <v>49</v>
      </c>
      <c r="C34" s="8" t="s">
        <v>50</v>
      </c>
    </row>
    <row r="35" customFormat="false" ht="33.75" hidden="false" customHeight="true" outlineLevel="0" collapsed="false">
      <c r="B35" s="10" t="s">
        <v>51</v>
      </c>
      <c r="C35" s="8" t="s">
        <v>52</v>
      </c>
    </row>
    <row r="36" customFormat="false" ht="33.75" hidden="false" customHeight="true" outlineLevel="0" collapsed="false">
      <c r="B36" s="15" t="s">
        <v>53</v>
      </c>
      <c r="C36" s="8" t="s">
        <v>54</v>
      </c>
    </row>
    <row r="37" customFormat="false" ht="48" hidden="false" customHeight="true" outlineLevel="0" collapsed="false">
      <c r="B37" s="15" t="s">
        <v>55</v>
      </c>
      <c r="C37" s="8" t="s">
        <v>56</v>
      </c>
    </row>
    <row r="38" customFormat="false" ht="33.75" hidden="false" customHeight="true" outlineLevel="0" collapsed="false">
      <c r="B38" s="16" t="s">
        <v>57</v>
      </c>
      <c r="C38" s="8" t="s">
        <v>58</v>
      </c>
    </row>
    <row r="39" customFormat="false" ht="33.75" hidden="false" customHeight="true" outlineLevel="0" collapsed="false">
      <c r="B39" s="16" t="s">
        <v>59</v>
      </c>
      <c r="C39" s="8" t="s">
        <v>60</v>
      </c>
    </row>
    <row r="40" customFormat="false" ht="33.75" hidden="false" customHeight="true" outlineLevel="0" collapsed="false">
      <c r="B40" s="17" t="s">
        <v>61</v>
      </c>
      <c r="C40" s="8" t="s">
        <v>62</v>
      </c>
    </row>
    <row r="41" customFormat="false" ht="33.75" hidden="false" customHeight="true" outlineLevel="0" collapsed="false">
      <c r="B41" s="13" t="s">
        <v>63</v>
      </c>
      <c r="C41" s="8" t="s">
        <v>64</v>
      </c>
    </row>
    <row r="42" customFormat="false" ht="48" hidden="false" customHeight="true" outlineLevel="0" collapsed="false">
      <c r="B42" s="10" t="s">
        <v>65</v>
      </c>
      <c r="C42" s="8" t="s">
        <v>66</v>
      </c>
    </row>
    <row r="43" customFormat="false" ht="33.75" hidden="false" customHeight="true" outlineLevel="0" collapsed="false">
      <c r="B43" s="13" t="s">
        <v>67</v>
      </c>
      <c r="C43" s="8" t="s">
        <v>68</v>
      </c>
    </row>
    <row r="45" customFormat="false" ht="21.75" hidden="false" customHeight="true" outlineLevel="0" collapsed="false">
      <c r="B45" s="4" t="s">
        <v>69</v>
      </c>
      <c r="C45" s="5"/>
    </row>
    <row r="46" customFormat="false" ht="18" hidden="false" customHeight="true" outlineLevel="0" collapsed="false">
      <c r="B46" s="6" t="s">
        <v>70</v>
      </c>
      <c r="C46" s="6"/>
    </row>
    <row r="47" customFormat="false" ht="33.75" hidden="false" customHeight="true" outlineLevel="0" collapsed="false">
      <c r="B47" s="7" t="s">
        <v>71</v>
      </c>
      <c r="C47" s="8" t="s">
        <v>72</v>
      </c>
    </row>
    <row r="48" customFormat="false" ht="19.5" hidden="false" customHeight="true" outlineLevel="0" collapsed="false">
      <c r="B48" s="7" t="s">
        <v>73</v>
      </c>
      <c r="C48" s="8" t="s">
        <v>74</v>
      </c>
    </row>
    <row r="49" customFormat="false" ht="33.75" hidden="false" customHeight="true" outlineLevel="0" collapsed="false">
      <c r="B49" s="7" t="s">
        <v>75</v>
      </c>
      <c r="C49" s="8" t="s">
        <v>76</v>
      </c>
    </row>
    <row r="51" customFormat="false" ht="21.75" hidden="false" customHeight="true" outlineLevel="0" collapsed="false">
      <c r="B51" s="4" t="s">
        <v>77</v>
      </c>
      <c r="C51" s="5"/>
    </row>
    <row r="52" customFormat="false" ht="19.5" hidden="false" customHeight="true" outlineLevel="0" collapsed="false">
      <c r="B52" s="7" t="s">
        <v>78</v>
      </c>
      <c r="C52" s="8" t="s">
        <v>79</v>
      </c>
    </row>
    <row r="53" customFormat="false" ht="19.5" hidden="false" customHeight="true" outlineLevel="0" collapsed="false">
      <c r="B53" s="7" t="s">
        <v>80</v>
      </c>
      <c r="C53" s="8" t="s">
        <v>81</v>
      </c>
    </row>
    <row r="54" customFormat="false" ht="33.75" hidden="false" customHeight="true" outlineLevel="0" collapsed="false">
      <c r="B54" s="7" t="s">
        <v>82</v>
      </c>
      <c r="C54" s="8" t="s">
        <v>83</v>
      </c>
    </row>
    <row r="55" customFormat="false" ht="48" hidden="false" customHeight="true" outlineLevel="0" collapsed="false">
      <c r="B55" s="7" t="s">
        <v>84</v>
      </c>
      <c r="C55" s="8" t="s">
        <v>85</v>
      </c>
    </row>
    <row r="57" customFormat="false" ht="31.5" hidden="false" customHeight="true" outlineLevel="0" collapsed="false">
      <c r="B57" s="18" t="s">
        <v>86</v>
      </c>
      <c r="C57" s="18"/>
    </row>
  </sheetData>
  <mergeCells count="3">
    <mergeCell ref="B6:C6"/>
    <mergeCell ref="B46:C46"/>
    <mergeCell ref="B57:C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H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5" min="3" style="0" width="21"/>
    <col collapsed="false" customWidth="true" hidden="false" outlineLevel="0" max="6" min="6" style="0" width="4"/>
    <col collapsed="false" customWidth="true" hidden="false" outlineLevel="0" max="7" min="7" style="0" width="60"/>
    <col collapsed="false" customWidth="true" hidden="false" outlineLevel="0" max="8" min="8" style="0" width="4"/>
  </cols>
  <sheetData>
    <row r="1" customFormat="false" ht="25.5" hidden="false" customHeight="true" outlineLevel="0" collapsed="false">
      <c r="A1" s="1" t="s">
        <v>87</v>
      </c>
      <c r="B1" s="2"/>
      <c r="C1" s="2"/>
      <c r="D1" s="2"/>
      <c r="E1" s="2"/>
      <c r="F1" s="2"/>
      <c r="G1" s="2"/>
      <c r="H1" s="2"/>
    </row>
    <row r="2" customFormat="false" ht="15.75" hidden="false" customHeight="true" outlineLevel="0" collapsed="false">
      <c r="A2" s="3" t="s">
        <v>88</v>
      </c>
    </row>
    <row r="4" customFormat="false" ht="21.75" hidden="false" customHeight="true" outlineLevel="0" collapsed="false">
      <c r="B4" s="19" t="s">
        <v>89</v>
      </c>
      <c r="C4" s="20" t="s">
        <v>90</v>
      </c>
      <c r="D4" s="21" t="s">
        <v>91</v>
      </c>
      <c r="E4" s="22" t="s">
        <v>92</v>
      </c>
    </row>
    <row r="5" customFormat="false" ht="15" hidden="false" customHeight="false" outlineLevel="0" collapsed="false">
      <c r="B5" s="23" t="s">
        <v>93</v>
      </c>
      <c r="C5" s="24" t="str">
        <f aca="false">IF(Premissas!$B$6=1,"◀ ATIVO","")</f>
        <v/>
      </c>
      <c r="D5" s="24" t="str">
        <f aca="false">IF(Premissas!$B$6=2,"◀ ATIVO","")</f>
        <v>◀ ATIVO</v>
      </c>
      <c r="E5" s="24" t="str">
        <f aca="false">IF(Premissas!$B$6=3,"◀ ATIVO","")</f>
        <v/>
      </c>
    </row>
    <row r="7" customFormat="false" ht="18" hidden="false" customHeight="true" outlineLevel="0" collapsed="false">
      <c r="A7" s="25" t="s">
        <v>94</v>
      </c>
      <c r="B7" s="26"/>
      <c r="C7" s="26"/>
      <c r="D7" s="26"/>
      <c r="E7" s="26"/>
    </row>
    <row r="8" customFormat="false" ht="15" hidden="false" customHeight="false" outlineLevel="0" collapsed="false">
      <c r="B8" s="27" t="s">
        <v>95</v>
      </c>
      <c r="C8" s="28" t="n">
        <f aca="false">Cenários!$M$13</f>
        <v>29430.6</v>
      </c>
      <c r="D8" s="28" t="n">
        <f aca="false">Cenários!$M$59</f>
        <v>50071.84</v>
      </c>
      <c r="E8" s="28" t="n">
        <f aca="false">Cenários!$M$105</f>
        <v>71550.024</v>
      </c>
      <c r="G8" s="29" t="s">
        <v>96</v>
      </c>
    </row>
    <row r="9" customFormat="false" ht="15" hidden="false" customHeight="false" outlineLevel="0" collapsed="false">
      <c r="B9" s="27" t="s">
        <v>97</v>
      </c>
      <c r="C9" s="28" t="n">
        <f aca="false">Cenários!$BI$13</f>
        <v>422036.015390788</v>
      </c>
      <c r="D9" s="28" t="n">
        <f aca="false">Cenários!$BI$59</f>
        <v>1116849.79016539</v>
      </c>
      <c r="E9" s="28" t="n">
        <f aca="false">Cenários!$BI$105</f>
        <v>2424300.50798216</v>
      </c>
    </row>
    <row r="10" customFormat="false" ht="15" hidden="false" customHeight="false" outlineLevel="0" collapsed="false">
      <c r="B10" s="27" t="s">
        <v>98</v>
      </c>
      <c r="C10" s="28" t="n">
        <f aca="false">Cenários!$M$15</f>
        <v>441</v>
      </c>
      <c r="D10" s="28" t="n">
        <f aca="false">Cenários!$M$61</f>
        <v>1252</v>
      </c>
      <c r="E10" s="28" t="n">
        <f aca="false">Cenários!$M$107</f>
        <v>2504</v>
      </c>
      <c r="G10" s="29" t="s">
        <v>99</v>
      </c>
    </row>
    <row r="11" customFormat="false" ht="15" hidden="false" customHeight="false" outlineLevel="0" collapsed="false">
      <c r="B11" s="27" t="s">
        <v>100</v>
      </c>
      <c r="C11" s="28" t="n">
        <f aca="false">Cenários!$BI$15</f>
        <v>17225</v>
      </c>
      <c r="D11" s="28" t="n">
        <f aca="false">Cenários!$BI$61</f>
        <v>75973</v>
      </c>
      <c r="E11" s="28" t="n">
        <f aca="false">Cenários!$BI$107</f>
        <v>248459</v>
      </c>
    </row>
    <row r="12" customFormat="false" ht="15" hidden="false" customHeight="false" outlineLevel="0" collapsed="false">
      <c r="B12" s="27" t="s">
        <v>101</v>
      </c>
      <c r="C12" s="30" t="n">
        <f aca="false">SUMIFS(Cenários!$B$25:$BI$25,Cenários!$B$6:$BI$6,2026)</f>
        <v>18789.9</v>
      </c>
      <c r="D12" s="30" t="n">
        <f aca="false">SUMIFS(Cenários!$B$71:$BI$71,Cenários!$B$6:$BI$6,2026)</f>
        <v>53361.8</v>
      </c>
      <c r="E12" s="30" t="n">
        <f aca="false">SUMIFS(Cenários!$B$117:$BI$117,Cenários!$B$6:$BI$6,2026)</f>
        <v>106205.3</v>
      </c>
    </row>
    <row r="13" customFormat="false" ht="15" hidden="false" customHeight="false" outlineLevel="0" collapsed="false">
      <c r="B13" s="27" t="s">
        <v>102</v>
      </c>
      <c r="C13" s="30" t="n">
        <f aca="false">SUMIFS(Cenários!$B$25:$BI$25,Cenários!$B$6:$BI$6,2030)</f>
        <v>7910338.74881746</v>
      </c>
      <c r="D13" s="30" t="n">
        <f aca="false">SUMIFS(Cenários!$B$71:$BI$71,Cenários!$B$6:$BI$6,2030)</f>
        <v>32414063.5943115</v>
      </c>
      <c r="E13" s="30" t="n">
        <f aca="false">SUMIFS(Cenários!$B$117:$BI$117,Cenários!$B$6:$BI$6,2030)</f>
        <v>100604674.974356</v>
      </c>
    </row>
    <row r="14" customFormat="false" ht="15" hidden="false" customHeight="false" outlineLevel="0" collapsed="false">
      <c r="B14" s="31" t="s">
        <v>103</v>
      </c>
      <c r="C14" s="32" t="n">
        <f aca="false">SUM(Cenários!$B$25:$BI$25)</f>
        <v>15954398.6001954</v>
      </c>
      <c r="D14" s="32" t="n">
        <f aca="false">SUM(Cenários!$B$71:$BI$71)</f>
        <v>61315814.9412342</v>
      </c>
      <c r="E14" s="32" t="n">
        <f aca="false">SUM(Cenários!$B$117:$BI$117)</f>
        <v>178059674.772245</v>
      </c>
    </row>
    <row r="16" customFormat="false" ht="18" hidden="false" customHeight="true" outlineLevel="0" collapsed="false">
      <c r="A16" s="25" t="s">
        <v>104</v>
      </c>
      <c r="B16" s="26"/>
      <c r="C16" s="26"/>
      <c r="D16" s="26"/>
      <c r="E16" s="26"/>
    </row>
    <row r="17" customFormat="false" ht="15" hidden="false" customHeight="false" outlineLevel="0" collapsed="false">
      <c r="B17" s="27" t="s">
        <v>105</v>
      </c>
      <c r="C17" s="30" t="n">
        <f aca="false">SUMIFS(Cenários!$B$37:$BI$37,Cenários!$B$6:$BI$6,2026)</f>
        <v>-132670.400575</v>
      </c>
      <c r="D17" s="30" t="n">
        <f aca="false">SUMIFS(Cenários!$B$83:$BI$83,Cenários!$B$6:$BI$6,2026)</f>
        <v>-115083.63745</v>
      </c>
      <c r="E17" s="30" t="n">
        <f aca="false">SUMIFS(Cenários!$B$129:$BI$129,Cenários!$B$6:$BI$6,2026)</f>
        <v>-66779.585505</v>
      </c>
    </row>
    <row r="18" customFormat="false" ht="15" hidden="false" customHeight="false" outlineLevel="0" collapsed="false">
      <c r="B18" s="27" t="s">
        <v>106</v>
      </c>
      <c r="C18" s="30" t="n">
        <f aca="false">SUMIFS(Cenários!$B$37:$BI$37,Cenários!$B$6:$BI$6,2030)</f>
        <v>-6065776.69694336</v>
      </c>
      <c r="D18" s="30" t="n">
        <f aca="false">SUMIFS(Cenários!$B$83:$BI$83,Cenários!$B$6:$BI$6,2030)</f>
        <v>10313877.5075734</v>
      </c>
      <c r="E18" s="30" t="n">
        <f aca="false">SUMIFS(Cenários!$B$129:$BI$129,Cenários!$B$6:$BI$6,2030)</f>
        <v>57088857.7122505</v>
      </c>
    </row>
    <row r="19" customFormat="false" ht="15" hidden="false" customHeight="false" outlineLevel="0" collapsed="false">
      <c r="B19" s="31" t="s">
        <v>107</v>
      </c>
      <c r="C19" s="32" t="n">
        <f aca="false">SUM(Cenários!$B$37:$BI$37)</f>
        <v>-12978327.045323</v>
      </c>
      <c r="D19" s="32" t="n">
        <f aca="false">SUM(Cenários!$B$83:$BI$83)</f>
        <v>17063979.5160541</v>
      </c>
      <c r="E19" s="32" t="n">
        <f aca="false">SUM(Cenários!$B$129:$BI$129)</f>
        <v>96636316.1853008</v>
      </c>
    </row>
    <row r="20" customFormat="false" ht="15" hidden="false" customHeight="false" outlineLevel="0" collapsed="false">
      <c r="B20" s="27" t="s">
        <v>108</v>
      </c>
      <c r="C20" s="33" t="n">
        <f aca="false">IFERROR(C18/C13,0)</f>
        <v>-0.766816300736824</v>
      </c>
      <c r="D20" s="33" t="n">
        <f aca="false">IFERROR(D18/D13,0)</f>
        <v>0.318191438033195</v>
      </c>
      <c r="E20" s="33" t="n">
        <f aca="false">IFERROR(E18/E13,0)</f>
        <v>0.567457304810162</v>
      </c>
    </row>
    <row r="21" customFormat="false" ht="15" hidden="false" customHeight="false" outlineLevel="0" collapsed="false">
      <c r="B21" s="27" t="s">
        <v>109</v>
      </c>
      <c r="C21" s="34" t="str">
        <f aca="false">IF(SUM(Cenários!$B$43:$BI$43)=0,"não atinge",CHOOSE(MOD(60-SUM(Cenários!$B$43:$BI$43),12)+1,"jan","fev","mar","abr","mai","jun","jul","ago","set","out","nov","dez")&amp;"/"&amp;(2026+INT((60-SUM(Cenários!$B$43:$BI$43))/12)))</f>
        <v>não atinge</v>
      </c>
      <c r="D21" s="34" t="str">
        <f aca="false">IF(SUM(Cenários!$B$89:$BI$89)=0,"não atinge",CHOOSE(MOD(60-SUM(Cenários!$B$89:$BI$89),12)+1,"jan","fev","mar","abr","mai","jun","jul","ago","set","out","nov","dez")&amp;"/"&amp;(2026+INT((60-SUM(Cenários!$B$89:$BI$89))/12)))</f>
        <v>mar/2027</v>
      </c>
      <c r="E21" s="34" t="str">
        <f aca="false">IF(SUM(Cenários!$B$135:$BI$135)=0,"não atinge",CHOOSE(MOD(60-SUM(Cenários!$B$135:$BI$135),12)+1,"jan","fev","mar","abr","mai","jun","jul","ago","set","out","nov","dez")&amp;"/"&amp;(2026+INT((60-SUM(Cenários!$B$135:$BI$135))/12)))</f>
        <v>dez/2026</v>
      </c>
      <c r="G21" s="29" t="s">
        <v>110</v>
      </c>
    </row>
    <row r="23" customFormat="false" ht="18" hidden="false" customHeight="true" outlineLevel="0" collapsed="false">
      <c r="A23" s="25" t="s">
        <v>111</v>
      </c>
      <c r="B23" s="26"/>
      <c r="C23" s="26"/>
      <c r="D23" s="26"/>
      <c r="E23" s="26"/>
    </row>
    <row r="24" customFormat="false" ht="15" hidden="false" customHeight="false" outlineLevel="0" collapsed="false">
      <c r="B24" s="27" t="s">
        <v>112</v>
      </c>
      <c r="C24" s="30" t="n">
        <f aca="false">-SUM(Cenários!$B$38:$BI$38)</f>
        <v>149127.82</v>
      </c>
      <c r="D24" s="30" t="n">
        <f aca="false">-SUM(Cenários!$B$84:$BI$84)</f>
        <v>149127.82</v>
      </c>
      <c r="E24" s="30" t="n">
        <f aca="false">-SUM(Cenários!$B$130:$BI$130)</f>
        <v>149127.82</v>
      </c>
    </row>
    <row r="25" customFormat="false" ht="15" hidden="false" customHeight="false" outlineLevel="0" collapsed="false">
      <c r="B25" s="31" t="s">
        <v>113</v>
      </c>
      <c r="C25" s="32" t="n">
        <f aca="false">-MIN(Cenários!$B$42:$BI$42)</f>
        <v>13127454.865323</v>
      </c>
      <c r="D25" s="32" t="n">
        <f aca="false">-MIN(Cenários!$B$88:$BI$88)</f>
        <v>263538.970483385</v>
      </c>
      <c r="E25" s="32" t="n">
        <f aca="false">-MIN(Cenários!$B$134:$BI$134)</f>
        <v>113055.813225</v>
      </c>
      <c r="G25" s="29" t="s">
        <v>114</v>
      </c>
    </row>
    <row r="26" customFormat="false" ht="15" hidden="false" customHeight="false" outlineLevel="0" collapsed="false">
      <c r="B26" s="27" t="s">
        <v>115</v>
      </c>
      <c r="C26" s="30" t="n">
        <f aca="false">SUM(Aportes!$B$98:$BI$98)</f>
        <v>200000</v>
      </c>
      <c r="D26" s="30" t="n">
        <f aca="false">SUM(Aportes!$B$98:$BI$98)</f>
        <v>200000</v>
      </c>
      <c r="E26" s="30" t="n">
        <f aca="false">SUM(Aportes!$B$98:$BI$98)</f>
        <v>200000</v>
      </c>
    </row>
    <row r="27" customFormat="false" ht="15" hidden="false" customHeight="false" outlineLevel="0" collapsed="false">
      <c r="B27" s="31" t="s">
        <v>116</v>
      </c>
      <c r="C27" s="32" t="n">
        <f aca="false">MIN(Cenários!$B$46:$BI$46)</f>
        <v>-12927454.865323</v>
      </c>
      <c r="D27" s="32" t="n">
        <f aca="false">MIN(Cenários!$B$92:$BI$92)</f>
        <v>-93538.970483385</v>
      </c>
      <c r="E27" s="32" t="n">
        <f aca="false">MIN(Cenários!$B$138:$BI$138)</f>
        <v>-4627.82</v>
      </c>
      <c r="G27" s="29" t="s">
        <v>117</v>
      </c>
    </row>
    <row r="28" customFormat="false" ht="15" hidden="false" customHeight="false" outlineLevel="0" collapsed="false">
      <c r="B28" s="27" t="s">
        <v>118</v>
      </c>
      <c r="C28" s="34" t="str">
        <f aca="false">CHOOSE(MOD(MATCH(MIN(Cenários!$B$46:$BI$46),Cenários!$B$46:$BI$46,0)-1,12)+1,"jan","fev","mar","abr","mai","jun","jul","ago","set","out","nov","dez")&amp;"/"&amp;(2026+INT((MATCH(MIN(Cenários!$B$46:$BI$46),Cenários!$B$46:$BI$46,0)-1)/12))</f>
        <v>dez/2030</v>
      </c>
      <c r="D28" s="34" t="str">
        <f aca="false">CHOOSE(MOD(MATCH(MIN(Cenários!$B$92:$BI$92),Cenários!$B$92:$BI$92,0)-1,12)+1,"jan","fev","mar","abr","mai","jun","jul","ago","set","out","nov","dez")&amp;"/"&amp;(2026+INT((MATCH(MIN(Cenários!$B$92:$BI$92),Cenários!$B$92:$BI$92,0)-1)/12))</f>
        <v>mar/2027</v>
      </c>
      <c r="E28" s="34" t="str">
        <f aca="false">CHOOSE(MOD(MATCH(MIN(Cenários!$B$138:$BI$138),Cenários!$B$138:$BI$138,0)-1,12)+1,"jan","fev","mar","abr","mai","jun","jul","ago","set","out","nov","dez")&amp;"/"&amp;(2026+INT((MATCH(MIN(Cenários!$B$138:$BI$138),Cenários!$B$138:$BI$138,0)-1)/12))</f>
        <v>set/2026</v>
      </c>
      <c r="G28" s="29" t="s">
        <v>119</v>
      </c>
    </row>
    <row r="29" customFormat="false" ht="15" hidden="false" customHeight="false" outlineLevel="0" collapsed="false">
      <c r="B29" s="27" t="s">
        <v>120</v>
      </c>
      <c r="C29" s="30" t="n">
        <f aca="false">Cenários!$BI$46</f>
        <v>-12927454.865323</v>
      </c>
      <c r="D29" s="30" t="n">
        <f aca="false">Cenários!$BI$92</f>
        <v>17114851.6960541</v>
      </c>
      <c r="E29" s="30" t="n">
        <f aca="false">Cenários!$BI$138</f>
        <v>96687188.3653008</v>
      </c>
    </row>
    <row r="31" customFormat="false" ht="18" hidden="false" customHeight="true" outlineLevel="0" collapsed="false">
      <c r="A31" s="25" t="s">
        <v>121</v>
      </c>
      <c r="B31" s="26"/>
      <c r="C31" s="26"/>
      <c r="D31" s="26"/>
      <c r="E31" s="26"/>
    </row>
    <row r="32" customFormat="false" ht="15" hidden="false" customHeight="false" outlineLevel="0" collapsed="false">
      <c r="B32" s="31" t="s">
        <v>122</v>
      </c>
      <c r="C32" s="32" t="n">
        <f aca="false">NPV(Premissas!$B$19,Cenários!$B$39:$BI$39)</f>
        <v>-5934182.19239475</v>
      </c>
      <c r="D32" s="32" t="n">
        <f aca="false">NPV(Premissas!$B$19,Cenários!$B$85:$BI$85)</f>
        <v>6887624.96795662</v>
      </c>
      <c r="E32" s="32" t="n">
        <f aca="false">NPV(Premissas!$B$19,Cenários!$B$131:$BI$131)</f>
        <v>40132400.4208919</v>
      </c>
      <c r="G32" s="29" t="s">
        <v>123</v>
      </c>
    </row>
    <row r="33" customFormat="false" ht="15" hidden="false" customHeight="false" outlineLevel="0" collapsed="false">
      <c r="B33" s="27" t="s">
        <v>124</v>
      </c>
      <c r="C33" s="35" t="str">
        <f aca="false">IFERROR(IRR(Cenários!$B$39:$BI$39),"n/d")</f>
        <v>n/d</v>
      </c>
      <c r="D33" s="35" t="n">
        <f aca="false">IFERROR(IRR(Cenários!$B$85:$BI$85),"n/d")</f>
        <v>0.166280620709587</v>
      </c>
      <c r="E33" s="35" t="n">
        <f aca="false">IFERROR(IRR(Cenários!$B$131:$BI$131),"n/d")</f>
        <v>0.393652303449943</v>
      </c>
    </row>
    <row r="34" customFormat="false" ht="15" hidden="false" customHeight="false" outlineLevel="0" collapsed="false">
      <c r="B34" s="31" t="s">
        <v>125</v>
      </c>
      <c r="C34" s="36" t="str">
        <f aca="false">IFERROR((1+C33)^12-1,"n/d")</f>
        <v>n/d</v>
      </c>
      <c r="D34" s="36" t="n">
        <f aca="false">IFERROR((1+D33)^12-1,"n/d")</f>
        <v>5.33339699576921</v>
      </c>
      <c r="E34" s="36" t="n">
        <f aca="false">IFERROR((1+E33)^12-1,"n/d")</f>
        <v>52.6850353351684</v>
      </c>
      <c r="G34" s="29" t="s">
        <v>126</v>
      </c>
    </row>
    <row r="35" customFormat="false" ht="15" hidden="false" customHeight="false" outlineLevel="0" collapsed="false">
      <c r="B35" s="27" t="s">
        <v>127</v>
      </c>
      <c r="C35" s="28" t="str">
        <f aca="false">IF(Cenários!$BI$42&lt;0,"&gt; 60",MAX(Cenários!$B$47:$BI$47)+1)</f>
        <v>&gt; 60</v>
      </c>
      <c r="D35" s="28" t="n">
        <f aca="false">IF(Cenários!$BI$88&lt;0,"&gt; 60",MAX(Cenários!$B$93:$BI$93)+1)</f>
        <v>21</v>
      </c>
      <c r="E35" s="28" t="n">
        <f aca="false">IF(Cenários!$BI$134&lt;0,"&gt; 60",MAX(Cenários!$B$139:$BI$139)+1)</f>
        <v>15</v>
      </c>
      <c r="G35" s="29" t="s">
        <v>128</v>
      </c>
    </row>
    <row r="36" customFormat="false" ht="15" hidden="false" customHeight="false" outlineLevel="0" collapsed="false">
      <c r="B36" s="27" t="s">
        <v>129</v>
      </c>
      <c r="C36" s="28" t="str">
        <f aca="false">IF(Cenários!$BI$41&lt;0,"&gt; 60",MAX(Cenários!$B$48:$BI$48)+1)</f>
        <v>&gt; 60</v>
      </c>
      <c r="D36" s="28" t="n">
        <f aca="false">IF(Cenários!$BI$87&lt;0,"&gt; 60",MAX(Cenários!$B$94:$BI$94)+1)</f>
        <v>22</v>
      </c>
      <c r="E36" s="28" t="n">
        <f aca="false">IF(Cenários!$BI$133&lt;0,"&gt; 60",MAX(Cenários!$B$140:$BI$140)+1)</f>
        <v>15</v>
      </c>
      <c r="G36" s="29" t="s">
        <v>130</v>
      </c>
    </row>
    <row r="37" customFormat="false" ht="15" hidden="false" customHeight="false" outlineLevel="0" collapsed="false">
      <c r="B37" s="27" t="s">
        <v>131</v>
      </c>
      <c r="C37" s="30" t="n">
        <f aca="false">SUM(Cenários!$B$39:$BI$39)</f>
        <v>-13127454.865323</v>
      </c>
      <c r="D37" s="30" t="n">
        <f aca="false">SUM(Cenários!$B$85:$BI$85)</f>
        <v>16914851.6960541</v>
      </c>
      <c r="E37" s="30" t="n">
        <f aca="false">SUM(Cenários!$B$131:$BI$131)</f>
        <v>96487188.3653008</v>
      </c>
    </row>
    <row r="38" customFormat="false" ht="15" hidden="false" customHeight="false" outlineLevel="0" collapsed="false">
      <c r="B38" s="27" t="s">
        <v>132</v>
      </c>
      <c r="C38" s="37" t="n">
        <f aca="false">IFERROR(C37/C25,0)</f>
        <v>-1</v>
      </c>
      <c r="D38" s="37" t="n">
        <f aca="false">IFERROR(D37/D25,0)</f>
        <v>64.1834931093068</v>
      </c>
      <c r="E38" s="37" t="n">
        <f aca="false">IFERROR(E37/E25,0)</f>
        <v>853.447386851972</v>
      </c>
      <c r="G38" s="29" t="s">
        <v>133</v>
      </c>
    </row>
    <row r="40" customFormat="false" ht="18" hidden="false" customHeight="true" outlineLevel="0" collapsed="false">
      <c r="A40" s="25" t="s">
        <v>134</v>
      </c>
      <c r="B40" s="26"/>
      <c r="C40" s="26"/>
      <c r="D40" s="26"/>
      <c r="E40" s="26"/>
    </row>
    <row r="41" customFormat="false" ht="15" hidden="false" customHeight="false" outlineLevel="0" collapsed="false">
      <c r="B41" s="38" t="s">
        <v>135</v>
      </c>
      <c r="C41" s="39" t="str">
        <f aca="false">IF(C27&gt;=0,"SIM","NÃO")</f>
        <v>NÃO</v>
      </c>
      <c r="D41" s="39" t="str">
        <f aca="false">IF(D27&gt;=0,"SIM","NÃO")</f>
        <v>NÃO</v>
      </c>
      <c r="E41" s="39" t="str">
        <f aca="false">IF(E27&gt;=0,"SIM","NÃO")</f>
        <v>NÃO</v>
      </c>
    </row>
    <row r="42" customFormat="false" ht="15" hidden="false" customHeight="false" outlineLevel="0" collapsed="false">
      <c r="B42" s="38" t="s">
        <v>136</v>
      </c>
      <c r="C42" s="39" t="str">
        <f aca="false">IF(C32&gt;0,"SIM","NÃO")</f>
        <v>NÃO</v>
      </c>
      <c r="D42" s="39" t="str">
        <f aca="false">IF(D32&gt;0,"SIM","NÃO")</f>
        <v>SIM</v>
      </c>
      <c r="E42" s="39" t="str">
        <f aca="false">IF(E32&gt;0,"SIM","NÃO")</f>
        <v>SIM</v>
      </c>
    </row>
    <row r="43" customFormat="false" ht="15" hidden="false" customHeight="false" outlineLevel="0" collapsed="false">
      <c r="B43" s="38" t="s">
        <v>137</v>
      </c>
      <c r="C43" s="39" t="str">
        <f aca="false">IF(N(C34)&gt;Premissas!$B$18,"SIM","NÃO")</f>
        <v>NÃO</v>
      </c>
      <c r="D43" s="39" t="str">
        <f aca="false">IF(N(D34)&gt;Premissas!$B$18,"SIM","NÃO")</f>
        <v>SIM</v>
      </c>
      <c r="E43" s="39" t="str">
        <f aca="false">IF(N(E34)&gt;Premissas!$B$18,"SIM","NÃO")</f>
        <v>SIM</v>
      </c>
    </row>
    <row r="44" customFormat="false" ht="15" hidden="false" customHeight="false" outlineLevel="0" collapsed="false">
      <c r="B44" s="38" t="s">
        <v>138</v>
      </c>
      <c r="C44" s="39" t="str">
        <f aca="false">IF(AND(ISNUMBER(C36),N(C36)&lt;=Premissas!$B$20),"SIM","NÃO")</f>
        <v>NÃO</v>
      </c>
      <c r="D44" s="39" t="str">
        <f aca="false">IF(AND(ISNUMBER(D36),N(D36)&lt;=Premissas!$B$20),"SIM","NÃO")</f>
        <v>SIM</v>
      </c>
      <c r="E44" s="39" t="str">
        <f aca="false">IF(AND(ISNUMBER(E36),N(E36)&lt;=Premissas!$B$20),"SIM","NÃO")</f>
        <v>SIM</v>
      </c>
    </row>
    <row r="45" customFormat="false" ht="24" hidden="false" customHeight="true" outlineLevel="0" collapsed="false">
      <c r="B45" s="40" t="s">
        <v>139</v>
      </c>
      <c r="C45" s="41" t="str">
        <f aca="false">IF(COUNTIF(C41:C44,"SIM")=4,"GO — VIÁVEL",IF(COUNTIF(C41:C44,"SIM")&gt;=2,"GO COM RESSALVAS","NO GO — INVIÁVEL"))</f>
        <v>NO GO — INVIÁVEL</v>
      </c>
      <c r="D45" s="42" t="str">
        <f aca="false">IF(COUNTIF(D41:D44,"SIM")=4,"GO — VIÁVEL",IF(COUNTIF(D41:D44,"SIM")&gt;=2,"GO COM RESSALVAS","NO GO — INVIÁVEL"))</f>
        <v>GO COM RESSALVAS</v>
      </c>
      <c r="E45" s="43" t="str">
        <f aca="false">IF(COUNTIF(E41:E44,"SIM")=4,"GO — VIÁVEL",IF(COUNTIF(E41:E44,"SIM")&gt;=2,"GO COM RESSALVAS","NO GO — INVIÁVEL"))</f>
        <v>GO COM RESSALVAS</v>
      </c>
      <c r="G45" s="29" t="s">
        <v>140</v>
      </c>
    </row>
    <row r="47" customFormat="false" ht="18" hidden="false" customHeight="true" outlineLevel="0" collapsed="false">
      <c r="A47" s="25" t="s">
        <v>141</v>
      </c>
      <c r="B47" s="26"/>
      <c r="C47" s="26"/>
      <c r="D47" s="26"/>
      <c r="E47" s="26"/>
    </row>
    <row r="48" customFormat="false" ht="15" hidden="false" customHeight="false" outlineLevel="0" collapsed="false">
      <c r="B48" s="38" t="s">
        <v>142</v>
      </c>
      <c r="C48" s="44" t="n">
        <f aca="false">Usuários!$BI$28</f>
        <v>452.976531487605</v>
      </c>
      <c r="D48" s="44"/>
      <c r="E48" s="44"/>
    </row>
    <row r="49" customFormat="false" ht="15" hidden="false" customHeight="false" outlineLevel="0" collapsed="false">
      <c r="B49" s="38" t="s">
        <v>143</v>
      </c>
      <c r="C49" s="44" t="n">
        <f aca="false">Usuários!$BI$24</f>
        <v>38.5671541943273</v>
      </c>
      <c r="D49" s="44"/>
      <c r="E49" s="44"/>
    </row>
    <row r="50" customFormat="false" ht="15" hidden="false" customHeight="false" outlineLevel="0" collapsed="false">
      <c r="B50" s="38" t="s">
        <v>144</v>
      </c>
      <c r="C50" s="45" t="n">
        <f aca="false">Usuários!$BI$29</f>
        <v>11.7451375646024</v>
      </c>
      <c r="D50" s="45"/>
      <c r="E50" s="45"/>
      <c r="G50" s="29" t="s">
        <v>145</v>
      </c>
    </row>
    <row r="51" customFormat="false" ht="15" hidden="false" customHeight="false" outlineLevel="0" collapsed="false">
      <c r="B51" s="38" t="s">
        <v>146</v>
      </c>
      <c r="C51" s="46" t="n">
        <f aca="false">Usuários!$BI$30</f>
        <v>1.36314009063346</v>
      </c>
      <c r="D51" s="46"/>
      <c r="E51" s="46"/>
      <c r="G51" s="29" t="s">
        <v>147</v>
      </c>
    </row>
    <row r="52" customFormat="false" ht="15" hidden="false" customHeight="false" outlineLevel="0" collapsed="false">
      <c r="B52" s="38" t="s">
        <v>148</v>
      </c>
      <c r="C52" s="44" t="n">
        <f aca="false">Usuários!$BI$25</f>
        <v>38.9954461414571</v>
      </c>
      <c r="D52" s="44"/>
      <c r="E52" s="44"/>
    </row>
    <row r="53" customFormat="false" ht="15" hidden="false" customHeight="false" outlineLevel="0" collapsed="false">
      <c r="B53" s="38" t="s">
        <v>149</v>
      </c>
      <c r="C53" s="47" t="n">
        <f aca="false">Usuários!$M$35</f>
        <v>0.496247777544652</v>
      </c>
      <c r="D53" s="47"/>
      <c r="E53" s="47"/>
    </row>
    <row r="54" customFormat="false" ht="15" hidden="false" customHeight="false" outlineLevel="0" collapsed="false">
      <c r="B54" s="38" t="s">
        <v>150</v>
      </c>
      <c r="C54" s="48" t="n">
        <f aca="false">Usuários!$BI$18</f>
        <v>50</v>
      </c>
      <c r="D54" s="48"/>
      <c r="E54" s="48"/>
      <c r="G54" s="29" t="s">
        <v>151</v>
      </c>
    </row>
    <row r="56" customFormat="false" ht="18" hidden="false" customHeight="true" outlineLevel="0" collapsed="false">
      <c r="A56" s="25" t="s">
        <v>152</v>
      </c>
      <c r="B56" s="26"/>
      <c r="C56" s="26"/>
      <c r="D56" s="26"/>
      <c r="E56" s="26"/>
      <c r="F56" s="26"/>
      <c r="G56" s="26"/>
      <c r="H56" s="26"/>
    </row>
    <row r="57" customFormat="false" ht="15" hidden="false" customHeight="false" outlineLevel="0" collapsed="false">
      <c r="B57" s="49" t="s">
        <v>153</v>
      </c>
    </row>
    <row r="58" customFormat="false" ht="42" hidden="false" customHeight="true" outlineLevel="0" collapsed="false">
      <c r="B58" s="50" t="s">
        <v>154</v>
      </c>
      <c r="C58" s="50"/>
      <c r="D58" s="50"/>
      <c r="E58" s="50"/>
      <c r="F58" s="50"/>
      <c r="G58" s="50"/>
    </row>
    <row r="59" customFormat="false" ht="15" hidden="false" customHeight="false" outlineLevel="0" collapsed="false">
      <c r="B59" s="49" t="s">
        <v>155</v>
      </c>
    </row>
    <row r="60" customFormat="false" ht="42" hidden="false" customHeight="true" outlineLevel="0" collapsed="false">
      <c r="B60" s="50" t="s">
        <v>156</v>
      </c>
      <c r="C60" s="50"/>
      <c r="D60" s="50"/>
      <c r="E60" s="50"/>
      <c r="F60" s="50"/>
      <c r="G60" s="50"/>
    </row>
    <row r="61" customFormat="false" ht="15" hidden="false" customHeight="false" outlineLevel="0" collapsed="false">
      <c r="B61" s="49" t="s">
        <v>157</v>
      </c>
    </row>
    <row r="62" customFormat="false" ht="42" hidden="false" customHeight="true" outlineLevel="0" collapsed="false">
      <c r="B62" s="50" t="s">
        <v>158</v>
      </c>
      <c r="C62" s="50"/>
      <c r="D62" s="50"/>
      <c r="E62" s="50"/>
      <c r="F62" s="50"/>
      <c r="G62" s="50"/>
    </row>
    <row r="63" customFormat="false" ht="15" hidden="false" customHeight="false" outlineLevel="0" collapsed="false">
      <c r="B63" s="49" t="s">
        <v>159</v>
      </c>
    </row>
    <row r="64" customFormat="false" ht="42" hidden="false" customHeight="true" outlineLevel="0" collapsed="false">
      <c r="B64" s="50" t="s">
        <v>160</v>
      </c>
      <c r="C64" s="50"/>
      <c r="D64" s="50"/>
      <c r="E64" s="50"/>
      <c r="F64" s="50"/>
      <c r="G64" s="50"/>
    </row>
    <row r="65" customFormat="false" ht="15" hidden="false" customHeight="false" outlineLevel="0" collapsed="false">
      <c r="B65" s="49" t="s">
        <v>161</v>
      </c>
    </row>
    <row r="66" customFormat="false" ht="42" hidden="false" customHeight="true" outlineLevel="0" collapsed="false">
      <c r="B66" s="50" t="s">
        <v>162</v>
      </c>
      <c r="C66" s="50"/>
      <c r="D66" s="50"/>
      <c r="E66" s="50"/>
      <c r="F66" s="50"/>
      <c r="G66" s="50"/>
    </row>
    <row r="67" customFormat="false" ht="15" hidden="false" customHeight="false" outlineLevel="0" collapsed="false">
      <c r="B67" s="49" t="s">
        <v>163</v>
      </c>
    </row>
    <row r="68" customFormat="false" ht="42" hidden="false" customHeight="true" outlineLevel="0" collapsed="false">
      <c r="B68" s="50" t="s">
        <v>164</v>
      </c>
      <c r="C68" s="50"/>
      <c r="D68" s="50"/>
      <c r="E68" s="50"/>
      <c r="F68" s="50"/>
      <c r="G68" s="50"/>
    </row>
    <row r="69" customFormat="false" ht="15" hidden="false" customHeight="false" outlineLevel="0" collapsed="false">
      <c r="B69" s="49" t="s">
        <v>165</v>
      </c>
    </row>
    <row r="70" customFormat="false" ht="42" hidden="false" customHeight="true" outlineLevel="0" collapsed="false">
      <c r="B70" s="50" t="s">
        <v>166</v>
      </c>
      <c r="C70" s="50"/>
      <c r="D70" s="50"/>
      <c r="E70" s="50"/>
      <c r="F70" s="50"/>
      <c r="G70" s="50"/>
    </row>
    <row r="71" customFormat="false" ht="15" hidden="false" customHeight="false" outlineLevel="0" collapsed="false">
      <c r="B71" s="49" t="s">
        <v>167</v>
      </c>
    </row>
    <row r="72" customFormat="false" ht="42" hidden="false" customHeight="true" outlineLevel="0" collapsed="false">
      <c r="B72" s="50" t="s">
        <v>168</v>
      </c>
      <c r="C72" s="50"/>
      <c r="D72" s="50"/>
      <c r="E72" s="50"/>
      <c r="F72" s="50"/>
      <c r="G72" s="50"/>
    </row>
    <row r="73" customFormat="false" ht="15" hidden="false" customHeight="false" outlineLevel="0" collapsed="false">
      <c r="B73" s="49" t="s">
        <v>169</v>
      </c>
    </row>
    <row r="74" customFormat="false" ht="42" hidden="false" customHeight="true" outlineLevel="0" collapsed="false">
      <c r="B74" s="50" t="s">
        <v>170</v>
      </c>
      <c r="C74" s="50"/>
      <c r="D74" s="50"/>
      <c r="E74" s="50"/>
      <c r="F74" s="50"/>
      <c r="G74" s="50"/>
    </row>
    <row r="75" customFormat="false" ht="15" hidden="false" customHeight="false" outlineLevel="0" collapsed="false">
      <c r="B75" s="49" t="s">
        <v>171</v>
      </c>
    </row>
    <row r="76" customFormat="false" ht="42" hidden="false" customHeight="true" outlineLevel="0" collapsed="false">
      <c r="B76" s="50" t="s">
        <v>172</v>
      </c>
      <c r="C76" s="50"/>
      <c r="D76" s="50"/>
      <c r="E76" s="50"/>
      <c r="F76" s="50"/>
      <c r="G76" s="50"/>
    </row>
  </sheetData>
  <mergeCells count="17">
    <mergeCell ref="C48:E48"/>
    <mergeCell ref="C49:E49"/>
    <mergeCell ref="C50:E50"/>
    <mergeCell ref="C51:E51"/>
    <mergeCell ref="C52:E52"/>
    <mergeCell ref="C53:E53"/>
    <mergeCell ref="C54:E54"/>
    <mergeCell ref="B58:G58"/>
    <mergeCell ref="B60:G60"/>
    <mergeCell ref="B62:G62"/>
    <mergeCell ref="B64:G64"/>
    <mergeCell ref="B66:G66"/>
    <mergeCell ref="B68:G68"/>
    <mergeCell ref="B70:G70"/>
    <mergeCell ref="B72:G72"/>
    <mergeCell ref="B74:G74"/>
    <mergeCell ref="B76:G7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L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7"/>
    <col collapsed="false" customWidth="true" hidden="false" outlineLevel="0" max="7" min="3" style="0" width="14"/>
    <col collapsed="false" customWidth="true" hidden="false" outlineLevel="0" max="8" min="8" style="0" width="3"/>
    <col collapsed="false" customWidth="true" hidden="false" outlineLevel="0" max="9" min="9" style="0" width="72"/>
  </cols>
  <sheetData>
    <row r="1" customFormat="false" ht="25.5" hidden="false" customHeight="true" outlineLevel="0" collapsed="false">
      <c r="A1" s="1" t="s">
        <v>173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.75" hidden="false" customHeight="true" outlineLevel="0" collapsed="false">
      <c r="A2" s="3" t="s">
        <v>174</v>
      </c>
    </row>
    <row r="4" customFormat="false" ht="18" hidden="false" customHeight="true" outlineLevel="0" collapsed="false">
      <c r="A4" s="25" t="s">
        <v>175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</row>
    <row r="5" customFormat="false" ht="15" hidden="false" customHeight="false" outlineLevel="0" collapsed="false">
      <c r="A5" s="51" t="s">
        <v>176</v>
      </c>
      <c r="B5" s="52" t="s">
        <v>177</v>
      </c>
      <c r="C5" s="53" t="n">
        <v>2026</v>
      </c>
      <c r="D5" s="53" t="n">
        <v>2027</v>
      </c>
      <c r="E5" s="53" t="n">
        <v>2028</v>
      </c>
      <c r="F5" s="53" t="n">
        <v>2029</v>
      </c>
      <c r="G5" s="53" t="n">
        <v>2030</v>
      </c>
    </row>
    <row r="6" customFormat="false" ht="15" hidden="false" customHeight="false" outlineLevel="0" collapsed="false">
      <c r="A6" s="27" t="s">
        <v>178</v>
      </c>
      <c r="B6" s="54" t="n">
        <v>2</v>
      </c>
      <c r="D6" s="29" t="s">
        <v>179</v>
      </c>
    </row>
    <row r="7" customFormat="false" ht="15" hidden="false" customHeight="false" outlineLevel="0" collapsed="false">
      <c r="A7" s="27" t="s">
        <v>180</v>
      </c>
      <c r="B7" s="55" t="str">
        <f aca="false">CHOOSE($B$6,"CONSERVADOR","PROVÁVEL","AGRESSIVO")</f>
        <v>PROVÁVEL</v>
      </c>
    </row>
    <row r="8" customFormat="false" ht="15" hidden="false" customHeight="false" outlineLevel="0" collapsed="false">
      <c r="A8" s="27" t="s">
        <v>181</v>
      </c>
      <c r="B8" s="54" t="n">
        <v>1</v>
      </c>
      <c r="D8" s="29" t="s">
        <v>182</v>
      </c>
    </row>
    <row r="10" customFormat="false" ht="15" hidden="false" customHeight="false" outlineLevel="0" collapsed="false">
      <c r="A10" s="51" t="s">
        <v>183</v>
      </c>
    </row>
    <row r="11" customFormat="false" ht="15" hidden="false" customHeight="false" outlineLevel="0" collapsed="false">
      <c r="A11" s="27" t="s">
        <v>184</v>
      </c>
      <c r="B11" s="54" t="n">
        <v>2026</v>
      </c>
    </row>
    <row r="12" customFormat="false" ht="15" hidden="false" customHeight="false" outlineLevel="0" collapsed="false">
      <c r="A12" s="27" t="s">
        <v>185</v>
      </c>
      <c r="B12" s="54" t="n">
        <v>10</v>
      </c>
      <c r="D12" s="29" t="s">
        <v>186</v>
      </c>
    </row>
    <row r="13" customFormat="false" ht="15" hidden="false" customHeight="false" outlineLevel="0" collapsed="false">
      <c r="A13" s="27" t="s">
        <v>187</v>
      </c>
      <c r="B13" s="56" t="n">
        <f aca="false">DATE($B$11,$B$12,1)</f>
        <v>46296</v>
      </c>
    </row>
    <row r="14" customFormat="false" ht="15" hidden="false" customHeight="false" outlineLevel="0" collapsed="false">
      <c r="A14" s="57" t="s">
        <v>188</v>
      </c>
      <c r="B14" s="58" t="n">
        <f aca="false">($B$11-2026)*12+$B$12</f>
        <v>10</v>
      </c>
    </row>
    <row r="15" customFormat="false" ht="15" hidden="false" customHeight="false" outlineLevel="0" collapsed="false">
      <c r="A15" s="27" t="s">
        <v>189</v>
      </c>
      <c r="B15" s="59" t="n">
        <v>6</v>
      </c>
      <c r="D15" s="29" t="s">
        <v>190</v>
      </c>
    </row>
    <row r="17" customFormat="false" ht="15" hidden="false" customHeight="false" outlineLevel="0" collapsed="false">
      <c r="A17" s="51" t="s">
        <v>191</v>
      </c>
    </row>
    <row r="18" customFormat="false" ht="15" hidden="false" customHeight="false" outlineLevel="0" collapsed="false">
      <c r="A18" s="27" t="s">
        <v>192</v>
      </c>
      <c r="B18" s="60" t="n">
        <v>0.25</v>
      </c>
      <c r="D18" s="29" t="s">
        <v>193</v>
      </c>
    </row>
    <row r="19" customFormat="false" ht="15" hidden="false" customHeight="false" outlineLevel="0" collapsed="false">
      <c r="A19" s="27" t="s">
        <v>194</v>
      </c>
      <c r="B19" s="61" t="n">
        <f aca="false">(1+$B$18)^(1/12)-1</f>
        <v>0.0187692651215061</v>
      </c>
    </row>
    <row r="20" customFormat="false" ht="15" hidden="false" customHeight="false" outlineLevel="0" collapsed="false">
      <c r="A20" s="27" t="s">
        <v>195</v>
      </c>
      <c r="B20" s="62" t="n">
        <v>36</v>
      </c>
      <c r="D20" s="29" t="s">
        <v>196</v>
      </c>
    </row>
    <row r="22" customFormat="false" ht="18" hidden="false" customHeight="true" outlineLevel="0" collapsed="false">
      <c r="A22" s="25" t="s">
        <v>197</v>
      </c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</row>
    <row r="23" customFormat="false" ht="15" hidden="false" customHeight="false" outlineLevel="0" collapsed="false">
      <c r="A23" s="27" t="s">
        <v>198</v>
      </c>
      <c r="B23" s="54" t="n">
        <v>2</v>
      </c>
      <c r="D23" s="29" t="s">
        <v>199</v>
      </c>
    </row>
    <row r="24" customFormat="false" ht="15" hidden="false" customHeight="false" outlineLevel="0" collapsed="false">
      <c r="A24" s="27" t="s">
        <v>200</v>
      </c>
      <c r="B24" s="63" t="n">
        <v>0.1633</v>
      </c>
      <c r="D24" s="29" t="s">
        <v>201</v>
      </c>
    </row>
    <row r="25" customFormat="false" ht="15" hidden="false" customHeight="false" outlineLevel="0" collapsed="false">
      <c r="A25" s="27" t="s">
        <v>202</v>
      </c>
      <c r="B25" s="64" t="n">
        <v>4800000</v>
      </c>
      <c r="D25" s="29" t="s">
        <v>203</v>
      </c>
    </row>
    <row r="27" customFormat="false" ht="18" hidden="false" customHeight="true" outlineLevel="0" collapsed="false">
      <c r="A27" s="25" t="s">
        <v>204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</row>
    <row r="28" customFormat="false" ht="27.75" hidden="false" customHeight="true" outlineLevel="0" collapsed="false">
      <c r="A28" s="65" t="s">
        <v>205</v>
      </c>
      <c r="B28" s="65"/>
      <c r="C28" s="65"/>
      <c r="D28" s="65"/>
      <c r="E28" s="65"/>
      <c r="F28" s="65"/>
      <c r="G28" s="65"/>
      <c r="H28" s="65"/>
      <c r="I28" s="65"/>
    </row>
    <row r="29" customFormat="false" ht="15" hidden="false" customHeight="false" outlineLevel="0" collapsed="false">
      <c r="A29" s="27" t="s">
        <v>206</v>
      </c>
      <c r="B29" s="66" t="n">
        <v>19.9</v>
      </c>
    </row>
    <row r="30" customFormat="false" ht="15" hidden="false" customHeight="false" outlineLevel="0" collapsed="false">
      <c r="A30" s="27" t="s">
        <v>207</v>
      </c>
      <c r="B30" s="66" t="n">
        <v>39.9</v>
      </c>
    </row>
    <row r="31" customFormat="false" ht="15" hidden="false" customHeight="false" outlineLevel="0" collapsed="false">
      <c r="A31" s="27" t="s">
        <v>208</v>
      </c>
      <c r="B31" s="66" t="n">
        <v>79.9</v>
      </c>
    </row>
    <row r="32" customFormat="false" ht="15" hidden="false" customHeight="false" outlineLevel="0" collapsed="false">
      <c r="A32" s="27" t="s">
        <v>209</v>
      </c>
      <c r="B32" s="67" t="n">
        <v>0.045</v>
      </c>
      <c r="D32" s="29" t="s">
        <v>210</v>
      </c>
    </row>
    <row r="33" customFormat="false" ht="15" hidden="false" customHeight="false" outlineLevel="0" collapsed="false">
      <c r="A33" s="51" t="s">
        <v>211</v>
      </c>
    </row>
    <row r="34" customFormat="false" ht="15" hidden="false" customHeight="false" outlineLevel="0" collapsed="false">
      <c r="A34" s="27" t="s">
        <v>212</v>
      </c>
      <c r="C34" s="60" t="n">
        <v>0.75</v>
      </c>
      <c r="D34" s="60" t="n">
        <v>0.72</v>
      </c>
      <c r="E34" s="60" t="n">
        <v>0.68</v>
      </c>
      <c r="F34" s="60" t="n">
        <v>0.64</v>
      </c>
      <c r="G34" s="60" t="n">
        <v>0.6</v>
      </c>
      <c r="I34" s="29" t="s">
        <v>213</v>
      </c>
    </row>
    <row r="35" customFormat="false" ht="15" hidden="false" customHeight="false" outlineLevel="0" collapsed="false">
      <c r="A35" s="27" t="s">
        <v>214</v>
      </c>
      <c r="C35" s="60" t="n">
        <v>0.2</v>
      </c>
      <c r="D35" s="60" t="n">
        <v>0.22</v>
      </c>
      <c r="E35" s="60" t="n">
        <v>0.24</v>
      </c>
      <c r="F35" s="60" t="n">
        <v>0.26</v>
      </c>
      <c r="G35" s="60" t="n">
        <v>0.28</v>
      </c>
      <c r="I35" s="29" t="s">
        <v>215</v>
      </c>
    </row>
    <row r="36" customFormat="false" ht="15" hidden="false" customHeight="false" outlineLevel="0" collapsed="false">
      <c r="A36" s="27" t="s">
        <v>216</v>
      </c>
      <c r="C36" s="60" t="n">
        <v>0.05</v>
      </c>
      <c r="D36" s="60" t="n">
        <v>0.06</v>
      </c>
      <c r="E36" s="60" t="n">
        <v>0.08</v>
      </c>
      <c r="F36" s="60" t="n">
        <v>0.1</v>
      </c>
      <c r="G36" s="60" t="n">
        <v>0.12</v>
      </c>
      <c r="I36" s="29" t="s">
        <v>217</v>
      </c>
    </row>
    <row r="37" customFormat="false" ht="15" hidden="false" customHeight="false" outlineLevel="0" collapsed="false">
      <c r="A37" s="68" t="s">
        <v>218</v>
      </c>
      <c r="C37" s="69" t="n">
        <f aca="false">SUM(C34:C36)</f>
        <v>1</v>
      </c>
      <c r="D37" s="69" t="n">
        <f aca="false">SUM(D34:D36)</f>
        <v>1</v>
      </c>
      <c r="E37" s="69" t="n">
        <f aca="false">SUM(E34:E36)</f>
        <v>1</v>
      </c>
      <c r="F37" s="69" t="n">
        <f aca="false">SUM(F34:F36)</f>
        <v>1</v>
      </c>
      <c r="G37" s="69" t="n">
        <f aca="false">SUM(G34:G36)</f>
        <v>1</v>
      </c>
    </row>
    <row r="38" customFormat="false" ht="15" hidden="false" customHeight="false" outlineLevel="0" collapsed="false">
      <c r="A38" s="68" t="s">
        <v>219</v>
      </c>
      <c r="C38" s="70" t="n">
        <f aca="false">(C34*$B$29+C35*$B$30+C36*$B$31)*(1+$B$32)^(C$5-2026)</f>
        <v>26.9</v>
      </c>
      <c r="D38" s="70" t="n">
        <f aca="false">(D34*$B$29+D35*$B$30+D36*$B$31)*(1+$B$32)^(D$5-2026)</f>
        <v>29.1555</v>
      </c>
      <c r="E38" s="70" t="n">
        <f aca="false">(E34*$B$29+E35*$B$30+E36*$B$31)*(1+$B$32)^(E$5-2026)</f>
        <v>32.2147375</v>
      </c>
      <c r="F38" s="70" t="n">
        <f aca="false">(F34*$B$29+F35*$B$30+F36*$B$31)*(1+$B$32)^(F$5-2026)</f>
        <v>35.4902664875</v>
      </c>
      <c r="G38" s="70" t="n">
        <f aca="false">(G34*$B$29+G35*$B$30+G36*$B$31)*(1+$B$32)^(G$5-2026)</f>
        <v>38.9953582404375</v>
      </c>
    </row>
    <row r="40" customFormat="false" ht="18" hidden="false" customHeight="true" outlineLevel="0" collapsed="false">
      <c r="A40" s="25" t="s">
        <v>220</v>
      </c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</row>
    <row r="41" customFormat="false" ht="25.5" hidden="false" customHeight="true" outlineLevel="0" collapsed="false">
      <c r="A41" s="65" t="s">
        <v>221</v>
      </c>
      <c r="B41" s="65"/>
      <c r="C41" s="65"/>
      <c r="D41" s="65"/>
      <c r="E41" s="65"/>
      <c r="F41" s="65"/>
      <c r="G41" s="65"/>
      <c r="H41" s="65"/>
      <c r="I41" s="65"/>
    </row>
    <row r="42" customFormat="false" ht="25.5" hidden="false" customHeight="true" outlineLevel="0" collapsed="false">
      <c r="A42" s="65" t="s">
        <v>222</v>
      </c>
      <c r="B42" s="65"/>
      <c r="C42" s="65"/>
      <c r="D42" s="65"/>
      <c r="E42" s="65"/>
      <c r="F42" s="65"/>
      <c r="G42" s="65"/>
      <c r="H42" s="65"/>
      <c r="I42" s="65"/>
    </row>
    <row r="43" customFormat="false" ht="15" hidden="false" customHeight="false" outlineLevel="0" collapsed="false">
      <c r="A43" s="51" t="s">
        <v>223</v>
      </c>
    </row>
    <row r="44" customFormat="false" ht="15" hidden="false" customHeight="false" outlineLevel="0" collapsed="false">
      <c r="A44" s="27" t="s">
        <v>224</v>
      </c>
      <c r="B44" s="67" t="n">
        <v>0.4</v>
      </c>
      <c r="C44" s="62" t="n">
        <v>10860</v>
      </c>
      <c r="D44" s="28" t="n">
        <f aca="false">C44*(1+$B44)</f>
        <v>15204</v>
      </c>
      <c r="E44" s="28" t="n">
        <f aca="false">D44*(1+$B44)</f>
        <v>21285.6</v>
      </c>
      <c r="F44" s="28" t="n">
        <f aca="false">E44*(1+$B44)</f>
        <v>29799.84</v>
      </c>
      <c r="G44" s="28" t="n">
        <f aca="false">F44*(1+$B44)</f>
        <v>41719.776</v>
      </c>
    </row>
    <row r="45" customFormat="false" ht="15" hidden="false" customHeight="false" outlineLevel="0" collapsed="false">
      <c r="A45" s="27" t="s">
        <v>225</v>
      </c>
      <c r="B45" s="67" t="n">
        <v>0.5</v>
      </c>
      <c r="C45" s="59" t="n">
        <v>18100</v>
      </c>
      <c r="D45" s="28" t="n">
        <f aca="false">C45*(1+$B45)</f>
        <v>27150</v>
      </c>
      <c r="E45" s="28" t="n">
        <f aca="false">D45*(1+$B45)</f>
        <v>40725</v>
      </c>
      <c r="F45" s="28" t="n">
        <f aca="false">E45*(1+$B45)</f>
        <v>61087.5</v>
      </c>
      <c r="G45" s="28" t="n">
        <f aca="false">F45*(1+$B45)</f>
        <v>91631.25</v>
      </c>
      <c r="I45" s="29" t="s">
        <v>226</v>
      </c>
    </row>
    <row r="46" customFormat="false" ht="15" hidden="false" customHeight="false" outlineLevel="0" collapsed="false">
      <c r="A46" s="27" t="s">
        <v>227</v>
      </c>
      <c r="B46" s="67" t="n">
        <v>0.6</v>
      </c>
      <c r="C46" s="62" t="n">
        <v>25340</v>
      </c>
      <c r="D46" s="28" t="n">
        <f aca="false">C46*(1+$B46)</f>
        <v>40544</v>
      </c>
      <c r="E46" s="28" t="n">
        <f aca="false">D46*(1+$B46)</f>
        <v>64870.4</v>
      </c>
      <c r="F46" s="28" t="n">
        <f aca="false">E46*(1+$B46)</f>
        <v>103792.64</v>
      </c>
      <c r="G46" s="28" t="n">
        <f aca="false">F46*(1+$B46)</f>
        <v>166068.224</v>
      </c>
    </row>
    <row r="47" customFormat="false" ht="15" hidden="false" customHeight="false" outlineLevel="0" collapsed="false">
      <c r="A47" s="51" t="s">
        <v>228</v>
      </c>
    </row>
    <row r="48" customFormat="false" ht="15" hidden="false" customHeight="false" outlineLevel="0" collapsed="false">
      <c r="A48" s="27" t="s">
        <v>224</v>
      </c>
      <c r="B48" s="67" t="n">
        <v>-0.04</v>
      </c>
      <c r="C48" s="67" t="n">
        <v>0.1</v>
      </c>
      <c r="D48" s="33" t="n">
        <f aca="false">C48*(1+$B48)</f>
        <v>0.096</v>
      </c>
      <c r="E48" s="33" t="n">
        <f aca="false">D48*(1+$B48)</f>
        <v>0.09216</v>
      </c>
      <c r="F48" s="33" t="n">
        <f aca="false">E48*(1+$B48)</f>
        <v>0.0884736</v>
      </c>
      <c r="G48" s="33" t="n">
        <f aca="false">F48*(1+$B48)</f>
        <v>0.084934656</v>
      </c>
    </row>
    <row r="49" customFormat="false" ht="15" hidden="false" customHeight="false" outlineLevel="0" collapsed="false">
      <c r="A49" s="27" t="s">
        <v>225</v>
      </c>
      <c r="B49" s="67" t="n">
        <v>-0.06</v>
      </c>
      <c r="C49" s="60" t="n">
        <v>0.08</v>
      </c>
      <c r="D49" s="33" t="n">
        <f aca="false">C49*(1+$B49)</f>
        <v>0.0752</v>
      </c>
      <c r="E49" s="33" t="n">
        <f aca="false">D49*(1+$B49)</f>
        <v>0.070688</v>
      </c>
      <c r="F49" s="33" t="n">
        <f aca="false">E49*(1+$B49)</f>
        <v>0.06644672</v>
      </c>
      <c r="G49" s="33" t="n">
        <f aca="false">F49*(1+$B49)</f>
        <v>0.0624599168</v>
      </c>
      <c r="I49" s="29" t="s">
        <v>229</v>
      </c>
    </row>
    <row r="50" customFormat="false" ht="15" hidden="false" customHeight="false" outlineLevel="0" collapsed="false">
      <c r="A50" s="27" t="s">
        <v>227</v>
      </c>
      <c r="B50" s="67" t="n">
        <v>-0.08</v>
      </c>
      <c r="C50" s="67" t="n">
        <v>0.06</v>
      </c>
      <c r="D50" s="33" t="n">
        <f aca="false">C50*(1+$B50)</f>
        <v>0.0552</v>
      </c>
      <c r="E50" s="33" t="n">
        <f aca="false">D50*(1+$B50)</f>
        <v>0.050784</v>
      </c>
      <c r="F50" s="33" t="n">
        <f aca="false">E50*(1+$B50)</f>
        <v>0.04672128</v>
      </c>
      <c r="G50" s="33" t="n">
        <f aca="false">F50*(1+$B50)</f>
        <v>0.0429835776</v>
      </c>
    </row>
    <row r="51" customFormat="false" ht="15" hidden="false" customHeight="false" outlineLevel="0" collapsed="false">
      <c r="A51" s="51" t="s">
        <v>230</v>
      </c>
    </row>
    <row r="52" customFormat="false" ht="15" hidden="false" customHeight="false" outlineLevel="0" collapsed="false">
      <c r="A52" s="27" t="s">
        <v>224</v>
      </c>
      <c r="B52" s="67" t="n">
        <v>0.08</v>
      </c>
      <c r="C52" s="67" t="n">
        <v>0.03</v>
      </c>
      <c r="D52" s="33" t="n">
        <f aca="false">MIN(0.25,C52*(1+$B52))</f>
        <v>0.0324</v>
      </c>
      <c r="E52" s="33" t="n">
        <f aca="false">MIN(0.25,D52*(1+$B52))</f>
        <v>0.034992</v>
      </c>
      <c r="F52" s="33" t="n">
        <f aca="false">MIN(0.25,E52*(1+$B52))</f>
        <v>0.03779136</v>
      </c>
      <c r="G52" s="33" t="n">
        <f aca="false">MIN(0.25,F52*(1+$B52))</f>
        <v>0.0408146688</v>
      </c>
    </row>
    <row r="53" customFormat="false" ht="15" hidden="false" customHeight="false" outlineLevel="0" collapsed="false">
      <c r="A53" s="27" t="s">
        <v>225</v>
      </c>
      <c r="B53" s="67" t="n">
        <v>0.08</v>
      </c>
      <c r="C53" s="60" t="n">
        <v>0.05</v>
      </c>
      <c r="D53" s="33" t="n">
        <f aca="false">MIN(0.25,C53*(1+$B53))</f>
        <v>0.054</v>
      </c>
      <c r="E53" s="33" t="n">
        <f aca="false">MIN(0.25,D53*(1+$B53))</f>
        <v>0.05832</v>
      </c>
      <c r="F53" s="33" t="n">
        <f aca="false">MIN(0.25,E53*(1+$B53))</f>
        <v>0.0629856</v>
      </c>
      <c r="G53" s="33" t="n">
        <f aca="false">MIN(0.25,F53*(1+$B53))</f>
        <v>0.068024448</v>
      </c>
      <c r="I53" s="29" t="s">
        <v>231</v>
      </c>
    </row>
    <row r="54" customFormat="false" ht="15" hidden="false" customHeight="false" outlineLevel="0" collapsed="false">
      <c r="A54" s="27" t="s">
        <v>227</v>
      </c>
      <c r="B54" s="67" t="n">
        <v>0.1</v>
      </c>
      <c r="C54" s="67" t="n">
        <v>0.07</v>
      </c>
      <c r="D54" s="33" t="n">
        <f aca="false">MIN(0.25,C54*(1+$B54))</f>
        <v>0.077</v>
      </c>
      <c r="E54" s="33" t="n">
        <f aca="false">MIN(0.25,D54*(1+$B54))</f>
        <v>0.0847</v>
      </c>
      <c r="F54" s="33" t="n">
        <f aca="false">MIN(0.25,E54*(1+$B54))</f>
        <v>0.09317</v>
      </c>
      <c r="G54" s="33" t="n">
        <f aca="false">MIN(0.25,F54*(1+$B54))</f>
        <v>0.102487</v>
      </c>
    </row>
    <row r="55" customFormat="false" ht="15" hidden="false" customHeight="false" outlineLevel="0" collapsed="false">
      <c r="A55" s="51" t="s">
        <v>232</v>
      </c>
    </row>
    <row r="56" customFormat="false" ht="15" hidden="false" customHeight="false" outlineLevel="0" collapsed="false">
      <c r="A56" s="27" t="s">
        <v>224</v>
      </c>
      <c r="B56" s="67" t="n">
        <v>0.18</v>
      </c>
      <c r="C56" s="71" t="n">
        <v>4</v>
      </c>
      <c r="D56" s="72" t="n">
        <f aca="false">C56*(1+$B56)</f>
        <v>4.72</v>
      </c>
      <c r="E56" s="72" t="n">
        <f aca="false">D56*(1+$B56)</f>
        <v>5.5696</v>
      </c>
      <c r="F56" s="72" t="n">
        <f aca="false">E56*(1+$B56)</f>
        <v>6.572128</v>
      </c>
      <c r="G56" s="72" t="n">
        <f aca="false">F56*(1+$B56)</f>
        <v>7.75511104</v>
      </c>
    </row>
    <row r="57" customFormat="false" ht="15" hidden="false" customHeight="false" outlineLevel="0" collapsed="false">
      <c r="A57" s="27" t="s">
        <v>225</v>
      </c>
      <c r="B57" s="67" t="n">
        <v>0.15</v>
      </c>
      <c r="C57" s="66" t="n">
        <v>2.5</v>
      </c>
      <c r="D57" s="72" t="n">
        <f aca="false">C57*(1+$B57)</f>
        <v>2.875</v>
      </c>
      <c r="E57" s="72" t="n">
        <f aca="false">D57*(1+$B57)</f>
        <v>3.30625</v>
      </c>
      <c r="F57" s="72" t="n">
        <f aca="false">E57*(1+$B57)</f>
        <v>3.8021875</v>
      </c>
      <c r="G57" s="72" t="n">
        <f aca="false">F57*(1+$B57)</f>
        <v>4.372515625</v>
      </c>
      <c r="I57" s="29" t="s">
        <v>233</v>
      </c>
    </row>
    <row r="58" customFormat="false" ht="15" hidden="false" customHeight="false" outlineLevel="0" collapsed="false">
      <c r="A58" s="27" t="s">
        <v>227</v>
      </c>
      <c r="B58" s="67" t="n">
        <v>0.15</v>
      </c>
      <c r="C58" s="71" t="n">
        <v>1.5</v>
      </c>
      <c r="D58" s="72" t="n">
        <f aca="false">C58*(1+$B58)</f>
        <v>1.725</v>
      </c>
      <c r="E58" s="72" t="n">
        <f aca="false">D58*(1+$B58)</f>
        <v>1.98375</v>
      </c>
      <c r="F58" s="72" t="n">
        <f aca="false">E58*(1+$B58)</f>
        <v>2.2813125</v>
      </c>
      <c r="G58" s="72" t="n">
        <f aca="false">F58*(1+$B58)</f>
        <v>2.623509375</v>
      </c>
    </row>
    <row r="59" customFormat="false" ht="15" hidden="false" customHeight="false" outlineLevel="0" collapsed="false">
      <c r="A59" s="73" t="s">
        <v>234</v>
      </c>
      <c r="C59" s="67" t="n">
        <v>0.3</v>
      </c>
      <c r="D59" s="67" t="n">
        <v>0.32</v>
      </c>
      <c r="E59" s="67" t="n">
        <v>0.35</v>
      </c>
      <c r="F59" s="67" t="n">
        <v>0.38</v>
      </c>
      <c r="G59" s="67" t="n">
        <v>0.4</v>
      </c>
      <c r="I59" s="29" t="s">
        <v>235</v>
      </c>
    </row>
    <row r="61" customFormat="false" ht="18" hidden="false" customHeight="true" outlineLevel="0" collapsed="false">
      <c r="A61" s="25" t="s">
        <v>236</v>
      </c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</row>
    <row r="62" customFormat="false" ht="15" hidden="false" customHeight="false" outlineLevel="0" collapsed="false">
      <c r="A62" s="27" t="s">
        <v>237</v>
      </c>
      <c r="B62" s="60" t="n">
        <v>0.15</v>
      </c>
      <c r="D62" s="29" t="s">
        <v>238</v>
      </c>
    </row>
    <row r="63" customFormat="false" ht="15" hidden="false" customHeight="false" outlineLevel="0" collapsed="false">
      <c r="A63" s="27" t="s">
        <v>239</v>
      </c>
      <c r="C63" s="67" t="n">
        <v>0.85</v>
      </c>
      <c r="D63" s="67" t="n">
        <v>0.8</v>
      </c>
      <c r="E63" s="67" t="n">
        <v>0.75</v>
      </c>
      <c r="F63" s="67" t="n">
        <v>0.72</v>
      </c>
      <c r="G63" s="67" t="n">
        <v>0.7</v>
      </c>
      <c r="I63" s="29" t="s">
        <v>240</v>
      </c>
    </row>
    <row r="64" customFormat="false" ht="15" hidden="false" customHeight="false" outlineLevel="0" collapsed="false">
      <c r="A64" s="27" t="s">
        <v>241</v>
      </c>
      <c r="B64" s="67" t="n">
        <v>0.045</v>
      </c>
      <c r="D64" s="29" t="s">
        <v>242</v>
      </c>
    </row>
    <row r="65" customFormat="false" ht="15" hidden="false" customHeight="false" outlineLevel="0" collapsed="false">
      <c r="A65" s="51" t="s">
        <v>243</v>
      </c>
    </row>
    <row r="66" customFormat="false" ht="15" hidden="false" customHeight="false" outlineLevel="0" collapsed="false">
      <c r="A66" s="27" t="s">
        <v>244</v>
      </c>
      <c r="B66" s="60" t="n">
        <v>0.1</v>
      </c>
      <c r="D66" s="29" t="s">
        <v>245</v>
      </c>
    </row>
    <row r="67" customFormat="false" ht="15" hidden="false" customHeight="false" outlineLevel="0" collapsed="false">
      <c r="A67" s="27" t="s">
        <v>246</v>
      </c>
      <c r="B67" s="71" t="n">
        <v>350</v>
      </c>
      <c r="D67" s="29" t="s">
        <v>247</v>
      </c>
    </row>
    <row r="68" customFormat="false" ht="15" hidden="false" customHeight="false" outlineLevel="0" collapsed="false">
      <c r="A68" s="27" t="s">
        <v>248</v>
      </c>
      <c r="C68" s="74" t="n">
        <v>0</v>
      </c>
      <c r="D68" s="74" t="n">
        <v>0.0015</v>
      </c>
      <c r="E68" s="74" t="n">
        <v>0.0025</v>
      </c>
      <c r="F68" s="74" t="n">
        <v>0.004</v>
      </c>
      <c r="G68" s="74" t="n">
        <v>0.005</v>
      </c>
      <c r="I68" s="29" t="s">
        <v>249</v>
      </c>
    </row>
    <row r="70" customFormat="false" ht="18" hidden="false" customHeight="true" outlineLevel="0" collapsed="false">
      <c r="A70" s="25" t="s">
        <v>250</v>
      </c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</row>
    <row r="71" customFormat="false" ht="15" hidden="false" customHeight="false" outlineLevel="0" collapsed="false">
      <c r="A71" s="27" t="s">
        <v>251</v>
      </c>
      <c r="B71" s="75" t="n">
        <v>46143</v>
      </c>
      <c r="D71" s="29" t="s">
        <v>252</v>
      </c>
    </row>
    <row r="72" customFormat="false" ht="15" hidden="false" customHeight="false" outlineLevel="0" collapsed="false">
      <c r="A72" s="27" t="s">
        <v>253</v>
      </c>
      <c r="C72" s="64" t="n">
        <v>600</v>
      </c>
      <c r="D72" s="64" t="n">
        <v>2500</v>
      </c>
      <c r="E72" s="64" t="n">
        <v>8000</v>
      </c>
      <c r="F72" s="64" t="n">
        <v>18000</v>
      </c>
      <c r="G72" s="64" t="n">
        <v>30000</v>
      </c>
      <c r="I72" s="29" t="s">
        <v>254</v>
      </c>
    </row>
    <row r="73" customFormat="false" ht="15" hidden="false" customHeight="false" outlineLevel="0" collapsed="false">
      <c r="A73" s="27" t="s">
        <v>255</v>
      </c>
      <c r="C73" s="66" t="n">
        <v>1.5</v>
      </c>
      <c r="D73" s="66" t="n">
        <v>1.35</v>
      </c>
      <c r="E73" s="66" t="n">
        <v>1.15</v>
      </c>
      <c r="F73" s="66" t="n">
        <v>1</v>
      </c>
      <c r="G73" s="66" t="n">
        <v>0.9</v>
      </c>
      <c r="I73" s="29" t="s">
        <v>256</v>
      </c>
    </row>
    <row r="74" customFormat="false" ht="15" hidden="false" customHeight="false" outlineLevel="0" collapsed="false">
      <c r="A74" s="27" t="s">
        <v>257</v>
      </c>
      <c r="C74" s="71" t="n">
        <v>0.02</v>
      </c>
      <c r="D74" s="71" t="n">
        <v>0.02</v>
      </c>
      <c r="E74" s="71" t="n">
        <v>0.018</v>
      </c>
      <c r="F74" s="71" t="n">
        <v>0.015</v>
      </c>
      <c r="G74" s="71" t="n">
        <v>0.015</v>
      </c>
      <c r="I74" s="29" t="s">
        <v>258</v>
      </c>
    </row>
    <row r="75" customFormat="false" ht="15" hidden="false" customHeight="false" outlineLevel="0" collapsed="false">
      <c r="A75" s="27" t="s">
        <v>259</v>
      </c>
      <c r="C75" s="71" t="n">
        <v>0.35</v>
      </c>
      <c r="D75" s="71" t="n">
        <v>0.35</v>
      </c>
      <c r="E75" s="71" t="n">
        <v>0.3</v>
      </c>
      <c r="F75" s="71" t="n">
        <v>0.28</v>
      </c>
      <c r="G75" s="71" t="n">
        <v>0.25</v>
      </c>
      <c r="I75" s="29" t="s">
        <v>260</v>
      </c>
    </row>
    <row r="76" customFormat="false" ht="15" hidden="false" customHeight="false" outlineLevel="0" collapsed="false">
      <c r="A76" s="27" t="s">
        <v>261</v>
      </c>
      <c r="B76" s="75" t="n">
        <v>46113</v>
      </c>
      <c r="D76" s="29" t="s">
        <v>262</v>
      </c>
    </row>
    <row r="77" customFormat="false" ht="15" hidden="false" customHeight="false" outlineLevel="0" collapsed="false">
      <c r="A77" s="27" t="s">
        <v>263</v>
      </c>
      <c r="C77" s="64" t="n">
        <v>1500</v>
      </c>
      <c r="D77" s="64" t="n">
        <v>6000</v>
      </c>
      <c r="E77" s="64" t="n">
        <v>25000</v>
      </c>
      <c r="F77" s="64" t="n">
        <v>60000</v>
      </c>
      <c r="G77" s="64" t="n">
        <v>110000</v>
      </c>
      <c r="I77" s="29" t="s">
        <v>264</v>
      </c>
    </row>
    <row r="78" customFormat="false" ht="15" hidden="false" customHeight="false" outlineLevel="0" collapsed="false">
      <c r="A78" s="27" t="s">
        <v>265</v>
      </c>
      <c r="C78" s="64" t="n">
        <v>3000</v>
      </c>
      <c r="D78" s="64" t="n">
        <v>15000</v>
      </c>
      <c r="E78" s="64" t="n">
        <v>60000</v>
      </c>
      <c r="F78" s="64" t="n">
        <v>140000</v>
      </c>
      <c r="G78" s="64" t="n">
        <v>250000</v>
      </c>
      <c r="I78" s="29" t="s">
        <v>266</v>
      </c>
    </row>
    <row r="79" customFormat="false" ht="15" hidden="false" customHeight="false" outlineLevel="0" collapsed="false">
      <c r="A79" s="27" t="s">
        <v>267</v>
      </c>
      <c r="B79" s="75" t="n">
        <v>46296</v>
      </c>
    </row>
    <row r="80" customFormat="false" ht="15" hidden="false" customHeight="false" outlineLevel="0" collapsed="false">
      <c r="A80" s="27" t="s">
        <v>268</v>
      </c>
      <c r="B80" s="64" t="n">
        <v>25000</v>
      </c>
    </row>
    <row r="81" customFormat="false" ht="15" hidden="false" customHeight="false" outlineLevel="0" collapsed="false">
      <c r="A81" s="27" t="s">
        <v>269</v>
      </c>
      <c r="B81" s="75" t="n">
        <v>46296</v>
      </c>
    </row>
    <row r="83" customFormat="false" ht="18" hidden="false" customHeight="true" outlineLevel="0" collapsed="false">
      <c r="A83" s="25" t="s">
        <v>270</v>
      </c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</row>
    <row r="84" customFormat="false" ht="27.75" hidden="false" customHeight="true" outlineLevel="0" collapsed="false">
      <c r="A84" s="65" t="s">
        <v>271</v>
      </c>
      <c r="B84" s="65"/>
      <c r="C84" s="65"/>
      <c r="D84" s="65"/>
      <c r="E84" s="65"/>
      <c r="F84" s="65"/>
      <c r="G84" s="65"/>
      <c r="H84" s="65"/>
      <c r="I84" s="65"/>
    </row>
    <row r="85" customFormat="false" ht="15" hidden="false" customHeight="false" outlineLevel="0" collapsed="false">
      <c r="A85" s="27" t="s">
        <v>272</v>
      </c>
      <c r="B85" s="54" t="n">
        <v>1</v>
      </c>
      <c r="D85" s="29" t="s">
        <v>273</v>
      </c>
    </row>
    <row r="86" customFormat="false" ht="15" hidden="false" customHeight="false" outlineLevel="0" collapsed="false">
      <c r="A86" s="27" t="s">
        <v>274</v>
      </c>
      <c r="B86" s="54" t="n">
        <v>0</v>
      </c>
      <c r="D86" s="29" t="s">
        <v>275</v>
      </c>
    </row>
    <row r="88" customFormat="false" ht="18" hidden="false" customHeight="true" outlineLevel="0" collapsed="false">
      <c r="A88" s="25" t="s">
        <v>276</v>
      </c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</row>
    <row r="89" customFormat="false" ht="27.75" hidden="false" customHeight="true" outlineLevel="0" collapsed="false">
      <c r="A89" s="65" t="s">
        <v>277</v>
      </c>
      <c r="B89" s="65"/>
      <c r="C89" s="65"/>
      <c r="D89" s="65"/>
      <c r="E89" s="65"/>
      <c r="F89" s="65"/>
      <c r="G89" s="65"/>
      <c r="H89" s="65"/>
      <c r="I89" s="65"/>
    </row>
    <row r="90" customFormat="false" ht="27.75" hidden="false" customHeight="true" outlineLevel="0" collapsed="false">
      <c r="A90" s="65" t="s">
        <v>278</v>
      </c>
      <c r="B90" s="65"/>
      <c r="C90" s="65"/>
      <c r="D90" s="65"/>
      <c r="E90" s="65"/>
      <c r="F90" s="65"/>
      <c r="G90" s="65"/>
      <c r="H90" s="65"/>
      <c r="I90" s="65"/>
    </row>
    <row r="91" customFormat="false" ht="27.75" hidden="false" customHeight="true" outlineLevel="0" collapsed="false">
      <c r="A91" s="65" t="s">
        <v>279</v>
      </c>
      <c r="B91" s="65"/>
      <c r="C91" s="65"/>
      <c r="D91" s="65"/>
      <c r="E91" s="65"/>
      <c r="F91" s="65"/>
      <c r="G91" s="65"/>
      <c r="H91" s="65"/>
      <c r="I91" s="65"/>
    </row>
    <row r="92" customFormat="false" ht="27.75" hidden="false" customHeight="true" outlineLevel="0" collapsed="false">
      <c r="A92" s="65" t="s">
        <v>280</v>
      </c>
      <c r="B92" s="65"/>
      <c r="C92" s="65"/>
      <c r="D92" s="65"/>
      <c r="E92" s="65"/>
      <c r="F92" s="65"/>
      <c r="G92" s="65"/>
      <c r="H92" s="65"/>
      <c r="I92" s="65"/>
    </row>
    <row r="93" customFormat="false" ht="27.75" hidden="false" customHeight="true" outlineLevel="0" collapsed="false">
      <c r="A93" s="65" t="s">
        <v>281</v>
      </c>
      <c r="B93" s="65"/>
      <c r="C93" s="65"/>
      <c r="D93" s="65"/>
      <c r="E93" s="65"/>
      <c r="F93" s="65"/>
      <c r="G93" s="65"/>
      <c r="H93" s="65"/>
      <c r="I93" s="65"/>
    </row>
    <row r="94" customFormat="false" ht="27.75" hidden="false" customHeight="true" outlineLevel="0" collapsed="false">
      <c r="A94" s="65" t="s">
        <v>282</v>
      </c>
      <c r="B94" s="65"/>
      <c r="C94" s="65"/>
      <c r="D94" s="65"/>
      <c r="E94" s="65"/>
      <c r="F94" s="65"/>
      <c r="G94" s="65"/>
      <c r="H94" s="65"/>
      <c r="I94" s="65"/>
    </row>
    <row r="95" customFormat="false" ht="27.75" hidden="false" customHeight="true" outlineLevel="0" collapsed="false">
      <c r="A95" s="65" t="s">
        <v>283</v>
      </c>
      <c r="B95" s="65"/>
      <c r="C95" s="65"/>
      <c r="D95" s="65"/>
      <c r="E95" s="65"/>
      <c r="F95" s="65"/>
      <c r="G95" s="65"/>
      <c r="H95" s="65"/>
      <c r="I95" s="65"/>
    </row>
  </sheetData>
  <mergeCells count="11">
    <mergeCell ref="A28:I28"/>
    <mergeCell ref="A41:I41"/>
    <mergeCell ref="A42:I42"/>
    <mergeCell ref="A84:I84"/>
    <mergeCell ref="A89:I89"/>
    <mergeCell ref="A90:I90"/>
    <mergeCell ref="A91:I91"/>
    <mergeCell ref="A92:I92"/>
    <mergeCell ref="A93:I93"/>
    <mergeCell ref="A94:I94"/>
    <mergeCell ref="A95:I9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BK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0" topLeftCell="B41" activePane="bottomRight" state="frozen"/>
      <selection pane="topLeft" activeCell="A1" activeCellId="0" sqref="A1"/>
      <selection pane="topRight" activeCell="B1" activeCellId="0" sqref="B1"/>
      <selection pane="bottomLeft" activeCell="A41" activeCellId="0" sqref="A4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15"/>
    <col collapsed="false" customWidth="true" hidden="false" outlineLevel="0" max="9" min="8" style="0" width="11"/>
    <col collapsed="false" customWidth="true" hidden="false" outlineLevel="0" max="10" min="10" style="0" width="14"/>
    <col collapsed="false" customWidth="true" hidden="false" outlineLevel="0" max="61" min="11" style="0" width="12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284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3" t="s">
        <v>285</v>
      </c>
    </row>
    <row r="4" customFormat="false" ht="18" hidden="false" customHeight="true" outlineLevel="0" collapsed="false">
      <c r="A4" s="25" t="s">
        <v>286</v>
      </c>
      <c r="B4" s="26"/>
      <c r="C4" s="26"/>
      <c r="D4" s="26"/>
      <c r="E4" s="26"/>
      <c r="F4" s="26"/>
      <c r="G4" s="26"/>
      <c r="H4" s="26"/>
      <c r="I4" s="26"/>
      <c r="J4" s="26"/>
    </row>
    <row r="5" customFormat="false" ht="30" hidden="false" customHeight="true" outlineLevel="0" collapsed="false">
      <c r="A5" s="76" t="s">
        <v>287</v>
      </c>
      <c r="B5" s="76" t="s">
        <v>288</v>
      </c>
      <c r="C5" s="76" t="s">
        <v>289</v>
      </c>
      <c r="D5" s="76" t="s">
        <v>290</v>
      </c>
      <c r="E5" s="76" t="s">
        <v>291</v>
      </c>
      <c r="F5" s="76" t="s">
        <v>292</v>
      </c>
      <c r="G5" s="76" t="s">
        <v>293</v>
      </c>
      <c r="H5" s="76" t="s">
        <v>294</v>
      </c>
      <c r="I5" s="76" t="s">
        <v>295</v>
      </c>
      <c r="J5" s="76" t="s">
        <v>296</v>
      </c>
    </row>
    <row r="6" customFormat="false" ht="15" hidden="false" customHeight="false" outlineLevel="0" collapsed="false">
      <c r="A6" s="77" t="s">
        <v>297</v>
      </c>
      <c r="B6" s="78" t="s">
        <v>298</v>
      </c>
      <c r="C6" s="78" t="s">
        <v>299</v>
      </c>
      <c r="D6" s="79" t="n">
        <v>1</v>
      </c>
      <c r="E6" s="80" t="n">
        <v>10500</v>
      </c>
      <c r="F6" s="81" t="n">
        <v>0</v>
      </c>
      <c r="G6" s="82" t="n">
        <f aca="false">$D6*$E6*(1+$F6)</f>
        <v>10500</v>
      </c>
      <c r="H6" s="83" t="n">
        <v>46266</v>
      </c>
      <c r="I6" s="83" t="n">
        <v>46296</v>
      </c>
      <c r="J6" s="78" t="s">
        <v>300</v>
      </c>
    </row>
    <row r="7" customFormat="false" ht="15" hidden="false" customHeight="false" outlineLevel="0" collapsed="false">
      <c r="A7" s="84" t="s">
        <v>301</v>
      </c>
      <c r="B7" s="85" t="s">
        <v>298</v>
      </c>
      <c r="C7" s="85" t="s">
        <v>302</v>
      </c>
      <c r="D7" s="86" t="n">
        <v>2</v>
      </c>
      <c r="E7" s="87" t="n">
        <v>9000</v>
      </c>
      <c r="F7" s="88" t="n">
        <v>0</v>
      </c>
      <c r="G7" s="89" t="n">
        <f aca="false">$D7*$E7*(1+$F7)</f>
        <v>18000</v>
      </c>
      <c r="H7" s="90" t="n">
        <v>46388</v>
      </c>
      <c r="I7" s="90" t="n">
        <v>47818</v>
      </c>
      <c r="J7" s="85" t="s">
        <v>303</v>
      </c>
    </row>
    <row r="8" customFormat="false" ht="15" hidden="false" customHeight="false" outlineLevel="0" collapsed="false">
      <c r="A8" s="84" t="s">
        <v>304</v>
      </c>
      <c r="B8" s="85" t="s">
        <v>298</v>
      </c>
      <c r="C8" s="85" t="s">
        <v>302</v>
      </c>
      <c r="D8" s="86" t="n">
        <v>3</v>
      </c>
      <c r="E8" s="87" t="n">
        <v>9500</v>
      </c>
      <c r="F8" s="88" t="n">
        <v>0</v>
      </c>
      <c r="G8" s="89" t="n">
        <f aca="false">$D8*$E8*(1+$F8)</f>
        <v>28500</v>
      </c>
      <c r="H8" s="90" t="n">
        <v>46753</v>
      </c>
      <c r="I8" s="90" t="n">
        <v>47818</v>
      </c>
      <c r="J8" s="85" t="s">
        <v>303</v>
      </c>
    </row>
    <row r="9" customFormat="false" ht="15" hidden="false" customHeight="false" outlineLevel="0" collapsed="false">
      <c r="A9" s="84" t="s">
        <v>305</v>
      </c>
      <c r="B9" s="85" t="s">
        <v>298</v>
      </c>
      <c r="C9" s="85" t="s">
        <v>302</v>
      </c>
      <c r="D9" s="86" t="n">
        <v>5</v>
      </c>
      <c r="E9" s="87" t="n">
        <v>10000</v>
      </c>
      <c r="F9" s="88" t="n">
        <v>0</v>
      </c>
      <c r="G9" s="89" t="n">
        <f aca="false">$D9*$E9*(1+$F9)</f>
        <v>50000</v>
      </c>
      <c r="H9" s="90" t="n">
        <v>47119</v>
      </c>
      <c r="I9" s="90" t="n">
        <v>47818</v>
      </c>
      <c r="J9" s="85" t="s">
        <v>303</v>
      </c>
    </row>
    <row r="10" customFormat="false" ht="15" hidden="false" customHeight="false" outlineLevel="0" collapsed="false">
      <c r="A10" s="84" t="s">
        <v>306</v>
      </c>
      <c r="B10" s="85" t="s">
        <v>298</v>
      </c>
      <c r="C10" s="85" t="s">
        <v>302</v>
      </c>
      <c r="D10" s="86" t="n">
        <v>6</v>
      </c>
      <c r="E10" s="87" t="n">
        <v>10500</v>
      </c>
      <c r="F10" s="88" t="n">
        <v>0</v>
      </c>
      <c r="G10" s="89" t="n">
        <f aca="false">$D10*$E10*(1+$F10)</f>
        <v>63000</v>
      </c>
      <c r="H10" s="90" t="n">
        <v>47484</v>
      </c>
      <c r="I10" s="90" t="n">
        <v>47818</v>
      </c>
      <c r="J10" s="85" t="s">
        <v>303</v>
      </c>
    </row>
    <row r="11" customFormat="false" ht="15" hidden="false" customHeight="false" outlineLevel="0" collapsed="false">
      <c r="A11" s="84" t="s">
        <v>307</v>
      </c>
      <c r="B11" s="85" t="s">
        <v>298</v>
      </c>
      <c r="C11" s="85" t="s">
        <v>302</v>
      </c>
      <c r="D11" s="86" t="n">
        <v>1</v>
      </c>
      <c r="E11" s="87" t="n">
        <v>3500</v>
      </c>
      <c r="F11" s="88" t="n">
        <v>0</v>
      </c>
      <c r="G11" s="89" t="n">
        <f aca="false">$D11*$E11*(1+$F11)</f>
        <v>3500</v>
      </c>
      <c r="H11" s="90" t="n">
        <v>46388</v>
      </c>
      <c r="I11" s="90" t="n">
        <v>47818</v>
      </c>
      <c r="J11" s="85" t="s">
        <v>303</v>
      </c>
    </row>
    <row r="12" customFormat="false" ht="15" hidden="false" customHeight="false" outlineLevel="0" collapsed="false">
      <c r="A12" s="84" t="s">
        <v>308</v>
      </c>
      <c r="B12" s="85" t="s">
        <v>298</v>
      </c>
      <c r="C12" s="85" t="s">
        <v>302</v>
      </c>
      <c r="D12" s="86" t="n">
        <v>3</v>
      </c>
      <c r="E12" s="87" t="n">
        <v>3500</v>
      </c>
      <c r="F12" s="88" t="n">
        <v>0</v>
      </c>
      <c r="G12" s="89" t="n">
        <f aca="false">$D12*$E12*(1+$F12)</f>
        <v>10500</v>
      </c>
      <c r="H12" s="90" t="n">
        <v>46753</v>
      </c>
      <c r="I12" s="90" t="n">
        <v>47818</v>
      </c>
      <c r="J12" s="85" t="s">
        <v>303</v>
      </c>
    </row>
    <row r="13" customFormat="false" ht="15" hidden="false" customHeight="false" outlineLevel="0" collapsed="false">
      <c r="A13" s="84" t="s">
        <v>309</v>
      </c>
      <c r="B13" s="85" t="s">
        <v>298</v>
      </c>
      <c r="C13" s="85" t="s">
        <v>302</v>
      </c>
      <c r="D13" s="86" t="n">
        <v>6</v>
      </c>
      <c r="E13" s="87" t="n">
        <v>3800</v>
      </c>
      <c r="F13" s="88" t="n">
        <v>0</v>
      </c>
      <c r="G13" s="89" t="n">
        <f aca="false">$D13*$E13*(1+$F13)</f>
        <v>22800</v>
      </c>
      <c r="H13" s="90" t="n">
        <v>47119</v>
      </c>
      <c r="I13" s="90" t="n">
        <v>47818</v>
      </c>
      <c r="J13" s="85" t="s">
        <v>303</v>
      </c>
    </row>
    <row r="14" customFormat="false" ht="15" hidden="false" customHeight="false" outlineLevel="0" collapsed="false">
      <c r="A14" s="84" t="s">
        <v>310</v>
      </c>
      <c r="B14" s="85" t="s">
        <v>298</v>
      </c>
      <c r="C14" s="85" t="s">
        <v>302</v>
      </c>
      <c r="D14" s="86" t="n">
        <v>8</v>
      </c>
      <c r="E14" s="87" t="n">
        <v>4000</v>
      </c>
      <c r="F14" s="88" t="n">
        <v>0</v>
      </c>
      <c r="G14" s="89" t="n">
        <f aca="false">$D14*$E14*(1+$F14)</f>
        <v>32000</v>
      </c>
      <c r="H14" s="90" t="n">
        <v>47484</v>
      </c>
      <c r="I14" s="90" t="n">
        <v>47818</v>
      </c>
      <c r="J14" s="85" t="s">
        <v>303</v>
      </c>
    </row>
    <row r="15" customFormat="false" ht="15" hidden="false" customHeight="false" outlineLevel="0" collapsed="false">
      <c r="A15" s="84" t="s">
        <v>311</v>
      </c>
      <c r="B15" s="85" t="s">
        <v>298</v>
      </c>
      <c r="C15" s="85" t="s">
        <v>302</v>
      </c>
      <c r="D15" s="86" t="n">
        <v>1</v>
      </c>
      <c r="E15" s="87" t="n">
        <v>6000</v>
      </c>
      <c r="F15" s="88" t="n">
        <v>0</v>
      </c>
      <c r="G15" s="89" t="n">
        <f aca="false">$D15*$E15*(1+$F15)</f>
        <v>6000</v>
      </c>
      <c r="H15" s="90" t="n">
        <v>46388</v>
      </c>
      <c r="I15" s="90" t="n">
        <v>47818</v>
      </c>
      <c r="J15" s="85" t="s">
        <v>303</v>
      </c>
    </row>
    <row r="16" customFormat="false" ht="15" hidden="false" customHeight="false" outlineLevel="0" collapsed="false">
      <c r="A16" s="84" t="s">
        <v>312</v>
      </c>
      <c r="B16" s="85" t="s">
        <v>298</v>
      </c>
      <c r="C16" s="85" t="s">
        <v>302</v>
      </c>
      <c r="D16" s="86" t="n">
        <v>2</v>
      </c>
      <c r="E16" s="87" t="n">
        <v>7000</v>
      </c>
      <c r="F16" s="88" t="n">
        <v>0</v>
      </c>
      <c r="G16" s="89" t="n">
        <f aca="false">$D16*$E16*(1+$F16)</f>
        <v>14000</v>
      </c>
      <c r="H16" s="90" t="n">
        <v>46753</v>
      </c>
      <c r="I16" s="90" t="n">
        <v>47818</v>
      </c>
      <c r="J16" s="85" t="s">
        <v>303</v>
      </c>
    </row>
    <row r="17" customFormat="false" ht="15" hidden="false" customHeight="false" outlineLevel="0" collapsed="false">
      <c r="A17" s="84" t="s">
        <v>313</v>
      </c>
      <c r="B17" s="85" t="s">
        <v>298</v>
      </c>
      <c r="C17" s="85" t="s">
        <v>302</v>
      </c>
      <c r="D17" s="86" t="n">
        <v>3</v>
      </c>
      <c r="E17" s="87" t="n">
        <v>8000</v>
      </c>
      <c r="F17" s="88" t="n">
        <v>0</v>
      </c>
      <c r="G17" s="89" t="n">
        <f aca="false">$D17*$E17*(1+$F17)</f>
        <v>24000</v>
      </c>
      <c r="H17" s="90" t="n">
        <v>47119</v>
      </c>
      <c r="I17" s="90" t="n">
        <v>47818</v>
      </c>
      <c r="J17" s="85" t="s">
        <v>303</v>
      </c>
    </row>
    <row r="18" customFormat="false" ht="15" hidden="false" customHeight="false" outlineLevel="0" collapsed="false">
      <c r="A18" s="84" t="s">
        <v>314</v>
      </c>
      <c r="B18" s="85" t="s">
        <v>298</v>
      </c>
      <c r="C18" s="85" t="s">
        <v>302</v>
      </c>
      <c r="D18" s="86" t="n">
        <v>1</v>
      </c>
      <c r="E18" s="87" t="n">
        <v>10000</v>
      </c>
      <c r="F18" s="88" t="n">
        <v>0</v>
      </c>
      <c r="G18" s="89" t="n">
        <f aca="false">$D18*$E18*(1+$F18)</f>
        <v>10000</v>
      </c>
      <c r="H18" s="90" t="n">
        <v>46753</v>
      </c>
      <c r="I18" s="90" t="n">
        <v>47818</v>
      </c>
      <c r="J18" s="85" t="s">
        <v>303</v>
      </c>
    </row>
    <row r="19" customFormat="false" ht="15" hidden="false" customHeight="false" outlineLevel="0" collapsed="false">
      <c r="A19" s="84" t="s">
        <v>315</v>
      </c>
      <c r="B19" s="85" t="s">
        <v>298</v>
      </c>
      <c r="C19" s="85" t="s">
        <v>302</v>
      </c>
      <c r="D19" s="86" t="n">
        <v>2</v>
      </c>
      <c r="E19" s="87" t="n">
        <v>11000</v>
      </c>
      <c r="F19" s="88" t="n">
        <v>0</v>
      </c>
      <c r="G19" s="89" t="n">
        <f aca="false">$D19*$E19*(1+$F19)</f>
        <v>22000</v>
      </c>
      <c r="H19" s="90" t="n">
        <v>47119</v>
      </c>
      <c r="I19" s="90" t="n">
        <v>47818</v>
      </c>
      <c r="J19" s="85" t="s">
        <v>303</v>
      </c>
    </row>
    <row r="20" customFormat="false" ht="15" hidden="false" customHeight="false" outlineLevel="0" collapsed="false">
      <c r="A20" s="84" t="s">
        <v>316</v>
      </c>
      <c r="B20" s="85" t="s">
        <v>298</v>
      </c>
      <c r="C20" s="85" t="s">
        <v>302</v>
      </c>
      <c r="D20" s="86" t="n">
        <v>1</v>
      </c>
      <c r="E20" s="87" t="n">
        <v>12000</v>
      </c>
      <c r="F20" s="88" t="n">
        <v>0</v>
      </c>
      <c r="G20" s="89" t="n">
        <f aca="false">$D20*$E20*(1+$F20)</f>
        <v>12000</v>
      </c>
      <c r="H20" s="90" t="n">
        <v>46753</v>
      </c>
      <c r="I20" s="90" t="n">
        <v>47818</v>
      </c>
      <c r="J20" s="85" t="s">
        <v>303</v>
      </c>
    </row>
    <row r="21" customFormat="false" ht="15" hidden="false" customHeight="false" outlineLevel="0" collapsed="false">
      <c r="A21" s="84" t="s">
        <v>317</v>
      </c>
      <c r="B21" s="85" t="s">
        <v>298</v>
      </c>
      <c r="C21" s="85" t="s">
        <v>302</v>
      </c>
      <c r="D21" s="86" t="n">
        <v>2</v>
      </c>
      <c r="E21" s="87" t="n">
        <v>13000</v>
      </c>
      <c r="F21" s="88" t="n">
        <v>0</v>
      </c>
      <c r="G21" s="89" t="n">
        <f aca="false">$D21*$E21*(1+$F21)</f>
        <v>26000</v>
      </c>
      <c r="H21" s="90" t="n">
        <v>47484</v>
      </c>
      <c r="I21" s="90" t="n">
        <v>47818</v>
      </c>
      <c r="J21" s="85" t="s">
        <v>303</v>
      </c>
    </row>
    <row r="22" customFormat="false" ht="15" hidden="false" customHeight="false" outlineLevel="0" collapsed="false">
      <c r="A22" s="84" t="s">
        <v>318</v>
      </c>
      <c r="B22" s="85" t="s">
        <v>319</v>
      </c>
      <c r="C22" s="85" t="s">
        <v>302</v>
      </c>
      <c r="D22" s="86" t="n">
        <v>3</v>
      </c>
      <c r="E22" s="87" t="n">
        <v>5000</v>
      </c>
      <c r="F22" s="88" t="n">
        <v>0</v>
      </c>
      <c r="G22" s="89" t="n">
        <f aca="false">$D22*$E22*(1+$F22)</f>
        <v>15000</v>
      </c>
      <c r="H22" s="90" t="n">
        <v>46388</v>
      </c>
      <c r="I22" s="90" t="n">
        <v>47088</v>
      </c>
      <c r="J22" s="85" t="s">
        <v>303</v>
      </c>
    </row>
    <row r="23" customFormat="false" ht="15" hidden="false" customHeight="false" outlineLevel="0" collapsed="false">
      <c r="A23" s="84" t="s">
        <v>320</v>
      </c>
      <c r="B23" s="85" t="s">
        <v>319</v>
      </c>
      <c r="C23" s="85" t="s">
        <v>302</v>
      </c>
      <c r="D23" s="86" t="n">
        <v>4</v>
      </c>
      <c r="E23" s="87" t="n">
        <v>8000</v>
      </c>
      <c r="F23" s="88" t="n">
        <v>0</v>
      </c>
      <c r="G23" s="89" t="n">
        <f aca="false">$D23*$E23*(1+$F23)</f>
        <v>32000</v>
      </c>
      <c r="H23" s="90" t="n">
        <v>47119</v>
      </c>
      <c r="I23" s="90" t="n">
        <v>47818</v>
      </c>
      <c r="J23" s="85" t="s">
        <v>303</v>
      </c>
    </row>
    <row r="24" customFormat="false" ht="15" hidden="false" customHeight="false" outlineLevel="0" collapsed="false">
      <c r="A24" s="84" t="s">
        <v>321</v>
      </c>
      <c r="B24" s="85" t="s">
        <v>322</v>
      </c>
      <c r="C24" s="85" t="s">
        <v>302</v>
      </c>
      <c r="D24" s="86" t="n">
        <v>0</v>
      </c>
      <c r="E24" s="87" t="n">
        <v>8000</v>
      </c>
      <c r="F24" s="88" t="n">
        <v>0.7</v>
      </c>
      <c r="G24" s="89" t="n">
        <f aca="false">$D24*$E24*(1+$F24)</f>
        <v>0</v>
      </c>
      <c r="H24" s="90" t="n">
        <v>46753</v>
      </c>
      <c r="I24" s="90" t="n">
        <v>47818</v>
      </c>
      <c r="J24" s="85" t="s">
        <v>303</v>
      </c>
    </row>
    <row r="25" customFormat="false" ht="15" hidden="false" customHeight="false" outlineLevel="0" collapsed="false">
      <c r="A25" s="91"/>
      <c r="B25" s="92" t="s">
        <v>298</v>
      </c>
      <c r="C25" s="92" t="s">
        <v>302</v>
      </c>
      <c r="D25" s="93" t="n">
        <v>0</v>
      </c>
      <c r="E25" s="94" t="n">
        <v>0</v>
      </c>
      <c r="F25" s="95" t="n">
        <v>0</v>
      </c>
      <c r="G25" s="96" t="n">
        <f aca="false">$D25*$E25*(1+$F25)</f>
        <v>0</v>
      </c>
      <c r="H25" s="97" t="n">
        <v>46388</v>
      </c>
      <c r="I25" s="97" t="n">
        <v>47818</v>
      </c>
      <c r="J25" s="92" t="s">
        <v>303</v>
      </c>
    </row>
    <row r="26" customFormat="false" ht="15" hidden="false" customHeight="false" outlineLevel="0" collapsed="false">
      <c r="A26" s="91"/>
      <c r="B26" s="92" t="s">
        <v>298</v>
      </c>
      <c r="C26" s="92" t="s">
        <v>302</v>
      </c>
      <c r="D26" s="93" t="n">
        <v>0</v>
      </c>
      <c r="E26" s="94" t="n">
        <v>0</v>
      </c>
      <c r="F26" s="95" t="n">
        <v>0</v>
      </c>
      <c r="G26" s="96" t="n">
        <f aca="false">$D26*$E26*(1+$F26)</f>
        <v>0</v>
      </c>
      <c r="H26" s="97" t="n">
        <v>46388</v>
      </c>
      <c r="I26" s="97" t="n">
        <v>47818</v>
      </c>
      <c r="J26" s="92" t="s">
        <v>303</v>
      </c>
    </row>
    <row r="27" customFormat="false" ht="15" hidden="false" customHeight="false" outlineLevel="0" collapsed="false">
      <c r="A27" s="91"/>
      <c r="B27" s="92" t="s">
        <v>298</v>
      </c>
      <c r="C27" s="92" t="s">
        <v>302</v>
      </c>
      <c r="D27" s="93" t="n">
        <v>0</v>
      </c>
      <c r="E27" s="94" t="n">
        <v>0</v>
      </c>
      <c r="F27" s="95" t="n">
        <v>0</v>
      </c>
      <c r="G27" s="96" t="n">
        <f aca="false">$D27*$E27*(1+$F27)</f>
        <v>0</v>
      </c>
      <c r="H27" s="97" t="n">
        <v>46388</v>
      </c>
      <c r="I27" s="97" t="n">
        <v>47818</v>
      </c>
      <c r="J27" s="92" t="s">
        <v>303</v>
      </c>
    </row>
    <row r="28" customFormat="false" ht="15" hidden="false" customHeight="false" outlineLevel="0" collapsed="false">
      <c r="A28" s="91"/>
      <c r="B28" s="92" t="s">
        <v>298</v>
      </c>
      <c r="C28" s="92" t="s">
        <v>302</v>
      </c>
      <c r="D28" s="93" t="n">
        <v>0</v>
      </c>
      <c r="E28" s="94" t="n">
        <v>0</v>
      </c>
      <c r="F28" s="95" t="n">
        <v>0</v>
      </c>
      <c r="G28" s="96" t="n">
        <f aca="false">$D28*$E28*(1+$F28)</f>
        <v>0</v>
      </c>
      <c r="H28" s="97" t="n">
        <v>46388</v>
      </c>
      <c r="I28" s="97" t="n">
        <v>47818</v>
      </c>
      <c r="J28" s="92" t="s">
        <v>303</v>
      </c>
    </row>
    <row r="29" customFormat="false" ht="15" hidden="false" customHeight="false" outlineLevel="0" collapsed="false">
      <c r="A29" s="91"/>
      <c r="B29" s="92" t="s">
        <v>298</v>
      </c>
      <c r="C29" s="92" t="s">
        <v>302</v>
      </c>
      <c r="D29" s="93" t="n">
        <v>0</v>
      </c>
      <c r="E29" s="94" t="n">
        <v>0</v>
      </c>
      <c r="F29" s="95" t="n">
        <v>0</v>
      </c>
      <c r="G29" s="96" t="n">
        <f aca="false">$D29*$E29*(1+$F29)</f>
        <v>0</v>
      </c>
      <c r="H29" s="97" t="n">
        <v>46388</v>
      </c>
      <c r="I29" s="97" t="n">
        <v>47818</v>
      </c>
      <c r="J29" s="92" t="s">
        <v>303</v>
      </c>
    </row>
    <row r="30" customFormat="false" ht="15" hidden="false" customHeight="false" outlineLevel="0" collapsed="false">
      <c r="A30" s="91"/>
      <c r="B30" s="92" t="s">
        <v>298</v>
      </c>
      <c r="C30" s="92" t="s">
        <v>302</v>
      </c>
      <c r="D30" s="93" t="n">
        <v>0</v>
      </c>
      <c r="E30" s="94" t="n">
        <v>0</v>
      </c>
      <c r="F30" s="95" t="n">
        <v>0</v>
      </c>
      <c r="G30" s="96" t="n">
        <f aca="false">$D30*$E30*(1+$F30)</f>
        <v>0</v>
      </c>
      <c r="H30" s="97" t="n">
        <v>46388</v>
      </c>
      <c r="I30" s="97" t="n">
        <v>47818</v>
      </c>
      <c r="J30" s="92" t="s">
        <v>303</v>
      </c>
    </row>
    <row r="31" customFormat="false" ht="15" hidden="false" customHeight="false" outlineLevel="0" collapsed="false">
      <c r="A31" s="91"/>
      <c r="B31" s="92" t="s">
        <v>298</v>
      </c>
      <c r="C31" s="92" t="s">
        <v>302</v>
      </c>
      <c r="D31" s="93" t="n">
        <v>0</v>
      </c>
      <c r="E31" s="94" t="n">
        <v>0</v>
      </c>
      <c r="F31" s="95" t="n">
        <v>0</v>
      </c>
      <c r="G31" s="96" t="n">
        <f aca="false">$D31*$E31*(1+$F31)</f>
        <v>0</v>
      </c>
      <c r="H31" s="97" t="n">
        <v>46388</v>
      </c>
      <c r="I31" s="97" t="n">
        <v>47818</v>
      </c>
      <c r="J31" s="92" t="s">
        <v>303</v>
      </c>
    </row>
    <row r="32" customFormat="false" ht="15" hidden="false" customHeight="false" outlineLevel="0" collapsed="false">
      <c r="A32" s="91"/>
      <c r="B32" s="92" t="s">
        <v>298</v>
      </c>
      <c r="C32" s="92" t="s">
        <v>302</v>
      </c>
      <c r="D32" s="93" t="n">
        <v>0</v>
      </c>
      <c r="E32" s="94" t="n">
        <v>0</v>
      </c>
      <c r="F32" s="95" t="n">
        <v>0</v>
      </c>
      <c r="G32" s="96" t="n">
        <f aca="false">$D32*$E32*(1+$F32)</f>
        <v>0</v>
      </c>
      <c r="H32" s="97" t="n">
        <v>46388</v>
      </c>
      <c r="I32" s="97" t="n">
        <v>47818</v>
      </c>
      <c r="J32" s="92" t="s">
        <v>303</v>
      </c>
    </row>
    <row r="33" customFormat="false" ht="15" hidden="false" customHeight="false" outlineLevel="0" collapsed="false">
      <c r="A33" s="98" t="s">
        <v>323</v>
      </c>
      <c r="G33" s="99" t="n">
        <f aca="false">SUM(G6:G32)</f>
        <v>399800</v>
      </c>
    </row>
    <row r="34" customFormat="false" ht="15" hidden="false" customHeight="false" outlineLevel="0" collapsed="false">
      <c r="A34" s="29" t="s">
        <v>324</v>
      </c>
    </row>
    <row r="36" customFormat="false" ht="15" hidden="false" customHeight="false" outlineLevel="0" collapsed="false">
      <c r="A36" s="100" t="s">
        <v>325</v>
      </c>
      <c r="B36" s="101" t="n">
        <v>46023</v>
      </c>
      <c r="C36" s="101" t="n">
        <v>46054</v>
      </c>
      <c r="D36" s="101" t="n">
        <v>46082</v>
      </c>
      <c r="E36" s="101" t="n">
        <v>46113</v>
      </c>
      <c r="F36" s="101" t="n">
        <v>46143</v>
      </c>
      <c r="G36" s="101" t="n">
        <v>46174</v>
      </c>
      <c r="H36" s="101" t="n">
        <v>46204</v>
      </c>
      <c r="I36" s="101" t="n">
        <v>46235</v>
      </c>
      <c r="J36" s="101" t="n">
        <v>46266</v>
      </c>
      <c r="K36" s="101" t="n">
        <v>46296</v>
      </c>
      <c r="L36" s="101" t="n">
        <v>46327</v>
      </c>
      <c r="M36" s="101" t="n">
        <v>46357</v>
      </c>
      <c r="N36" s="101" t="n">
        <v>46388</v>
      </c>
      <c r="O36" s="101" t="n">
        <v>46419</v>
      </c>
      <c r="P36" s="101" t="n">
        <v>46447</v>
      </c>
      <c r="Q36" s="101" t="n">
        <v>46478</v>
      </c>
      <c r="R36" s="101" t="n">
        <v>46508</v>
      </c>
      <c r="S36" s="101" t="n">
        <v>46539</v>
      </c>
      <c r="T36" s="101" t="n">
        <v>46569</v>
      </c>
      <c r="U36" s="101" t="n">
        <v>46600</v>
      </c>
      <c r="V36" s="101" t="n">
        <v>46631</v>
      </c>
      <c r="W36" s="101" t="n">
        <v>46661</v>
      </c>
      <c r="X36" s="101" t="n">
        <v>46692</v>
      </c>
      <c r="Y36" s="101" t="n">
        <v>46722</v>
      </c>
      <c r="Z36" s="101" t="n">
        <v>46753</v>
      </c>
      <c r="AA36" s="101" t="n">
        <v>46784</v>
      </c>
      <c r="AB36" s="101" t="n">
        <v>46813</v>
      </c>
      <c r="AC36" s="101" t="n">
        <v>46844</v>
      </c>
      <c r="AD36" s="101" t="n">
        <v>46874</v>
      </c>
      <c r="AE36" s="101" t="n">
        <v>46905</v>
      </c>
      <c r="AF36" s="101" t="n">
        <v>46935</v>
      </c>
      <c r="AG36" s="101" t="n">
        <v>46966</v>
      </c>
      <c r="AH36" s="101" t="n">
        <v>46997</v>
      </c>
      <c r="AI36" s="101" t="n">
        <v>47027</v>
      </c>
      <c r="AJ36" s="101" t="n">
        <v>47058</v>
      </c>
      <c r="AK36" s="101" t="n">
        <v>47088</v>
      </c>
      <c r="AL36" s="101" t="n">
        <v>47119</v>
      </c>
      <c r="AM36" s="101" t="n">
        <v>47150</v>
      </c>
      <c r="AN36" s="101" t="n">
        <v>47178</v>
      </c>
      <c r="AO36" s="101" t="n">
        <v>47209</v>
      </c>
      <c r="AP36" s="101" t="n">
        <v>47239</v>
      </c>
      <c r="AQ36" s="101" t="n">
        <v>47270</v>
      </c>
      <c r="AR36" s="101" t="n">
        <v>47300</v>
      </c>
      <c r="AS36" s="101" t="n">
        <v>47331</v>
      </c>
      <c r="AT36" s="101" t="n">
        <v>47362</v>
      </c>
      <c r="AU36" s="101" t="n">
        <v>47392</v>
      </c>
      <c r="AV36" s="101" t="n">
        <v>47423</v>
      </c>
      <c r="AW36" s="101" t="n">
        <v>47453</v>
      </c>
      <c r="AX36" s="101" t="n">
        <v>47484</v>
      </c>
      <c r="AY36" s="101" t="n">
        <v>47515</v>
      </c>
      <c r="AZ36" s="101" t="n">
        <v>47543</v>
      </c>
      <c r="BA36" s="101" t="n">
        <v>47574</v>
      </c>
      <c r="BB36" s="101" t="n">
        <v>47604</v>
      </c>
      <c r="BC36" s="101" t="n">
        <v>47635</v>
      </c>
      <c r="BD36" s="101" t="n">
        <v>47665</v>
      </c>
      <c r="BE36" s="101" t="n">
        <v>47696</v>
      </c>
      <c r="BF36" s="101" t="n">
        <v>47727</v>
      </c>
      <c r="BG36" s="101" t="n">
        <v>47757</v>
      </c>
      <c r="BH36" s="101" t="n">
        <v>47788</v>
      </c>
      <c r="BI36" s="101" t="n">
        <v>47818</v>
      </c>
      <c r="BJ36" s="102" t="s">
        <v>326</v>
      </c>
      <c r="BK36" s="102" t="s">
        <v>327</v>
      </c>
    </row>
    <row r="37" customFormat="false" ht="15" hidden="false" customHeight="false" outlineLevel="0" collapsed="false">
      <c r="A37" s="103" t="s">
        <v>328</v>
      </c>
      <c r="B37" s="104" t="n">
        <v>1</v>
      </c>
      <c r="C37" s="104" t="n">
        <v>2</v>
      </c>
      <c r="D37" s="104" t="n">
        <v>3</v>
      </c>
      <c r="E37" s="104" t="n">
        <v>4</v>
      </c>
      <c r="F37" s="104" t="n">
        <v>5</v>
      </c>
      <c r="G37" s="104" t="n">
        <v>6</v>
      </c>
      <c r="H37" s="104" t="n">
        <v>7</v>
      </c>
      <c r="I37" s="104" t="n">
        <v>8</v>
      </c>
      <c r="J37" s="104" t="n">
        <v>9</v>
      </c>
      <c r="K37" s="104" t="n">
        <v>10</v>
      </c>
      <c r="L37" s="104" t="n">
        <v>11</v>
      </c>
      <c r="M37" s="104" t="n">
        <v>12</v>
      </c>
      <c r="N37" s="104" t="n">
        <v>13</v>
      </c>
      <c r="O37" s="104" t="n">
        <v>14</v>
      </c>
      <c r="P37" s="104" t="n">
        <v>15</v>
      </c>
      <c r="Q37" s="104" t="n">
        <v>16</v>
      </c>
      <c r="R37" s="104" t="n">
        <v>17</v>
      </c>
      <c r="S37" s="104" t="n">
        <v>18</v>
      </c>
      <c r="T37" s="104" t="n">
        <v>19</v>
      </c>
      <c r="U37" s="104" t="n">
        <v>20</v>
      </c>
      <c r="V37" s="104" t="n">
        <v>21</v>
      </c>
      <c r="W37" s="104" t="n">
        <v>22</v>
      </c>
      <c r="X37" s="104" t="n">
        <v>23</v>
      </c>
      <c r="Y37" s="104" t="n">
        <v>24</v>
      </c>
      <c r="Z37" s="104" t="n">
        <v>25</v>
      </c>
      <c r="AA37" s="104" t="n">
        <v>26</v>
      </c>
      <c r="AB37" s="104" t="n">
        <v>27</v>
      </c>
      <c r="AC37" s="104" t="n">
        <v>28</v>
      </c>
      <c r="AD37" s="104" t="n">
        <v>29</v>
      </c>
      <c r="AE37" s="104" t="n">
        <v>30</v>
      </c>
      <c r="AF37" s="104" t="n">
        <v>31</v>
      </c>
      <c r="AG37" s="104" t="n">
        <v>32</v>
      </c>
      <c r="AH37" s="104" t="n">
        <v>33</v>
      </c>
      <c r="AI37" s="104" t="n">
        <v>34</v>
      </c>
      <c r="AJ37" s="104" t="n">
        <v>35</v>
      </c>
      <c r="AK37" s="104" t="n">
        <v>36</v>
      </c>
      <c r="AL37" s="104" t="n">
        <v>37</v>
      </c>
      <c r="AM37" s="104" t="n">
        <v>38</v>
      </c>
      <c r="AN37" s="104" t="n">
        <v>39</v>
      </c>
      <c r="AO37" s="104" t="n">
        <v>40</v>
      </c>
      <c r="AP37" s="104" t="n">
        <v>41</v>
      </c>
      <c r="AQ37" s="104" t="n">
        <v>42</v>
      </c>
      <c r="AR37" s="104" t="n">
        <v>43</v>
      </c>
      <c r="AS37" s="104" t="n">
        <v>44</v>
      </c>
      <c r="AT37" s="104" t="n">
        <v>45</v>
      </c>
      <c r="AU37" s="104" t="n">
        <v>46</v>
      </c>
      <c r="AV37" s="104" t="n">
        <v>47</v>
      </c>
      <c r="AW37" s="104" t="n">
        <v>48</v>
      </c>
      <c r="AX37" s="104" t="n">
        <v>49</v>
      </c>
      <c r="AY37" s="104" t="n">
        <v>50</v>
      </c>
      <c r="AZ37" s="104" t="n">
        <v>51</v>
      </c>
      <c r="BA37" s="104" t="n">
        <v>52</v>
      </c>
      <c r="BB37" s="104" t="n">
        <v>53</v>
      </c>
      <c r="BC37" s="104" t="n">
        <v>54</v>
      </c>
      <c r="BD37" s="104" t="n">
        <v>55</v>
      </c>
      <c r="BE37" s="104" t="n">
        <v>56</v>
      </c>
      <c r="BF37" s="104" t="n">
        <v>57</v>
      </c>
      <c r="BG37" s="104" t="n">
        <v>58</v>
      </c>
      <c r="BH37" s="104" t="n">
        <v>59</v>
      </c>
      <c r="BI37" s="104" t="n">
        <v>60</v>
      </c>
    </row>
    <row r="38" customFormat="false" ht="15" hidden="false" customHeight="false" outlineLevel="0" collapsed="false">
      <c r="A38" s="103" t="s">
        <v>329</v>
      </c>
      <c r="B38" s="105" t="n">
        <f aca="false">YEAR(B36)</f>
        <v>2026</v>
      </c>
      <c r="C38" s="105" t="n">
        <f aca="false">YEAR(C36)</f>
        <v>2026</v>
      </c>
      <c r="D38" s="105" t="n">
        <f aca="false">YEAR(D36)</f>
        <v>2026</v>
      </c>
      <c r="E38" s="105" t="n">
        <f aca="false">YEAR(E36)</f>
        <v>2026</v>
      </c>
      <c r="F38" s="105" t="n">
        <f aca="false">YEAR(F36)</f>
        <v>2026</v>
      </c>
      <c r="G38" s="105" t="n">
        <f aca="false">YEAR(G36)</f>
        <v>2026</v>
      </c>
      <c r="H38" s="105" t="n">
        <f aca="false">YEAR(H36)</f>
        <v>2026</v>
      </c>
      <c r="I38" s="105" t="n">
        <f aca="false">YEAR(I36)</f>
        <v>2026</v>
      </c>
      <c r="J38" s="105" t="n">
        <f aca="false">YEAR(J36)</f>
        <v>2026</v>
      </c>
      <c r="K38" s="105" t="n">
        <f aca="false">YEAR(K36)</f>
        <v>2026</v>
      </c>
      <c r="L38" s="105" t="n">
        <f aca="false">YEAR(L36)</f>
        <v>2026</v>
      </c>
      <c r="M38" s="105" t="n">
        <f aca="false">YEAR(M36)</f>
        <v>2026</v>
      </c>
      <c r="N38" s="105" t="n">
        <f aca="false">YEAR(N36)</f>
        <v>2027</v>
      </c>
      <c r="O38" s="105" t="n">
        <f aca="false">YEAR(O36)</f>
        <v>2027</v>
      </c>
      <c r="P38" s="105" t="n">
        <f aca="false">YEAR(P36)</f>
        <v>2027</v>
      </c>
      <c r="Q38" s="105" t="n">
        <f aca="false">YEAR(Q36)</f>
        <v>2027</v>
      </c>
      <c r="R38" s="105" t="n">
        <f aca="false">YEAR(R36)</f>
        <v>2027</v>
      </c>
      <c r="S38" s="105" t="n">
        <f aca="false">YEAR(S36)</f>
        <v>2027</v>
      </c>
      <c r="T38" s="105" t="n">
        <f aca="false">YEAR(T36)</f>
        <v>2027</v>
      </c>
      <c r="U38" s="105" t="n">
        <f aca="false">YEAR(U36)</f>
        <v>2027</v>
      </c>
      <c r="V38" s="105" t="n">
        <f aca="false">YEAR(V36)</f>
        <v>2027</v>
      </c>
      <c r="W38" s="105" t="n">
        <f aca="false">YEAR(W36)</f>
        <v>2027</v>
      </c>
      <c r="X38" s="105" t="n">
        <f aca="false">YEAR(X36)</f>
        <v>2027</v>
      </c>
      <c r="Y38" s="105" t="n">
        <f aca="false">YEAR(Y36)</f>
        <v>2027</v>
      </c>
      <c r="Z38" s="105" t="n">
        <f aca="false">YEAR(Z36)</f>
        <v>2028</v>
      </c>
      <c r="AA38" s="105" t="n">
        <f aca="false">YEAR(AA36)</f>
        <v>2028</v>
      </c>
      <c r="AB38" s="105" t="n">
        <f aca="false">YEAR(AB36)</f>
        <v>2028</v>
      </c>
      <c r="AC38" s="105" t="n">
        <f aca="false">YEAR(AC36)</f>
        <v>2028</v>
      </c>
      <c r="AD38" s="105" t="n">
        <f aca="false">YEAR(AD36)</f>
        <v>2028</v>
      </c>
      <c r="AE38" s="105" t="n">
        <f aca="false">YEAR(AE36)</f>
        <v>2028</v>
      </c>
      <c r="AF38" s="105" t="n">
        <f aca="false">YEAR(AF36)</f>
        <v>2028</v>
      </c>
      <c r="AG38" s="105" t="n">
        <f aca="false">YEAR(AG36)</f>
        <v>2028</v>
      </c>
      <c r="AH38" s="105" t="n">
        <f aca="false">YEAR(AH36)</f>
        <v>2028</v>
      </c>
      <c r="AI38" s="105" t="n">
        <f aca="false">YEAR(AI36)</f>
        <v>2028</v>
      </c>
      <c r="AJ38" s="105" t="n">
        <f aca="false">YEAR(AJ36)</f>
        <v>2028</v>
      </c>
      <c r="AK38" s="105" t="n">
        <f aca="false">YEAR(AK36)</f>
        <v>2028</v>
      </c>
      <c r="AL38" s="105" t="n">
        <f aca="false">YEAR(AL36)</f>
        <v>2029</v>
      </c>
      <c r="AM38" s="105" t="n">
        <f aca="false">YEAR(AM36)</f>
        <v>2029</v>
      </c>
      <c r="AN38" s="105" t="n">
        <f aca="false">YEAR(AN36)</f>
        <v>2029</v>
      </c>
      <c r="AO38" s="105" t="n">
        <f aca="false">YEAR(AO36)</f>
        <v>2029</v>
      </c>
      <c r="AP38" s="105" t="n">
        <f aca="false">YEAR(AP36)</f>
        <v>2029</v>
      </c>
      <c r="AQ38" s="105" t="n">
        <f aca="false">YEAR(AQ36)</f>
        <v>2029</v>
      </c>
      <c r="AR38" s="105" t="n">
        <f aca="false">YEAR(AR36)</f>
        <v>2029</v>
      </c>
      <c r="AS38" s="105" t="n">
        <f aca="false">YEAR(AS36)</f>
        <v>2029</v>
      </c>
      <c r="AT38" s="105" t="n">
        <f aca="false">YEAR(AT36)</f>
        <v>2029</v>
      </c>
      <c r="AU38" s="105" t="n">
        <f aca="false">YEAR(AU36)</f>
        <v>2029</v>
      </c>
      <c r="AV38" s="105" t="n">
        <f aca="false">YEAR(AV36)</f>
        <v>2029</v>
      </c>
      <c r="AW38" s="105" t="n">
        <f aca="false">YEAR(AW36)</f>
        <v>2029</v>
      </c>
      <c r="AX38" s="105" t="n">
        <f aca="false">YEAR(AX36)</f>
        <v>2030</v>
      </c>
      <c r="AY38" s="105" t="n">
        <f aca="false">YEAR(AY36)</f>
        <v>2030</v>
      </c>
      <c r="AZ38" s="105" t="n">
        <f aca="false">YEAR(AZ36)</f>
        <v>2030</v>
      </c>
      <c r="BA38" s="105" t="n">
        <f aca="false">YEAR(BA36)</f>
        <v>2030</v>
      </c>
      <c r="BB38" s="105" t="n">
        <f aca="false">YEAR(BB36)</f>
        <v>2030</v>
      </c>
      <c r="BC38" s="105" t="n">
        <f aca="false">YEAR(BC36)</f>
        <v>2030</v>
      </c>
      <c r="BD38" s="105" t="n">
        <f aca="false">YEAR(BD36)</f>
        <v>2030</v>
      </c>
      <c r="BE38" s="105" t="n">
        <f aca="false">YEAR(BE36)</f>
        <v>2030</v>
      </c>
      <c r="BF38" s="105" t="n">
        <f aca="false">YEAR(BF36)</f>
        <v>2030</v>
      </c>
      <c r="BG38" s="105" t="n">
        <f aca="false">YEAR(BG36)</f>
        <v>2030</v>
      </c>
      <c r="BH38" s="105" t="n">
        <f aca="false">YEAR(BH36)</f>
        <v>2030</v>
      </c>
      <c r="BI38" s="105" t="n">
        <f aca="false">YEAR(BI36)</f>
        <v>2030</v>
      </c>
    </row>
    <row r="39" customFormat="false" ht="15" hidden="false" customHeight="false" outlineLevel="0" collapsed="false">
      <c r="A39" s="106" t="s">
        <v>330</v>
      </c>
      <c r="B39" s="107" t="n">
        <f aca="false">MATCH(B38,Premissas!$C$5:$G$5,0)</f>
        <v>1</v>
      </c>
      <c r="C39" s="107" t="n">
        <f aca="false">MATCH(C38,Premissas!$C$5:$G$5,0)</f>
        <v>1</v>
      </c>
      <c r="D39" s="107" t="n">
        <f aca="false">MATCH(D38,Premissas!$C$5:$G$5,0)</f>
        <v>1</v>
      </c>
      <c r="E39" s="107" t="n">
        <f aca="false">MATCH(E38,Premissas!$C$5:$G$5,0)</f>
        <v>1</v>
      </c>
      <c r="F39" s="107" t="n">
        <f aca="false">MATCH(F38,Premissas!$C$5:$G$5,0)</f>
        <v>1</v>
      </c>
      <c r="G39" s="107" t="n">
        <f aca="false">MATCH(G38,Premissas!$C$5:$G$5,0)</f>
        <v>1</v>
      </c>
      <c r="H39" s="107" t="n">
        <f aca="false">MATCH(H38,Premissas!$C$5:$G$5,0)</f>
        <v>1</v>
      </c>
      <c r="I39" s="107" t="n">
        <f aca="false">MATCH(I38,Premissas!$C$5:$G$5,0)</f>
        <v>1</v>
      </c>
      <c r="J39" s="107" t="n">
        <f aca="false">MATCH(J38,Premissas!$C$5:$G$5,0)</f>
        <v>1</v>
      </c>
      <c r="K39" s="107" t="n">
        <f aca="false">MATCH(K38,Premissas!$C$5:$G$5,0)</f>
        <v>1</v>
      </c>
      <c r="L39" s="107" t="n">
        <f aca="false">MATCH(L38,Premissas!$C$5:$G$5,0)</f>
        <v>1</v>
      </c>
      <c r="M39" s="107" t="n">
        <f aca="false">MATCH(M38,Premissas!$C$5:$G$5,0)</f>
        <v>1</v>
      </c>
      <c r="N39" s="107" t="n">
        <f aca="false">MATCH(N38,Premissas!$C$5:$G$5,0)</f>
        <v>2</v>
      </c>
      <c r="O39" s="107" t="n">
        <f aca="false">MATCH(O38,Premissas!$C$5:$G$5,0)</f>
        <v>2</v>
      </c>
      <c r="P39" s="107" t="n">
        <f aca="false">MATCH(P38,Premissas!$C$5:$G$5,0)</f>
        <v>2</v>
      </c>
      <c r="Q39" s="107" t="n">
        <f aca="false">MATCH(Q38,Premissas!$C$5:$G$5,0)</f>
        <v>2</v>
      </c>
      <c r="R39" s="107" t="n">
        <f aca="false">MATCH(R38,Premissas!$C$5:$G$5,0)</f>
        <v>2</v>
      </c>
      <c r="S39" s="107" t="n">
        <f aca="false">MATCH(S38,Premissas!$C$5:$G$5,0)</f>
        <v>2</v>
      </c>
      <c r="T39" s="107" t="n">
        <f aca="false">MATCH(T38,Premissas!$C$5:$G$5,0)</f>
        <v>2</v>
      </c>
      <c r="U39" s="107" t="n">
        <f aca="false">MATCH(U38,Premissas!$C$5:$G$5,0)</f>
        <v>2</v>
      </c>
      <c r="V39" s="107" t="n">
        <f aca="false">MATCH(V38,Premissas!$C$5:$G$5,0)</f>
        <v>2</v>
      </c>
      <c r="W39" s="107" t="n">
        <f aca="false">MATCH(W38,Premissas!$C$5:$G$5,0)</f>
        <v>2</v>
      </c>
      <c r="X39" s="107" t="n">
        <f aca="false">MATCH(X38,Premissas!$C$5:$G$5,0)</f>
        <v>2</v>
      </c>
      <c r="Y39" s="107" t="n">
        <f aca="false">MATCH(Y38,Premissas!$C$5:$G$5,0)</f>
        <v>2</v>
      </c>
      <c r="Z39" s="107" t="n">
        <f aca="false">MATCH(Z38,Premissas!$C$5:$G$5,0)</f>
        <v>3</v>
      </c>
      <c r="AA39" s="107" t="n">
        <f aca="false">MATCH(AA38,Premissas!$C$5:$G$5,0)</f>
        <v>3</v>
      </c>
      <c r="AB39" s="107" t="n">
        <f aca="false">MATCH(AB38,Premissas!$C$5:$G$5,0)</f>
        <v>3</v>
      </c>
      <c r="AC39" s="107" t="n">
        <f aca="false">MATCH(AC38,Premissas!$C$5:$G$5,0)</f>
        <v>3</v>
      </c>
      <c r="AD39" s="107" t="n">
        <f aca="false">MATCH(AD38,Premissas!$C$5:$G$5,0)</f>
        <v>3</v>
      </c>
      <c r="AE39" s="107" t="n">
        <f aca="false">MATCH(AE38,Premissas!$C$5:$G$5,0)</f>
        <v>3</v>
      </c>
      <c r="AF39" s="107" t="n">
        <f aca="false">MATCH(AF38,Premissas!$C$5:$G$5,0)</f>
        <v>3</v>
      </c>
      <c r="AG39" s="107" t="n">
        <f aca="false">MATCH(AG38,Premissas!$C$5:$G$5,0)</f>
        <v>3</v>
      </c>
      <c r="AH39" s="107" t="n">
        <f aca="false">MATCH(AH38,Premissas!$C$5:$G$5,0)</f>
        <v>3</v>
      </c>
      <c r="AI39" s="107" t="n">
        <f aca="false">MATCH(AI38,Premissas!$C$5:$G$5,0)</f>
        <v>3</v>
      </c>
      <c r="AJ39" s="107" t="n">
        <f aca="false">MATCH(AJ38,Premissas!$C$5:$G$5,0)</f>
        <v>3</v>
      </c>
      <c r="AK39" s="107" t="n">
        <f aca="false">MATCH(AK38,Premissas!$C$5:$G$5,0)</f>
        <v>3</v>
      </c>
      <c r="AL39" s="107" t="n">
        <f aca="false">MATCH(AL38,Premissas!$C$5:$G$5,0)</f>
        <v>4</v>
      </c>
      <c r="AM39" s="107" t="n">
        <f aca="false">MATCH(AM38,Premissas!$C$5:$G$5,0)</f>
        <v>4</v>
      </c>
      <c r="AN39" s="107" t="n">
        <f aca="false">MATCH(AN38,Premissas!$C$5:$G$5,0)</f>
        <v>4</v>
      </c>
      <c r="AO39" s="107" t="n">
        <f aca="false">MATCH(AO38,Premissas!$C$5:$G$5,0)</f>
        <v>4</v>
      </c>
      <c r="AP39" s="107" t="n">
        <f aca="false">MATCH(AP38,Premissas!$C$5:$G$5,0)</f>
        <v>4</v>
      </c>
      <c r="AQ39" s="107" t="n">
        <f aca="false">MATCH(AQ38,Premissas!$C$5:$G$5,0)</f>
        <v>4</v>
      </c>
      <c r="AR39" s="107" t="n">
        <f aca="false">MATCH(AR38,Premissas!$C$5:$G$5,0)</f>
        <v>4</v>
      </c>
      <c r="AS39" s="107" t="n">
        <f aca="false">MATCH(AS38,Premissas!$C$5:$G$5,0)</f>
        <v>4</v>
      </c>
      <c r="AT39" s="107" t="n">
        <f aca="false">MATCH(AT38,Premissas!$C$5:$G$5,0)</f>
        <v>4</v>
      </c>
      <c r="AU39" s="107" t="n">
        <f aca="false">MATCH(AU38,Premissas!$C$5:$G$5,0)</f>
        <v>4</v>
      </c>
      <c r="AV39" s="107" t="n">
        <f aca="false">MATCH(AV38,Premissas!$C$5:$G$5,0)</f>
        <v>4</v>
      </c>
      <c r="AW39" s="107" t="n">
        <f aca="false">MATCH(AW38,Premissas!$C$5:$G$5,0)</f>
        <v>4</v>
      </c>
      <c r="AX39" s="107" t="n">
        <f aca="false">MATCH(AX38,Premissas!$C$5:$G$5,0)</f>
        <v>5</v>
      </c>
      <c r="AY39" s="107" t="n">
        <f aca="false">MATCH(AY38,Premissas!$C$5:$G$5,0)</f>
        <v>5</v>
      </c>
      <c r="AZ39" s="107" t="n">
        <f aca="false">MATCH(AZ38,Premissas!$C$5:$G$5,0)</f>
        <v>5</v>
      </c>
      <c r="BA39" s="107" t="n">
        <f aca="false">MATCH(BA38,Premissas!$C$5:$G$5,0)</f>
        <v>5</v>
      </c>
      <c r="BB39" s="107" t="n">
        <f aca="false">MATCH(BB38,Premissas!$C$5:$G$5,0)</f>
        <v>5</v>
      </c>
      <c r="BC39" s="107" t="n">
        <f aca="false">MATCH(BC38,Premissas!$C$5:$G$5,0)</f>
        <v>5</v>
      </c>
      <c r="BD39" s="107" t="n">
        <f aca="false">MATCH(BD38,Premissas!$C$5:$G$5,0)</f>
        <v>5</v>
      </c>
      <c r="BE39" s="107" t="n">
        <f aca="false">MATCH(BE38,Premissas!$C$5:$G$5,0)</f>
        <v>5</v>
      </c>
      <c r="BF39" s="107" t="n">
        <f aca="false">MATCH(BF38,Premissas!$C$5:$G$5,0)</f>
        <v>5</v>
      </c>
      <c r="BG39" s="107" t="n">
        <f aca="false">MATCH(BG38,Premissas!$C$5:$G$5,0)</f>
        <v>5</v>
      </c>
      <c r="BH39" s="107" t="n">
        <f aca="false">MATCH(BH38,Premissas!$C$5:$G$5,0)</f>
        <v>5</v>
      </c>
      <c r="BI39" s="107" t="n">
        <f aca="false">MATCH(BI38,Premissas!$C$5:$G$5,0)</f>
        <v>5</v>
      </c>
    </row>
    <row r="40" customFormat="false" ht="18" hidden="false" customHeight="true" outlineLevel="0" collapsed="false">
      <c r="A40" s="25" t="s">
        <v>331</v>
      </c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</row>
    <row r="41" customFormat="false" ht="15" hidden="false" customHeight="false" outlineLevel="0" collapsed="false">
      <c r="A41" s="27" t="s">
        <v>332</v>
      </c>
      <c r="B41" s="108" t="n">
        <f aca="false">SUMPRODUCT(($H$6:$H$32&lt;=B$36)*($I$6:$I$32&gt;=B$36)*(($C$6:$C$32="Contratado")+($C$6:$C$32="Plano")*Premissas!$B$8)*$D$6:$D$32)</f>
        <v>0</v>
      </c>
      <c r="C41" s="108" t="n">
        <f aca="false">SUMPRODUCT(($H$6:$H$32&lt;=C$36)*($I$6:$I$32&gt;=C$36)*(($C$6:$C$32="Contratado")+($C$6:$C$32="Plano")*Premissas!$B$8)*$D$6:$D$32)</f>
        <v>0</v>
      </c>
      <c r="D41" s="108" t="n">
        <f aca="false">SUMPRODUCT(($H$6:$H$32&lt;=D$36)*($I$6:$I$32&gt;=D$36)*(($C$6:$C$32="Contratado")+($C$6:$C$32="Plano")*Premissas!$B$8)*$D$6:$D$32)</f>
        <v>0</v>
      </c>
      <c r="E41" s="108" t="n">
        <f aca="false">SUMPRODUCT(($H$6:$H$32&lt;=E$36)*($I$6:$I$32&gt;=E$36)*(($C$6:$C$32="Contratado")+($C$6:$C$32="Plano")*Premissas!$B$8)*$D$6:$D$32)</f>
        <v>0</v>
      </c>
      <c r="F41" s="108" t="n">
        <f aca="false">SUMPRODUCT(($H$6:$H$32&lt;=F$36)*($I$6:$I$32&gt;=F$36)*(($C$6:$C$32="Contratado")+($C$6:$C$32="Plano")*Premissas!$B$8)*$D$6:$D$32)</f>
        <v>0</v>
      </c>
      <c r="G41" s="108" t="n">
        <f aca="false">SUMPRODUCT(($H$6:$H$32&lt;=G$36)*($I$6:$I$32&gt;=G$36)*(($C$6:$C$32="Contratado")+($C$6:$C$32="Plano")*Premissas!$B$8)*$D$6:$D$32)</f>
        <v>0</v>
      </c>
      <c r="H41" s="108" t="n">
        <f aca="false">SUMPRODUCT(($H$6:$H$32&lt;=H$36)*($I$6:$I$32&gt;=H$36)*(($C$6:$C$32="Contratado")+($C$6:$C$32="Plano")*Premissas!$B$8)*$D$6:$D$32)</f>
        <v>0</v>
      </c>
      <c r="I41" s="108" t="n">
        <f aca="false">SUMPRODUCT(($H$6:$H$32&lt;=I$36)*($I$6:$I$32&gt;=I$36)*(($C$6:$C$32="Contratado")+($C$6:$C$32="Plano")*Premissas!$B$8)*$D$6:$D$32)</f>
        <v>0</v>
      </c>
      <c r="J41" s="108" t="n">
        <f aca="false">SUMPRODUCT(($H$6:$H$32&lt;=J$36)*($I$6:$I$32&gt;=J$36)*(($C$6:$C$32="Contratado")+($C$6:$C$32="Plano")*Premissas!$B$8)*$D$6:$D$32)</f>
        <v>1</v>
      </c>
      <c r="K41" s="108" t="n">
        <f aca="false">SUMPRODUCT(($H$6:$H$32&lt;=K$36)*($I$6:$I$32&gt;=K$36)*(($C$6:$C$32="Contratado")+($C$6:$C$32="Plano")*Premissas!$B$8)*$D$6:$D$32)</f>
        <v>1</v>
      </c>
      <c r="L41" s="108" t="n">
        <f aca="false">SUMPRODUCT(($H$6:$H$32&lt;=L$36)*($I$6:$I$32&gt;=L$36)*(($C$6:$C$32="Contratado")+($C$6:$C$32="Plano")*Premissas!$B$8)*$D$6:$D$32)</f>
        <v>0</v>
      </c>
      <c r="M41" s="108" t="n">
        <f aca="false">SUMPRODUCT(($H$6:$H$32&lt;=M$36)*($I$6:$I$32&gt;=M$36)*(($C$6:$C$32="Contratado")+($C$6:$C$32="Plano")*Premissas!$B$8)*$D$6:$D$32)</f>
        <v>0</v>
      </c>
      <c r="N41" s="108" t="n">
        <f aca="false">SUMPRODUCT(($H$6:$H$32&lt;=N$36)*($I$6:$I$32&gt;=N$36)*(($C$6:$C$32="Contratado")+($C$6:$C$32="Plano")*Premissas!$B$8)*$D$6:$D$32)</f>
        <v>7</v>
      </c>
      <c r="O41" s="108" t="n">
        <f aca="false">SUMPRODUCT(($H$6:$H$32&lt;=O$36)*($I$6:$I$32&gt;=O$36)*(($C$6:$C$32="Contratado")+($C$6:$C$32="Plano")*Premissas!$B$8)*$D$6:$D$32)</f>
        <v>7</v>
      </c>
      <c r="P41" s="108" t="n">
        <f aca="false">SUMPRODUCT(($H$6:$H$32&lt;=P$36)*($I$6:$I$32&gt;=P$36)*(($C$6:$C$32="Contratado")+($C$6:$C$32="Plano")*Premissas!$B$8)*$D$6:$D$32)</f>
        <v>7</v>
      </c>
      <c r="Q41" s="108" t="n">
        <f aca="false">SUMPRODUCT(($H$6:$H$32&lt;=Q$36)*($I$6:$I$32&gt;=Q$36)*(($C$6:$C$32="Contratado")+($C$6:$C$32="Plano")*Premissas!$B$8)*$D$6:$D$32)</f>
        <v>7</v>
      </c>
      <c r="R41" s="108" t="n">
        <f aca="false">SUMPRODUCT(($H$6:$H$32&lt;=R$36)*($I$6:$I$32&gt;=R$36)*(($C$6:$C$32="Contratado")+($C$6:$C$32="Plano")*Premissas!$B$8)*$D$6:$D$32)</f>
        <v>7</v>
      </c>
      <c r="S41" s="108" t="n">
        <f aca="false">SUMPRODUCT(($H$6:$H$32&lt;=S$36)*($I$6:$I$32&gt;=S$36)*(($C$6:$C$32="Contratado")+($C$6:$C$32="Plano")*Premissas!$B$8)*$D$6:$D$32)</f>
        <v>7</v>
      </c>
      <c r="T41" s="108" t="n">
        <f aca="false">SUMPRODUCT(($H$6:$H$32&lt;=T$36)*($I$6:$I$32&gt;=T$36)*(($C$6:$C$32="Contratado")+($C$6:$C$32="Plano")*Premissas!$B$8)*$D$6:$D$32)</f>
        <v>7</v>
      </c>
      <c r="U41" s="108" t="n">
        <f aca="false">SUMPRODUCT(($H$6:$H$32&lt;=U$36)*($I$6:$I$32&gt;=U$36)*(($C$6:$C$32="Contratado")+($C$6:$C$32="Plano")*Premissas!$B$8)*$D$6:$D$32)</f>
        <v>7</v>
      </c>
      <c r="V41" s="108" t="n">
        <f aca="false">SUMPRODUCT(($H$6:$H$32&lt;=V$36)*($I$6:$I$32&gt;=V$36)*(($C$6:$C$32="Contratado")+($C$6:$C$32="Plano")*Premissas!$B$8)*$D$6:$D$32)</f>
        <v>7</v>
      </c>
      <c r="W41" s="108" t="n">
        <f aca="false">SUMPRODUCT(($H$6:$H$32&lt;=W$36)*($I$6:$I$32&gt;=W$36)*(($C$6:$C$32="Contratado")+($C$6:$C$32="Plano")*Premissas!$B$8)*$D$6:$D$32)</f>
        <v>7</v>
      </c>
      <c r="X41" s="108" t="n">
        <f aca="false">SUMPRODUCT(($H$6:$H$32&lt;=X$36)*($I$6:$I$32&gt;=X$36)*(($C$6:$C$32="Contratado")+($C$6:$C$32="Plano")*Premissas!$B$8)*$D$6:$D$32)</f>
        <v>7</v>
      </c>
      <c r="Y41" s="108" t="n">
        <f aca="false">SUMPRODUCT(($H$6:$H$32&lt;=Y$36)*($I$6:$I$32&gt;=Y$36)*(($C$6:$C$32="Contratado")+($C$6:$C$32="Plano")*Premissas!$B$8)*$D$6:$D$32)</f>
        <v>7</v>
      </c>
      <c r="Z41" s="108" t="n">
        <f aca="false">SUMPRODUCT(($H$6:$H$32&lt;=Z$36)*($I$6:$I$32&gt;=Z$36)*(($C$6:$C$32="Contratado")+($C$6:$C$32="Plano")*Premissas!$B$8)*$D$6:$D$32)</f>
        <v>17</v>
      </c>
      <c r="AA41" s="108" t="n">
        <f aca="false">SUMPRODUCT(($H$6:$H$32&lt;=AA$36)*($I$6:$I$32&gt;=AA$36)*(($C$6:$C$32="Contratado")+($C$6:$C$32="Plano")*Premissas!$B$8)*$D$6:$D$32)</f>
        <v>17</v>
      </c>
      <c r="AB41" s="108" t="n">
        <f aca="false">SUMPRODUCT(($H$6:$H$32&lt;=AB$36)*($I$6:$I$32&gt;=AB$36)*(($C$6:$C$32="Contratado")+($C$6:$C$32="Plano")*Premissas!$B$8)*$D$6:$D$32)</f>
        <v>17</v>
      </c>
      <c r="AC41" s="108" t="n">
        <f aca="false">SUMPRODUCT(($H$6:$H$32&lt;=AC$36)*($I$6:$I$32&gt;=AC$36)*(($C$6:$C$32="Contratado")+($C$6:$C$32="Plano")*Premissas!$B$8)*$D$6:$D$32)</f>
        <v>17</v>
      </c>
      <c r="AD41" s="108" t="n">
        <f aca="false">SUMPRODUCT(($H$6:$H$32&lt;=AD$36)*($I$6:$I$32&gt;=AD$36)*(($C$6:$C$32="Contratado")+($C$6:$C$32="Plano")*Premissas!$B$8)*$D$6:$D$32)</f>
        <v>17</v>
      </c>
      <c r="AE41" s="108" t="n">
        <f aca="false">SUMPRODUCT(($H$6:$H$32&lt;=AE$36)*($I$6:$I$32&gt;=AE$36)*(($C$6:$C$32="Contratado")+($C$6:$C$32="Plano")*Premissas!$B$8)*$D$6:$D$32)</f>
        <v>17</v>
      </c>
      <c r="AF41" s="108" t="n">
        <f aca="false">SUMPRODUCT(($H$6:$H$32&lt;=AF$36)*($I$6:$I$32&gt;=AF$36)*(($C$6:$C$32="Contratado")+($C$6:$C$32="Plano")*Premissas!$B$8)*$D$6:$D$32)</f>
        <v>17</v>
      </c>
      <c r="AG41" s="108" t="n">
        <f aca="false">SUMPRODUCT(($H$6:$H$32&lt;=AG$36)*($I$6:$I$32&gt;=AG$36)*(($C$6:$C$32="Contratado")+($C$6:$C$32="Plano")*Premissas!$B$8)*$D$6:$D$32)</f>
        <v>17</v>
      </c>
      <c r="AH41" s="108" t="n">
        <f aca="false">SUMPRODUCT(($H$6:$H$32&lt;=AH$36)*($I$6:$I$32&gt;=AH$36)*(($C$6:$C$32="Contratado")+($C$6:$C$32="Plano")*Premissas!$B$8)*$D$6:$D$32)</f>
        <v>17</v>
      </c>
      <c r="AI41" s="108" t="n">
        <f aca="false">SUMPRODUCT(($H$6:$H$32&lt;=AI$36)*($I$6:$I$32&gt;=AI$36)*(($C$6:$C$32="Contratado")+($C$6:$C$32="Plano")*Premissas!$B$8)*$D$6:$D$32)</f>
        <v>17</v>
      </c>
      <c r="AJ41" s="108" t="n">
        <f aca="false">SUMPRODUCT(($H$6:$H$32&lt;=AJ$36)*($I$6:$I$32&gt;=AJ$36)*(($C$6:$C$32="Contratado")+($C$6:$C$32="Plano")*Premissas!$B$8)*$D$6:$D$32)</f>
        <v>17</v>
      </c>
      <c r="AK41" s="108" t="n">
        <f aca="false">SUMPRODUCT(($H$6:$H$32&lt;=AK$36)*($I$6:$I$32&gt;=AK$36)*(($C$6:$C$32="Contratado")+($C$6:$C$32="Plano")*Premissas!$B$8)*$D$6:$D$32)</f>
        <v>17</v>
      </c>
      <c r="AL41" s="108" t="n">
        <f aca="false">SUMPRODUCT(($H$6:$H$32&lt;=AL$36)*($I$6:$I$32&gt;=AL$36)*(($C$6:$C$32="Contratado")+($C$6:$C$32="Plano")*Premissas!$B$8)*$D$6:$D$32)</f>
        <v>34</v>
      </c>
      <c r="AM41" s="108" t="n">
        <f aca="false">SUMPRODUCT(($H$6:$H$32&lt;=AM$36)*($I$6:$I$32&gt;=AM$36)*(($C$6:$C$32="Contratado")+($C$6:$C$32="Plano")*Premissas!$B$8)*$D$6:$D$32)</f>
        <v>34</v>
      </c>
      <c r="AN41" s="108" t="n">
        <f aca="false">SUMPRODUCT(($H$6:$H$32&lt;=AN$36)*($I$6:$I$32&gt;=AN$36)*(($C$6:$C$32="Contratado")+($C$6:$C$32="Plano")*Premissas!$B$8)*$D$6:$D$32)</f>
        <v>34</v>
      </c>
      <c r="AO41" s="108" t="n">
        <f aca="false">SUMPRODUCT(($H$6:$H$32&lt;=AO$36)*($I$6:$I$32&gt;=AO$36)*(($C$6:$C$32="Contratado")+($C$6:$C$32="Plano")*Premissas!$B$8)*$D$6:$D$32)</f>
        <v>34</v>
      </c>
      <c r="AP41" s="108" t="n">
        <f aca="false">SUMPRODUCT(($H$6:$H$32&lt;=AP$36)*($I$6:$I$32&gt;=AP$36)*(($C$6:$C$32="Contratado")+($C$6:$C$32="Plano")*Premissas!$B$8)*$D$6:$D$32)</f>
        <v>34</v>
      </c>
      <c r="AQ41" s="108" t="n">
        <f aca="false">SUMPRODUCT(($H$6:$H$32&lt;=AQ$36)*($I$6:$I$32&gt;=AQ$36)*(($C$6:$C$32="Contratado")+($C$6:$C$32="Plano")*Premissas!$B$8)*$D$6:$D$32)</f>
        <v>34</v>
      </c>
      <c r="AR41" s="108" t="n">
        <f aca="false">SUMPRODUCT(($H$6:$H$32&lt;=AR$36)*($I$6:$I$32&gt;=AR$36)*(($C$6:$C$32="Contratado")+($C$6:$C$32="Plano")*Premissas!$B$8)*$D$6:$D$32)</f>
        <v>34</v>
      </c>
      <c r="AS41" s="108" t="n">
        <f aca="false">SUMPRODUCT(($H$6:$H$32&lt;=AS$36)*($I$6:$I$32&gt;=AS$36)*(($C$6:$C$32="Contratado")+($C$6:$C$32="Plano")*Premissas!$B$8)*$D$6:$D$32)</f>
        <v>34</v>
      </c>
      <c r="AT41" s="108" t="n">
        <f aca="false">SUMPRODUCT(($H$6:$H$32&lt;=AT$36)*($I$6:$I$32&gt;=AT$36)*(($C$6:$C$32="Contratado")+($C$6:$C$32="Plano")*Premissas!$B$8)*$D$6:$D$32)</f>
        <v>34</v>
      </c>
      <c r="AU41" s="108" t="n">
        <f aca="false">SUMPRODUCT(($H$6:$H$32&lt;=AU$36)*($I$6:$I$32&gt;=AU$36)*(($C$6:$C$32="Contratado")+($C$6:$C$32="Plano")*Premissas!$B$8)*$D$6:$D$32)</f>
        <v>34</v>
      </c>
      <c r="AV41" s="108" t="n">
        <f aca="false">SUMPRODUCT(($H$6:$H$32&lt;=AV$36)*($I$6:$I$32&gt;=AV$36)*(($C$6:$C$32="Contratado")+($C$6:$C$32="Plano")*Premissas!$B$8)*$D$6:$D$32)</f>
        <v>34</v>
      </c>
      <c r="AW41" s="108" t="n">
        <f aca="false">SUMPRODUCT(($H$6:$H$32&lt;=AW$36)*($I$6:$I$32&gt;=AW$36)*(($C$6:$C$32="Contratado")+($C$6:$C$32="Plano")*Premissas!$B$8)*$D$6:$D$32)</f>
        <v>34</v>
      </c>
      <c r="AX41" s="108" t="n">
        <f aca="false">SUMPRODUCT(($H$6:$H$32&lt;=AX$36)*($I$6:$I$32&gt;=AX$36)*(($C$6:$C$32="Contratado")+($C$6:$C$32="Plano")*Premissas!$B$8)*$D$6:$D$32)</f>
        <v>50</v>
      </c>
      <c r="AY41" s="108" t="n">
        <f aca="false">SUMPRODUCT(($H$6:$H$32&lt;=AY$36)*($I$6:$I$32&gt;=AY$36)*(($C$6:$C$32="Contratado")+($C$6:$C$32="Plano")*Premissas!$B$8)*$D$6:$D$32)</f>
        <v>50</v>
      </c>
      <c r="AZ41" s="108" t="n">
        <f aca="false">SUMPRODUCT(($H$6:$H$32&lt;=AZ$36)*($I$6:$I$32&gt;=AZ$36)*(($C$6:$C$32="Contratado")+($C$6:$C$32="Plano")*Premissas!$B$8)*$D$6:$D$32)</f>
        <v>50</v>
      </c>
      <c r="BA41" s="108" t="n">
        <f aca="false">SUMPRODUCT(($H$6:$H$32&lt;=BA$36)*($I$6:$I$32&gt;=BA$36)*(($C$6:$C$32="Contratado")+($C$6:$C$32="Plano")*Premissas!$B$8)*$D$6:$D$32)</f>
        <v>50</v>
      </c>
      <c r="BB41" s="108" t="n">
        <f aca="false">SUMPRODUCT(($H$6:$H$32&lt;=BB$36)*($I$6:$I$32&gt;=BB$36)*(($C$6:$C$32="Contratado")+($C$6:$C$32="Plano")*Premissas!$B$8)*$D$6:$D$32)</f>
        <v>50</v>
      </c>
      <c r="BC41" s="108" t="n">
        <f aca="false">SUMPRODUCT(($H$6:$H$32&lt;=BC$36)*($I$6:$I$32&gt;=BC$36)*(($C$6:$C$32="Contratado")+($C$6:$C$32="Plano")*Premissas!$B$8)*$D$6:$D$32)</f>
        <v>50</v>
      </c>
      <c r="BD41" s="108" t="n">
        <f aca="false">SUMPRODUCT(($H$6:$H$32&lt;=BD$36)*($I$6:$I$32&gt;=BD$36)*(($C$6:$C$32="Contratado")+($C$6:$C$32="Plano")*Premissas!$B$8)*$D$6:$D$32)</f>
        <v>50</v>
      </c>
      <c r="BE41" s="108" t="n">
        <f aca="false">SUMPRODUCT(($H$6:$H$32&lt;=BE$36)*($I$6:$I$32&gt;=BE$36)*(($C$6:$C$32="Contratado")+($C$6:$C$32="Plano")*Premissas!$B$8)*$D$6:$D$32)</f>
        <v>50</v>
      </c>
      <c r="BF41" s="108" t="n">
        <f aca="false">SUMPRODUCT(($H$6:$H$32&lt;=BF$36)*($I$6:$I$32&gt;=BF$36)*(($C$6:$C$32="Contratado")+($C$6:$C$32="Plano")*Premissas!$B$8)*$D$6:$D$32)</f>
        <v>50</v>
      </c>
      <c r="BG41" s="108" t="n">
        <f aca="false">SUMPRODUCT(($H$6:$H$32&lt;=BG$36)*($I$6:$I$32&gt;=BG$36)*(($C$6:$C$32="Contratado")+($C$6:$C$32="Plano")*Premissas!$B$8)*$D$6:$D$32)</f>
        <v>50</v>
      </c>
      <c r="BH41" s="108" t="n">
        <f aca="false">SUMPRODUCT(($H$6:$H$32&lt;=BH$36)*($I$6:$I$32&gt;=BH$36)*(($C$6:$C$32="Contratado")+($C$6:$C$32="Plano")*Premissas!$B$8)*$D$6:$D$32)</f>
        <v>50</v>
      </c>
      <c r="BI41" s="108" t="n">
        <f aca="false">SUMPRODUCT(($H$6:$H$32&lt;=BI$36)*($I$6:$I$32&gt;=BI$36)*(($C$6:$C$32="Contratado")+($C$6:$C$32="Plano")*Premissas!$B$8)*$D$6:$D$32)</f>
        <v>50</v>
      </c>
      <c r="BJ41" s="109" t="n">
        <f aca="false">BI41</f>
        <v>50</v>
      </c>
      <c r="BK41" s="29" t="s">
        <v>333</v>
      </c>
    </row>
    <row r="42" customFormat="false" ht="15" hidden="false" customHeight="false" outlineLevel="0" collapsed="false">
      <c r="A42" s="27" t="s">
        <v>334</v>
      </c>
      <c r="B42" s="110" t="n">
        <f aca="false">SUMPRODUCT(($B$6:$B$32="PJ")*($J$6:$J$32="Despesa")*($H$6:$H$32&lt;=B$36)*($I$6:$I$32&gt;=B$36)*(($C$6:$C$32="Contratado")+($C$6:$C$32="Plano")*Premissas!$B$8)*$G$6:$G$32)</f>
        <v>0</v>
      </c>
      <c r="C42" s="110" t="n">
        <f aca="false">SUMPRODUCT(($B$6:$B$32="PJ")*($J$6:$J$32="Despesa")*($H$6:$H$32&lt;=C$36)*($I$6:$I$32&gt;=C$36)*(($C$6:$C$32="Contratado")+($C$6:$C$32="Plano")*Premissas!$B$8)*$G$6:$G$32)</f>
        <v>0</v>
      </c>
      <c r="D42" s="110" t="n">
        <f aca="false">SUMPRODUCT(($B$6:$B$32="PJ")*($J$6:$J$32="Despesa")*($H$6:$H$32&lt;=D$36)*($I$6:$I$32&gt;=D$36)*(($C$6:$C$32="Contratado")+($C$6:$C$32="Plano")*Premissas!$B$8)*$G$6:$G$32)</f>
        <v>0</v>
      </c>
      <c r="E42" s="110" t="n">
        <f aca="false">SUMPRODUCT(($B$6:$B$32="PJ")*($J$6:$J$32="Despesa")*($H$6:$H$32&lt;=E$36)*($I$6:$I$32&gt;=E$36)*(($C$6:$C$32="Contratado")+($C$6:$C$32="Plano")*Premissas!$B$8)*$G$6:$G$32)</f>
        <v>0</v>
      </c>
      <c r="F42" s="110" t="n">
        <f aca="false">SUMPRODUCT(($B$6:$B$32="PJ")*($J$6:$J$32="Despesa")*($H$6:$H$32&lt;=F$36)*($I$6:$I$32&gt;=F$36)*(($C$6:$C$32="Contratado")+($C$6:$C$32="Plano")*Premissas!$B$8)*$G$6:$G$32)</f>
        <v>0</v>
      </c>
      <c r="G42" s="110" t="n">
        <f aca="false">SUMPRODUCT(($B$6:$B$32="PJ")*($J$6:$J$32="Despesa")*($H$6:$H$32&lt;=G$36)*($I$6:$I$32&gt;=G$36)*(($C$6:$C$32="Contratado")+($C$6:$C$32="Plano")*Premissas!$B$8)*$G$6:$G$32)</f>
        <v>0</v>
      </c>
      <c r="H42" s="110" t="n">
        <f aca="false">SUMPRODUCT(($B$6:$B$32="PJ")*($J$6:$J$32="Despesa")*($H$6:$H$32&lt;=H$36)*($I$6:$I$32&gt;=H$36)*(($C$6:$C$32="Contratado")+($C$6:$C$32="Plano")*Premissas!$B$8)*$G$6:$G$32)</f>
        <v>0</v>
      </c>
      <c r="I42" s="110" t="n">
        <f aca="false">SUMPRODUCT(($B$6:$B$32="PJ")*($J$6:$J$32="Despesa")*($H$6:$H$32&lt;=I$36)*($I$6:$I$32&gt;=I$36)*(($C$6:$C$32="Contratado")+($C$6:$C$32="Plano")*Premissas!$B$8)*$G$6:$G$32)</f>
        <v>0</v>
      </c>
      <c r="J42" s="110" t="n">
        <f aca="false">SUMPRODUCT(($B$6:$B$32="PJ")*($J$6:$J$32="Despesa")*($H$6:$H$32&lt;=J$36)*($I$6:$I$32&gt;=J$36)*(($C$6:$C$32="Contratado")+($C$6:$C$32="Plano")*Premissas!$B$8)*$G$6:$G$32)</f>
        <v>0</v>
      </c>
      <c r="K42" s="110" t="n">
        <f aca="false">SUMPRODUCT(($B$6:$B$32="PJ")*($J$6:$J$32="Despesa")*($H$6:$H$32&lt;=K$36)*($I$6:$I$32&gt;=K$36)*(($C$6:$C$32="Contratado")+($C$6:$C$32="Plano")*Premissas!$B$8)*$G$6:$G$32)</f>
        <v>0</v>
      </c>
      <c r="L42" s="110" t="n">
        <f aca="false">SUMPRODUCT(($B$6:$B$32="PJ")*($J$6:$J$32="Despesa")*($H$6:$H$32&lt;=L$36)*($I$6:$I$32&gt;=L$36)*(($C$6:$C$32="Contratado")+($C$6:$C$32="Plano")*Premissas!$B$8)*$G$6:$G$32)</f>
        <v>0</v>
      </c>
      <c r="M42" s="110" t="n">
        <f aca="false">SUMPRODUCT(($B$6:$B$32="PJ")*($J$6:$J$32="Despesa")*($H$6:$H$32&lt;=M$36)*($I$6:$I$32&gt;=M$36)*(($C$6:$C$32="Contratado")+($C$6:$C$32="Plano")*Premissas!$B$8)*$G$6:$G$32)</f>
        <v>0</v>
      </c>
      <c r="N42" s="110" t="n">
        <f aca="false">SUMPRODUCT(($B$6:$B$32="PJ")*($J$6:$J$32="Despesa")*($H$6:$H$32&lt;=N$36)*($I$6:$I$32&gt;=N$36)*(($C$6:$C$32="Contratado")+($C$6:$C$32="Plano")*Premissas!$B$8)*$G$6:$G$32)</f>
        <v>27500</v>
      </c>
      <c r="O42" s="110" t="n">
        <f aca="false">SUMPRODUCT(($B$6:$B$32="PJ")*($J$6:$J$32="Despesa")*($H$6:$H$32&lt;=O$36)*($I$6:$I$32&gt;=O$36)*(($C$6:$C$32="Contratado")+($C$6:$C$32="Plano")*Premissas!$B$8)*$G$6:$G$32)</f>
        <v>27500</v>
      </c>
      <c r="P42" s="110" t="n">
        <f aca="false">SUMPRODUCT(($B$6:$B$32="PJ")*($J$6:$J$32="Despesa")*($H$6:$H$32&lt;=P$36)*($I$6:$I$32&gt;=P$36)*(($C$6:$C$32="Contratado")+($C$6:$C$32="Plano")*Premissas!$B$8)*$G$6:$G$32)</f>
        <v>27500</v>
      </c>
      <c r="Q42" s="110" t="n">
        <f aca="false">SUMPRODUCT(($B$6:$B$32="PJ")*($J$6:$J$32="Despesa")*($H$6:$H$32&lt;=Q$36)*($I$6:$I$32&gt;=Q$36)*(($C$6:$C$32="Contratado")+($C$6:$C$32="Plano")*Premissas!$B$8)*$G$6:$G$32)</f>
        <v>27500</v>
      </c>
      <c r="R42" s="110" t="n">
        <f aca="false">SUMPRODUCT(($B$6:$B$32="PJ")*($J$6:$J$32="Despesa")*($H$6:$H$32&lt;=R$36)*($I$6:$I$32&gt;=R$36)*(($C$6:$C$32="Contratado")+($C$6:$C$32="Plano")*Premissas!$B$8)*$G$6:$G$32)</f>
        <v>27500</v>
      </c>
      <c r="S42" s="110" t="n">
        <f aca="false">SUMPRODUCT(($B$6:$B$32="PJ")*($J$6:$J$32="Despesa")*($H$6:$H$32&lt;=S$36)*($I$6:$I$32&gt;=S$36)*(($C$6:$C$32="Contratado")+($C$6:$C$32="Plano")*Premissas!$B$8)*$G$6:$G$32)</f>
        <v>27500</v>
      </c>
      <c r="T42" s="110" t="n">
        <f aca="false">SUMPRODUCT(($B$6:$B$32="PJ")*($J$6:$J$32="Despesa")*($H$6:$H$32&lt;=T$36)*($I$6:$I$32&gt;=T$36)*(($C$6:$C$32="Contratado")+($C$6:$C$32="Plano")*Premissas!$B$8)*$G$6:$G$32)</f>
        <v>27500</v>
      </c>
      <c r="U42" s="110" t="n">
        <f aca="false">SUMPRODUCT(($B$6:$B$32="PJ")*($J$6:$J$32="Despesa")*($H$6:$H$32&lt;=U$36)*($I$6:$I$32&gt;=U$36)*(($C$6:$C$32="Contratado")+($C$6:$C$32="Plano")*Premissas!$B$8)*$G$6:$G$32)</f>
        <v>27500</v>
      </c>
      <c r="V42" s="110" t="n">
        <f aca="false">SUMPRODUCT(($B$6:$B$32="PJ")*($J$6:$J$32="Despesa")*($H$6:$H$32&lt;=V$36)*($I$6:$I$32&gt;=V$36)*(($C$6:$C$32="Contratado")+($C$6:$C$32="Plano")*Premissas!$B$8)*$G$6:$G$32)</f>
        <v>27500</v>
      </c>
      <c r="W42" s="110" t="n">
        <f aca="false">SUMPRODUCT(($B$6:$B$32="PJ")*($J$6:$J$32="Despesa")*($H$6:$H$32&lt;=W$36)*($I$6:$I$32&gt;=W$36)*(($C$6:$C$32="Contratado")+($C$6:$C$32="Plano")*Premissas!$B$8)*$G$6:$G$32)</f>
        <v>27500</v>
      </c>
      <c r="X42" s="110" t="n">
        <f aca="false">SUMPRODUCT(($B$6:$B$32="PJ")*($J$6:$J$32="Despesa")*($H$6:$H$32&lt;=X$36)*($I$6:$I$32&gt;=X$36)*(($C$6:$C$32="Contratado")+($C$6:$C$32="Plano")*Premissas!$B$8)*$G$6:$G$32)</f>
        <v>27500</v>
      </c>
      <c r="Y42" s="110" t="n">
        <f aca="false">SUMPRODUCT(($B$6:$B$32="PJ")*($J$6:$J$32="Despesa")*($H$6:$H$32&lt;=Y$36)*($I$6:$I$32&gt;=Y$36)*(($C$6:$C$32="Contratado")+($C$6:$C$32="Plano")*Premissas!$B$8)*$G$6:$G$32)</f>
        <v>27500</v>
      </c>
      <c r="Z42" s="110" t="n">
        <f aca="false">SUMPRODUCT(($B$6:$B$32="PJ")*($J$6:$J$32="Despesa")*($H$6:$H$32&lt;=Z$36)*($I$6:$I$32&gt;=Z$36)*(($C$6:$C$32="Contratado")+($C$6:$C$32="Plano")*Premissas!$B$8)*$G$6:$G$32)</f>
        <v>102500</v>
      </c>
      <c r="AA42" s="110" t="n">
        <f aca="false">SUMPRODUCT(($B$6:$B$32="PJ")*($J$6:$J$32="Despesa")*($H$6:$H$32&lt;=AA$36)*($I$6:$I$32&gt;=AA$36)*(($C$6:$C$32="Contratado")+($C$6:$C$32="Plano")*Premissas!$B$8)*$G$6:$G$32)</f>
        <v>102500</v>
      </c>
      <c r="AB42" s="110" t="n">
        <f aca="false">SUMPRODUCT(($B$6:$B$32="PJ")*($J$6:$J$32="Despesa")*($H$6:$H$32&lt;=AB$36)*($I$6:$I$32&gt;=AB$36)*(($C$6:$C$32="Contratado")+($C$6:$C$32="Plano")*Premissas!$B$8)*$G$6:$G$32)</f>
        <v>102500</v>
      </c>
      <c r="AC42" s="110" t="n">
        <f aca="false">SUMPRODUCT(($B$6:$B$32="PJ")*($J$6:$J$32="Despesa")*($H$6:$H$32&lt;=AC$36)*($I$6:$I$32&gt;=AC$36)*(($C$6:$C$32="Contratado")+($C$6:$C$32="Plano")*Premissas!$B$8)*$G$6:$G$32)</f>
        <v>102500</v>
      </c>
      <c r="AD42" s="110" t="n">
        <f aca="false">SUMPRODUCT(($B$6:$B$32="PJ")*($J$6:$J$32="Despesa")*($H$6:$H$32&lt;=AD$36)*($I$6:$I$32&gt;=AD$36)*(($C$6:$C$32="Contratado")+($C$6:$C$32="Plano")*Premissas!$B$8)*$G$6:$G$32)</f>
        <v>102500</v>
      </c>
      <c r="AE42" s="110" t="n">
        <f aca="false">SUMPRODUCT(($B$6:$B$32="PJ")*($J$6:$J$32="Despesa")*($H$6:$H$32&lt;=AE$36)*($I$6:$I$32&gt;=AE$36)*(($C$6:$C$32="Contratado")+($C$6:$C$32="Plano")*Premissas!$B$8)*$G$6:$G$32)</f>
        <v>102500</v>
      </c>
      <c r="AF42" s="110" t="n">
        <f aca="false">SUMPRODUCT(($B$6:$B$32="PJ")*($J$6:$J$32="Despesa")*($H$6:$H$32&lt;=AF$36)*($I$6:$I$32&gt;=AF$36)*(($C$6:$C$32="Contratado")+($C$6:$C$32="Plano")*Premissas!$B$8)*$G$6:$G$32)</f>
        <v>102500</v>
      </c>
      <c r="AG42" s="110" t="n">
        <f aca="false">SUMPRODUCT(($B$6:$B$32="PJ")*($J$6:$J$32="Despesa")*($H$6:$H$32&lt;=AG$36)*($I$6:$I$32&gt;=AG$36)*(($C$6:$C$32="Contratado")+($C$6:$C$32="Plano")*Premissas!$B$8)*$G$6:$G$32)</f>
        <v>102500</v>
      </c>
      <c r="AH42" s="110" t="n">
        <f aca="false">SUMPRODUCT(($B$6:$B$32="PJ")*($J$6:$J$32="Despesa")*($H$6:$H$32&lt;=AH$36)*($I$6:$I$32&gt;=AH$36)*(($C$6:$C$32="Contratado")+($C$6:$C$32="Plano")*Premissas!$B$8)*$G$6:$G$32)</f>
        <v>102500</v>
      </c>
      <c r="AI42" s="110" t="n">
        <f aca="false">SUMPRODUCT(($B$6:$B$32="PJ")*($J$6:$J$32="Despesa")*($H$6:$H$32&lt;=AI$36)*($I$6:$I$32&gt;=AI$36)*(($C$6:$C$32="Contratado")+($C$6:$C$32="Plano")*Premissas!$B$8)*$G$6:$G$32)</f>
        <v>102500</v>
      </c>
      <c r="AJ42" s="110" t="n">
        <f aca="false">SUMPRODUCT(($B$6:$B$32="PJ")*($J$6:$J$32="Despesa")*($H$6:$H$32&lt;=AJ$36)*($I$6:$I$32&gt;=AJ$36)*(($C$6:$C$32="Contratado")+($C$6:$C$32="Plano")*Premissas!$B$8)*$G$6:$G$32)</f>
        <v>102500</v>
      </c>
      <c r="AK42" s="110" t="n">
        <f aca="false">SUMPRODUCT(($B$6:$B$32="PJ")*($J$6:$J$32="Despesa")*($H$6:$H$32&lt;=AK$36)*($I$6:$I$32&gt;=AK$36)*(($C$6:$C$32="Contratado")+($C$6:$C$32="Plano")*Premissas!$B$8)*$G$6:$G$32)</f>
        <v>102500</v>
      </c>
      <c r="AL42" s="110" t="n">
        <f aca="false">SUMPRODUCT(($B$6:$B$32="PJ")*($J$6:$J$32="Despesa")*($H$6:$H$32&lt;=AL$36)*($I$6:$I$32&gt;=AL$36)*(($C$6:$C$32="Contratado")+($C$6:$C$32="Plano")*Premissas!$B$8)*$G$6:$G$32)</f>
        <v>221300</v>
      </c>
      <c r="AM42" s="110" t="n">
        <f aca="false">SUMPRODUCT(($B$6:$B$32="PJ")*($J$6:$J$32="Despesa")*($H$6:$H$32&lt;=AM$36)*($I$6:$I$32&gt;=AM$36)*(($C$6:$C$32="Contratado")+($C$6:$C$32="Plano")*Premissas!$B$8)*$G$6:$G$32)</f>
        <v>221300</v>
      </c>
      <c r="AN42" s="110" t="n">
        <f aca="false">SUMPRODUCT(($B$6:$B$32="PJ")*($J$6:$J$32="Despesa")*($H$6:$H$32&lt;=AN$36)*($I$6:$I$32&gt;=AN$36)*(($C$6:$C$32="Contratado")+($C$6:$C$32="Plano")*Premissas!$B$8)*$G$6:$G$32)</f>
        <v>221300</v>
      </c>
      <c r="AO42" s="110" t="n">
        <f aca="false">SUMPRODUCT(($B$6:$B$32="PJ")*($J$6:$J$32="Despesa")*($H$6:$H$32&lt;=AO$36)*($I$6:$I$32&gt;=AO$36)*(($C$6:$C$32="Contratado")+($C$6:$C$32="Plano")*Premissas!$B$8)*$G$6:$G$32)</f>
        <v>221300</v>
      </c>
      <c r="AP42" s="110" t="n">
        <f aca="false">SUMPRODUCT(($B$6:$B$32="PJ")*($J$6:$J$32="Despesa")*($H$6:$H$32&lt;=AP$36)*($I$6:$I$32&gt;=AP$36)*(($C$6:$C$32="Contratado")+($C$6:$C$32="Plano")*Premissas!$B$8)*$G$6:$G$32)</f>
        <v>221300</v>
      </c>
      <c r="AQ42" s="110" t="n">
        <f aca="false">SUMPRODUCT(($B$6:$B$32="PJ")*($J$6:$J$32="Despesa")*($H$6:$H$32&lt;=AQ$36)*($I$6:$I$32&gt;=AQ$36)*(($C$6:$C$32="Contratado")+($C$6:$C$32="Plano")*Premissas!$B$8)*$G$6:$G$32)</f>
        <v>221300</v>
      </c>
      <c r="AR42" s="110" t="n">
        <f aca="false">SUMPRODUCT(($B$6:$B$32="PJ")*($J$6:$J$32="Despesa")*($H$6:$H$32&lt;=AR$36)*($I$6:$I$32&gt;=AR$36)*(($C$6:$C$32="Contratado")+($C$6:$C$32="Plano")*Premissas!$B$8)*$G$6:$G$32)</f>
        <v>221300</v>
      </c>
      <c r="AS42" s="110" t="n">
        <f aca="false">SUMPRODUCT(($B$6:$B$32="PJ")*($J$6:$J$32="Despesa")*($H$6:$H$32&lt;=AS$36)*($I$6:$I$32&gt;=AS$36)*(($C$6:$C$32="Contratado")+($C$6:$C$32="Plano")*Premissas!$B$8)*$G$6:$G$32)</f>
        <v>221300</v>
      </c>
      <c r="AT42" s="110" t="n">
        <f aca="false">SUMPRODUCT(($B$6:$B$32="PJ")*($J$6:$J$32="Despesa")*($H$6:$H$32&lt;=AT$36)*($I$6:$I$32&gt;=AT$36)*(($C$6:$C$32="Contratado")+($C$6:$C$32="Plano")*Premissas!$B$8)*$G$6:$G$32)</f>
        <v>221300</v>
      </c>
      <c r="AU42" s="110" t="n">
        <f aca="false">SUMPRODUCT(($B$6:$B$32="PJ")*($J$6:$J$32="Despesa")*($H$6:$H$32&lt;=AU$36)*($I$6:$I$32&gt;=AU$36)*(($C$6:$C$32="Contratado")+($C$6:$C$32="Plano")*Premissas!$B$8)*$G$6:$G$32)</f>
        <v>221300</v>
      </c>
      <c r="AV42" s="110" t="n">
        <f aca="false">SUMPRODUCT(($B$6:$B$32="PJ")*($J$6:$J$32="Despesa")*($H$6:$H$32&lt;=AV$36)*($I$6:$I$32&gt;=AV$36)*(($C$6:$C$32="Contratado")+($C$6:$C$32="Plano")*Premissas!$B$8)*$G$6:$G$32)</f>
        <v>221300</v>
      </c>
      <c r="AW42" s="110" t="n">
        <f aca="false">SUMPRODUCT(($B$6:$B$32="PJ")*($J$6:$J$32="Despesa")*($H$6:$H$32&lt;=AW$36)*($I$6:$I$32&gt;=AW$36)*(($C$6:$C$32="Contratado")+($C$6:$C$32="Plano")*Premissas!$B$8)*$G$6:$G$32)</f>
        <v>221300</v>
      </c>
      <c r="AX42" s="110" t="n">
        <f aca="false">SUMPRODUCT(($B$6:$B$32="PJ")*($J$6:$J$32="Despesa")*($H$6:$H$32&lt;=AX$36)*($I$6:$I$32&gt;=AX$36)*(($C$6:$C$32="Contratado")+($C$6:$C$32="Plano")*Premissas!$B$8)*$G$6:$G$32)</f>
        <v>342300</v>
      </c>
      <c r="AY42" s="110" t="n">
        <f aca="false">SUMPRODUCT(($B$6:$B$32="PJ")*($J$6:$J$32="Despesa")*($H$6:$H$32&lt;=AY$36)*($I$6:$I$32&gt;=AY$36)*(($C$6:$C$32="Contratado")+($C$6:$C$32="Plano")*Premissas!$B$8)*$G$6:$G$32)</f>
        <v>342300</v>
      </c>
      <c r="AZ42" s="110" t="n">
        <f aca="false">SUMPRODUCT(($B$6:$B$32="PJ")*($J$6:$J$32="Despesa")*($H$6:$H$32&lt;=AZ$36)*($I$6:$I$32&gt;=AZ$36)*(($C$6:$C$32="Contratado")+($C$6:$C$32="Plano")*Premissas!$B$8)*$G$6:$G$32)</f>
        <v>342300</v>
      </c>
      <c r="BA42" s="110" t="n">
        <f aca="false">SUMPRODUCT(($B$6:$B$32="PJ")*($J$6:$J$32="Despesa")*($H$6:$H$32&lt;=BA$36)*($I$6:$I$32&gt;=BA$36)*(($C$6:$C$32="Contratado")+($C$6:$C$32="Plano")*Premissas!$B$8)*$G$6:$G$32)</f>
        <v>342300</v>
      </c>
      <c r="BB42" s="110" t="n">
        <f aca="false">SUMPRODUCT(($B$6:$B$32="PJ")*($J$6:$J$32="Despesa")*($H$6:$H$32&lt;=BB$36)*($I$6:$I$32&gt;=BB$36)*(($C$6:$C$32="Contratado")+($C$6:$C$32="Plano")*Premissas!$B$8)*$G$6:$G$32)</f>
        <v>342300</v>
      </c>
      <c r="BC42" s="110" t="n">
        <f aca="false">SUMPRODUCT(($B$6:$B$32="PJ")*($J$6:$J$32="Despesa")*($H$6:$H$32&lt;=BC$36)*($I$6:$I$32&gt;=BC$36)*(($C$6:$C$32="Contratado")+($C$6:$C$32="Plano")*Premissas!$B$8)*$G$6:$G$32)</f>
        <v>342300</v>
      </c>
      <c r="BD42" s="110" t="n">
        <f aca="false">SUMPRODUCT(($B$6:$B$32="PJ")*($J$6:$J$32="Despesa")*($H$6:$H$32&lt;=BD$36)*($I$6:$I$32&gt;=BD$36)*(($C$6:$C$32="Contratado")+($C$6:$C$32="Plano")*Premissas!$B$8)*$G$6:$G$32)</f>
        <v>342300</v>
      </c>
      <c r="BE42" s="110" t="n">
        <f aca="false">SUMPRODUCT(($B$6:$B$32="PJ")*($J$6:$J$32="Despesa")*($H$6:$H$32&lt;=BE$36)*($I$6:$I$32&gt;=BE$36)*(($C$6:$C$32="Contratado")+($C$6:$C$32="Plano")*Premissas!$B$8)*$G$6:$G$32)</f>
        <v>342300</v>
      </c>
      <c r="BF42" s="110" t="n">
        <f aca="false">SUMPRODUCT(($B$6:$B$32="PJ")*($J$6:$J$32="Despesa")*($H$6:$H$32&lt;=BF$36)*($I$6:$I$32&gt;=BF$36)*(($C$6:$C$32="Contratado")+($C$6:$C$32="Plano")*Premissas!$B$8)*$G$6:$G$32)</f>
        <v>342300</v>
      </c>
      <c r="BG42" s="110" t="n">
        <f aca="false">SUMPRODUCT(($B$6:$B$32="PJ")*($J$6:$J$32="Despesa")*($H$6:$H$32&lt;=BG$36)*($I$6:$I$32&gt;=BG$36)*(($C$6:$C$32="Contratado")+($C$6:$C$32="Plano")*Premissas!$B$8)*$G$6:$G$32)</f>
        <v>342300</v>
      </c>
      <c r="BH42" s="110" t="n">
        <f aca="false">SUMPRODUCT(($B$6:$B$32="PJ")*($J$6:$J$32="Despesa")*($H$6:$H$32&lt;=BH$36)*($I$6:$I$32&gt;=BH$36)*(($C$6:$C$32="Contratado")+($C$6:$C$32="Plano")*Premissas!$B$8)*$G$6:$G$32)</f>
        <v>342300</v>
      </c>
      <c r="BI42" s="110" t="n">
        <f aca="false">SUMPRODUCT(($B$6:$B$32="PJ")*($J$6:$J$32="Despesa")*($H$6:$H$32&lt;=BI$36)*($I$6:$I$32&gt;=BI$36)*(($C$6:$C$32="Contratado")+($C$6:$C$32="Plano")*Premissas!$B$8)*$G$6:$G$32)</f>
        <v>342300</v>
      </c>
      <c r="BJ42" s="111" t="n">
        <f aca="false">SUM(B42:BI42)</f>
        <v>8323200</v>
      </c>
    </row>
    <row r="43" customFormat="false" ht="15" hidden="false" customHeight="false" outlineLevel="0" collapsed="false">
      <c r="A43" s="27" t="s">
        <v>335</v>
      </c>
      <c r="B43" s="110" t="n">
        <f aca="false">SUMPRODUCT(($B$6:$B$32="CLT")*($J$6:$J$32="Despesa")*($H$6:$H$32&lt;=B$36)*($I$6:$I$32&gt;=B$36)*(($C$6:$C$32="Contratado")+($C$6:$C$32="Plano")*Premissas!$B$8)*$G$6:$G$32)</f>
        <v>0</v>
      </c>
      <c r="C43" s="110" t="n">
        <f aca="false">SUMPRODUCT(($B$6:$B$32="CLT")*($J$6:$J$32="Despesa")*($H$6:$H$32&lt;=C$36)*($I$6:$I$32&gt;=C$36)*(($C$6:$C$32="Contratado")+($C$6:$C$32="Plano")*Premissas!$B$8)*$G$6:$G$32)</f>
        <v>0</v>
      </c>
      <c r="D43" s="110" t="n">
        <f aca="false">SUMPRODUCT(($B$6:$B$32="CLT")*($J$6:$J$32="Despesa")*($H$6:$H$32&lt;=D$36)*($I$6:$I$32&gt;=D$36)*(($C$6:$C$32="Contratado")+($C$6:$C$32="Plano")*Premissas!$B$8)*$G$6:$G$32)</f>
        <v>0</v>
      </c>
      <c r="E43" s="110" t="n">
        <f aca="false">SUMPRODUCT(($B$6:$B$32="CLT")*($J$6:$J$32="Despesa")*($H$6:$H$32&lt;=E$36)*($I$6:$I$32&gt;=E$36)*(($C$6:$C$32="Contratado")+($C$6:$C$32="Plano")*Premissas!$B$8)*$G$6:$G$32)</f>
        <v>0</v>
      </c>
      <c r="F43" s="110" t="n">
        <f aca="false">SUMPRODUCT(($B$6:$B$32="CLT")*($J$6:$J$32="Despesa")*($H$6:$H$32&lt;=F$36)*($I$6:$I$32&gt;=F$36)*(($C$6:$C$32="Contratado")+($C$6:$C$32="Plano")*Premissas!$B$8)*$G$6:$G$32)</f>
        <v>0</v>
      </c>
      <c r="G43" s="110" t="n">
        <f aca="false">SUMPRODUCT(($B$6:$B$32="CLT")*($J$6:$J$32="Despesa")*($H$6:$H$32&lt;=G$36)*($I$6:$I$32&gt;=G$36)*(($C$6:$C$32="Contratado")+($C$6:$C$32="Plano")*Premissas!$B$8)*$G$6:$G$32)</f>
        <v>0</v>
      </c>
      <c r="H43" s="110" t="n">
        <f aca="false">SUMPRODUCT(($B$6:$B$32="CLT")*($J$6:$J$32="Despesa")*($H$6:$H$32&lt;=H$36)*($I$6:$I$32&gt;=H$36)*(($C$6:$C$32="Contratado")+($C$6:$C$32="Plano")*Premissas!$B$8)*$G$6:$G$32)</f>
        <v>0</v>
      </c>
      <c r="I43" s="110" t="n">
        <f aca="false">SUMPRODUCT(($B$6:$B$32="CLT")*($J$6:$J$32="Despesa")*($H$6:$H$32&lt;=I$36)*($I$6:$I$32&gt;=I$36)*(($C$6:$C$32="Contratado")+($C$6:$C$32="Plano")*Premissas!$B$8)*$G$6:$G$32)</f>
        <v>0</v>
      </c>
      <c r="J43" s="110" t="n">
        <f aca="false">SUMPRODUCT(($B$6:$B$32="CLT")*($J$6:$J$32="Despesa")*($H$6:$H$32&lt;=J$36)*($I$6:$I$32&gt;=J$36)*(($C$6:$C$32="Contratado")+($C$6:$C$32="Plano")*Premissas!$B$8)*$G$6:$G$32)</f>
        <v>0</v>
      </c>
      <c r="K43" s="110" t="n">
        <f aca="false">SUMPRODUCT(($B$6:$B$32="CLT")*($J$6:$J$32="Despesa")*($H$6:$H$32&lt;=K$36)*($I$6:$I$32&gt;=K$36)*(($C$6:$C$32="Contratado")+($C$6:$C$32="Plano")*Premissas!$B$8)*$G$6:$G$32)</f>
        <v>0</v>
      </c>
      <c r="L43" s="110" t="n">
        <f aca="false">SUMPRODUCT(($B$6:$B$32="CLT")*($J$6:$J$32="Despesa")*($H$6:$H$32&lt;=L$36)*($I$6:$I$32&gt;=L$36)*(($C$6:$C$32="Contratado")+($C$6:$C$32="Plano")*Premissas!$B$8)*$G$6:$G$32)</f>
        <v>0</v>
      </c>
      <c r="M43" s="110" t="n">
        <f aca="false">SUMPRODUCT(($B$6:$B$32="CLT")*($J$6:$J$32="Despesa")*($H$6:$H$32&lt;=M$36)*($I$6:$I$32&gt;=M$36)*(($C$6:$C$32="Contratado")+($C$6:$C$32="Plano")*Premissas!$B$8)*$G$6:$G$32)</f>
        <v>0</v>
      </c>
      <c r="N43" s="110" t="n">
        <f aca="false">SUMPRODUCT(($B$6:$B$32="CLT")*($J$6:$J$32="Despesa")*($H$6:$H$32&lt;=N$36)*($I$6:$I$32&gt;=N$36)*(($C$6:$C$32="Contratado")+($C$6:$C$32="Plano")*Premissas!$B$8)*$G$6:$G$32)</f>
        <v>0</v>
      </c>
      <c r="O43" s="110" t="n">
        <f aca="false">SUMPRODUCT(($B$6:$B$32="CLT")*($J$6:$J$32="Despesa")*($H$6:$H$32&lt;=O$36)*($I$6:$I$32&gt;=O$36)*(($C$6:$C$32="Contratado")+($C$6:$C$32="Plano")*Premissas!$B$8)*$G$6:$G$32)</f>
        <v>0</v>
      </c>
      <c r="P43" s="110" t="n">
        <f aca="false">SUMPRODUCT(($B$6:$B$32="CLT")*($J$6:$J$32="Despesa")*($H$6:$H$32&lt;=P$36)*($I$6:$I$32&gt;=P$36)*(($C$6:$C$32="Contratado")+($C$6:$C$32="Plano")*Premissas!$B$8)*$G$6:$G$32)</f>
        <v>0</v>
      </c>
      <c r="Q43" s="110" t="n">
        <f aca="false">SUMPRODUCT(($B$6:$B$32="CLT")*($J$6:$J$32="Despesa")*($H$6:$H$32&lt;=Q$36)*($I$6:$I$32&gt;=Q$36)*(($C$6:$C$32="Contratado")+($C$6:$C$32="Plano")*Premissas!$B$8)*$G$6:$G$32)</f>
        <v>0</v>
      </c>
      <c r="R43" s="110" t="n">
        <f aca="false">SUMPRODUCT(($B$6:$B$32="CLT")*($J$6:$J$32="Despesa")*($H$6:$H$32&lt;=R$36)*($I$6:$I$32&gt;=R$36)*(($C$6:$C$32="Contratado")+($C$6:$C$32="Plano")*Premissas!$B$8)*$G$6:$G$32)</f>
        <v>0</v>
      </c>
      <c r="S43" s="110" t="n">
        <f aca="false">SUMPRODUCT(($B$6:$B$32="CLT")*($J$6:$J$32="Despesa")*($H$6:$H$32&lt;=S$36)*($I$6:$I$32&gt;=S$36)*(($C$6:$C$32="Contratado")+($C$6:$C$32="Plano")*Premissas!$B$8)*$G$6:$G$32)</f>
        <v>0</v>
      </c>
      <c r="T43" s="110" t="n">
        <f aca="false">SUMPRODUCT(($B$6:$B$32="CLT")*($J$6:$J$32="Despesa")*($H$6:$H$32&lt;=T$36)*($I$6:$I$32&gt;=T$36)*(($C$6:$C$32="Contratado")+($C$6:$C$32="Plano")*Premissas!$B$8)*$G$6:$G$32)</f>
        <v>0</v>
      </c>
      <c r="U43" s="110" t="n">
        <f aca="false">SUMPRODUCT(($B$6:$B$32="CLT")*($J$6:$J$32="Despesa")*($H$6:$H$32&lt;=U$36)*($I$6:$I$32&gt;=U$36)*(($C$6:$C$32="Contratado")+($C$6:$C$32="Plano")*Premissas!$B$8)*$G$6:$G$32)</f>
        <v>0</v>
      </c>
      <c r="V43" s="110" t="n">
        <f aca="false">SUMPRODUCT(($B$6:$B$32="CLT")*($J$6:$J$32="Despesa")*($H$6:$H$32&lt;=V$36)*($I$6:$I$32&gt;=V$36)*(($C$6:$C$32="Contratado")+($C$6:$C$32="Plano")*Premissas!$B$8)*$G$6:$G$32)</f>
        <v>0</v>
      </c>
      <c r="W43" s="110" t="n">
        <f aca="false">SUMPRODUCT(($B$6:$B$32="CLT")*($J$6:$J$32="Despesa")*($H$6:$H$32&lt;=W$36)*($I$6:$I$32&gt;=W$36)*(($C$6:$C$32="Contratado")+($C$6:$C$32="Plano")*Premissas!$B$8)*$G$6:$G$32)</f>
        <v>0</v>
      </c>
      <c r="X43" s="110" t="n">
        <f aca="false">SUMPRODUCT(($B$6:$B$32="CLT")*($J$6:$J$32="Despesa")*($H$6:$H$32&lt;=X$36)*($I$6:$I$32&gt;=X$36)*(($C$6:$C$32="Contratado")+($C$6:$C$32="Plano")*Premissas!$B$8)*$G$6:$G$32)</f>
        <v>0</v>
      </c>
      <c r="Y43" s="110" t="n">
        <f aca="false">SUMPRODUCT(($B$6:$B$32="CLT")*($J$6:$J$32="Despesa")*($H$6:$H$32&lt;=Y$36)*($I$6:$I$32&gt;=Y$36)*(($C$6:$C$32="Contratado")+($C$6:$C$32="Plano")*Premissas!$B$8)*$G$6:$G$32)</f>
        <v>0</v>
      </c>
      <c r="Z43" s="110" t="n">
        <f aca="false">SUMPRODUCT(($B$6:$B$32="CLT")*($J$6:$J$32="Despesa")*($H$6:$H$32&lt;=Z$36)*($I$6:$I$32&gt;=Z$36)*(($C$6:$C$32="Contratado")+($C$6:$C$32="Plano")*Premissas!$B$8)*$G$6:$G$32)</f>
        <v>0</v>
      </c>
      <c r="AA43" s="110" t="n">
        <f aca="false">SUMPRODUCT(($B$6:$B$32="CLT")*($J$6:$J$32="Despesa")*($H$6:$H$32&lt;=AA$36)*($I$6:$I$32&gt;=AA$36)*(($C$6:$C$32="Contratado")+($C$6:$C$32="Plano")*Premissas!$B$8)*$G$6:$G$32)</f>
        <v>0</v>
      </c>
      <c r="AB43" s="110" t="n">
        <f aca="false">SUMPRODUCT(($B$6:$B$32="CLT")*($J$6:$J$32="Despesa")*($H$6:$H$32&lt;=AB$36)*($I$6:$I$32&gt;=AB$36)*(($C$6:$C$32="Contratado")+($C$6:$C$32="Plano")*Premissas!$B$8)*$G$6:$G$32)</f>
        <v>0</v>
      </c>
      <c r="AC43" s="110" t="n">
        <f aca="false">SUMPRODUCT(($B$6:$B$32="CLT")*($J$6:$J$32="Despesa")*($H$6:$H$32&lt;=AC$36)*($I$6:$I$32&gt;=AC$36)*(($C$6:$C$32="Contratado")+($C$6:$C$32="Plano")*Premissas!$B$8)*$G$6:$G$32)</f>
        <v>0</v>
      </c>
      <c r="AD43" s="110" t="n">
        <f aca="false">SUMPRODUCT(($B$6:$B$32="CLT")*($J$6:$J$32="Despesa")*($H$6:$H$32&lt;=AD$36)*($I$6:$I$32&gt;=AD$36)*(($C$6:$C$32="Contratado")+($C$6:$C$32="Plano")*Premissas!$B$8)*$G$6:$G$32)</f>
        <v>0</v>
      </c>
      <c r="AE43" s="110" t="n">
        <f aca="false">SUMPRODUCT(($B$6:$B$32="CLT")*($J$6:$J$32="Despesa")*($H$6:$H$32&lt;=AE$36)*($I$6:$I$32&gt;=AE$36)*(($C$6:$C$32="Contratado")+($C$6:$C$32="Plano")*Premissas!$B$8)*$G$6:$G$32)</f>
        <v>0</v>
      </c>
      <c r="AF43" s="110" t="n">
        <f aca="false">SUMPRODUCT(($B$6:$B$32="CLT")*($J$6:$J$32="Despesa")*($H$6:$H$32&lt;=AF$36)*($I$6:$I$32&gt;=AF$36)*(($C$6:$C$32="Contratado")+($C$6:$C$32="Plano")*Premissas!$B$8)*$G$6:$G$32)</f>
        <v>0</v>
      </c>
      <c r="AG43" s="110" t="n">
        <f aca="false">SUMPRODUCT(($B$6:$B$32="CLT")*($J$6:$J$32="Despesa")*($H$6:$H$32&lt;=AG$36)*($I$6:$I$32&gt;=AG$36)*(($C$6:$C$32="Contratado")+($C$6:$C$32="Plano")*Premissas!$B$8)*$G$6:$G$32)</f>
        <v>0</v>
      </c>
      <c r="AH43" s="110" t="n">
        <f aca="false">SUMPRODUCT(($B$6:$B$32="CLT")*($J$6:$J$32="Despesa")*($H$6:$H$32&lt;=AH$36)*($I$6:$I$32&gt;=AH$36)*(($C$6:$C$32="Contratado")+($C$6:$C$32="Plano")*Premissas!$B$8)*$G$6:$G$32)</f>
        <v>0</v>
      </c>
      <c r="AI43" s="110" t="n">
        <f aca="false">SUMPRODUCT(($B$6:$B$32="CLT")*($J$6:$J$32="Despesa")*($H$6:$H$32&lt;=AI$36)*($I$6:$I$32&gt;=AI$36)*(($C$6:$C$32="Contratado")+($C$6:$C$32="Plano")*Premissas!$B$8)*$G$6:$G$32)</f>
        <v>0</v>
      </c>
      <c r="AJ43" s="110" t="n">
        <f aca="false">SUMPRODUCT(($B$6:$B$32="CLT")*($J$6:$J$32="Despesa")*($H$6:$H$32&lt;=AJ$36)*($I$6:$I$32&gt;=AJ$36)*(($C$6:$C$32="Contratado")+($C$6:$C$32="Plano")*Premissas!$B$8)*$G$6:$G$32)</f>
        <v>0</v>
      </c>
      <c r="AK43" s="110" t="n">
        <f aca="false">SUMPRODUCT(($B$6:$B$32="CLT")*($J$6:$J$32="Despesa")*($H$6:$H$32&lt;=AK$36)*($I$6:$I$32&gt;=AK$36)*(($C$6:$C$32="Contratado")+($C$6:$C$32="Plano")*Premissas!$B$8)*$G$6:$G$32)</f>
        <v>0</v>
      </c>
      <c r="AL43" s="110" t="n">
        <f aca="false">SUMPRODUCT(($B$6:$B$32="CLT")*($J$6:$J$32="Despesa")*($H$6:$H$32&lt;=AL$36)*($I$6:$I$32&gt;=AL$36)*(($C$6:$C$32="Contratado")+($C$6:$C$32="Plano")*Premissas!$B$8)*$G$6:$G$32)</f>
        <v>0</v>
      </c>
      <c r="AM43" s="110" t="n">
        <f aca="false">SUMPRODUCT(($B$6:$B$32="CLT")*($J$6:$J$32="Despesa")*($H$6:$H$32&lt;=AM$36)*($I$6:$I$32&gt;=AM$36)*(($C$6:$C$32="Contratado")+($C$6:$C$32="Plano")*Premissas!$B$8)*$G$6:$G$32)</f>
        <v>0</v>
      </c>
      <c r="AN43" s="110" t="n">
        <f aca="false">SUMPRODUCT(($B$6:$B$32="CLT")*($J$6:$J$32="Despesa")*($H$6:$H$32&lt;=AN$36)*($I$6:$I$32&gt;=AN$36)*(($C$6:$C$32="Contratado")+($C$6:$C$32="Plano")*Premissas!$B$8)*$G$6:$G$32)</f>
        <v>0</v>
      </c>
      <c r="AO43" s="110" t="n">
        <f aca="false">SUMPRODUCT(($B$6:$B$32="CLT")*($J$6:$J$32="Despesa")*($H$6:$H$32&lt;=AO$36)*($I$6:$I$32&gt;=AO$36)*(($C$6:$C$32="Contratado")+($C$6:$C$32="Plano")*Premissas!$B$8)*$G$6:$G$32)</f>
        <v>0</v>
      </c>
      <c r="AP43" s="110" t="n">
        <f aca="false">SUMPRODUCT(($B$6:$B$32="CLT")*($J$6:$J$32="Despesa")*($H$6:$H$32&lt;=AP$36)*($I$6:$I$32&gt;=AP$36)*(($C$6:$C$32="Contratado")+($C$6:$C$32="Plano")*Premissas!$B$8)*$G$6:$G$32)</f>
        <v>0</v>
      </c>
      <c r="AQ43" s="110" t="n">
        <f aca="false">SUMPRODUCT(($B$6:$B$32="CLT")*($J$6:$J$32="Despesa")*($H$6:$H$32&lt;=AQ$36)*($I$6:$I$32&gt;=AQ$36)*(($C$6:$C$32="Contratado")+($C$6:$C$32="Plano")*Premissas!$B$8)*$G$6:$G$32)</f>
        <v>0</v>
      </c>
      <c r="AR43" s="110" t="n">
        <f aca="false">SUMPRODUCT(($B$6:$B$32="CLT")*($J$6:$J$32="Despesa")*($H$6:$H$32&lt;=AR$36)*($I$6:$I$32&gt;=AR$36)*(($C$6:$C$32="Contratado")+($C$6:$C$32="Plano")*Premissas!$B$8)*$G$6:$G$32)</f>
        <v>0</v>
      </c>
      <c r="AS43" s="110" t="n">
        <f aca="false">SUMPRODUCT(($B$6:$B$32="CLT")*($J$6:$J$32="Despesa")*($H$6:$H$32&lt;=AS$36)*($I$6:$I$32&gt;=AS$36)*(($C$6:$C$32="Contratado")+($C$6:$C$32="Plano")*Premissas!$B$8)*$G$6:$G$32)</f>
        <v>0</v>
      </c>
      <c r="AT43" s="110" t="n">
        <f aca="false">SUMPRODUCT(($B$6:$B$32="CLT")*($J$6:$J$32="Despesa")*($H$6:$H$32&lt;=AT$36)*($I$6:$I$32&gt;=AT$36)*(($C$6:$C$32="Contratado")+($C$6:$C$32="Plano")*Premissas!$B$8)*$G$6:$G$32)</f>
        <v>0</v>
      </c>
      <c r="AU43" s="110" t="n">
        <f aca="false">SUMPRODUCT(($B$6:$B$32="CLT")*($J$6:$J$32="Despesa")*($H$6:$H$32&lt;=AU$36)*($I$6:$I$32&gt;=AU$36)*(($C$6:$C$32="Contratado")+($C$6:$C$32="Plano")*Premissas!$B$8)*$G$6:$G$32)</f>
        <v>0</v>
      </c>
      <c r="AV43" s="110" t="n">
        <f aca="false">SUMPRODUCT(($B$6:$B$32="CLT")*($J$6:$J$32="Despesa")*($H$6:$H$32&lt;=AV$36)*($I$6:$I$32&gt;=AV$36)*(($C$6:$C$32="Contratado")+($C$6:$C$32="Plano")*Premissas!$B$8)*$G$6:$G$32)</f>
        <v>0</v>
      </c>
      <c r="AW43" s="110" t="n">
        <f aca="false">SUMPRODUCT(($B$6:$B$32="CLT")*($J$6:$J$32="Despesa")*($H$6:$H$32&lt;=AW$36)*($I$6:$I$32&gt;=AW$36)*(($C$6:$C$32="Contratado")+($C$6:$C$32="Plano")*Premissas!$B$8)*$G$6:$G$32)</f>
        <v>0</v>
      </c>
      <c r="AX43" s="110" t="n">
        <f aca="false">SUMPRODUCT(($B$6:$B$32="CLT")*($J$6:$J$32="Despesa")*($H$6:$H$32&lt;=AX$36)*($I$6:$I$32&gt;=AX$36)*(($C$6:$C$32="Contratado")+($C$6:$C$32="Plano")*Premissas!$B$8)*$G$6:$G$32)</f>
        <v>0</v>
      </c>
      <c r="AY43" s="110" t="n">
        <f aca="false">SUMPRODUCT(($B$6:$B$32="CLT")*($J$6:$J$32="Despesa")*($H$6:$H$32&lt;=AY$36)*($I$6:$I$32&gt;=AY$36)*(($C$6:$C$32="Contratado")+($C$6:$C$32="Plano")*Premissas!$B$8)*$G$6:$G$32)</f>
        <v>0</v>
      </c>
      <c r="AZ43" s="110" t="n">
        <f aca="false">SUMPRODUCT(($B$6:$B$32="CLT")*($J$6:$J$32="Despesa")*($H$6:$H$32&lt;=AZ$36)*($I$6:$I$32&gt;=AZ$36)*(($C$6:$C$32="Contratado")+($C$6:$C$32="Plano")*Premissas!$B$8)*$G$6:$G$32)</f>
        <v>0</v>
      </c>
      <c r="BA43" s="110" t="n">
        <f aca="false">SUMPRODUCT(($B$6:$B$32="CLT")*($J$6:$J$32="Despesa")*($H$6:$H$32&lt;=BA$36)*($I$6:$I$32&gt;=BA$36)*(($C$6:$C$32="Contratado")+($C$6:$C$32="Plano")*Premissas!$B$8)*$G$6:$G$32)</f>
        <v>0</v>
      </c>
      <c r="BB43" s="110" t="n">
        <f aca="false">SUMPRODUCT(($B$6:$B$32="CLT")*($J$6:$J$32="Despesa")*($H$6:$H$32&lt;=BB$36)*($I$6:$I$32&gt;=BB$36)*(($C$6:$C$32="Contratado")+($C$6:$C$32="Plano")*Premissas!$B$8)*$G$6:$G$32)</f>
        <v>0</v>
      </c>
      <c r="BC43" s="110" t="n">
        <f aca="false">SUMPRODUCT(($B$6:$B$32="CLT")*($J$6:$J$32="Despesa")*($H$6:$H$32&lt;=BC$36)*($I$6:$I$32&gt;=BC$36)*(($C$6:$C$32="Contratado")+($C$6:$C$32="Plano")*Premissas!$B$8)*$G$6:$G$32)</f>
        <v>0</v>
      </c>
      <c r="BD43" s="110" t="n">
        <f aca="false">SUMPRODUCT(($B$6:$B$32="CLT")*($J$6:$J$32="Despesa")*($H$6:$H$32&lt;=BD$36)*($I$6:$I$32&gt;=BD$36)*(($C$6:$C$32="Contratado")+($C$6:$C$32="Plano")*Premissas!$B$8)*$G$6:$G$32)</f>
        <v>0</v>
      </c>
      <c r="BE43" s="110" t="n">
        <f aca="false">SUMPRODUCT(($B$6:$B$32="CLT")*($J$6:$J$32="Despesa")*($H$6:$H$32&lt;=BE$36)*($I$6:$I$32&gt;=BE$36)*(($C$6:$C$32="Contratado")+($C$6:$C$32="Plano")*Premissas!$B$8)*$G$6:$G$32)</f>
        <v>0</v>
      </c>
      <c r="BF43" s="110" t="n">
        <f aca="false">SUMPRODUCT(($B$6:$B$32="CLT")*($J$6:$J$32="Despesa")*($H$6:$H$32&lt;=BF$36)*($I$6:$I$32&gt;=BF$36)*(($C$6:$C$32="Contratado")+($C$6:$C$32="Plano")*Premissas!$B$8)*$G$6:$G$32)</f>
        <v>0</v>
      </c>
      <c r="BG43" s="110" t="n">
        <f aca="false">SUMPRODUCT(($B$6:$B$32="CLT")*($J$6:$J$32="Despesa")*($H$6:$H$32&lt;=BG$36)*($I$6:$I$32&gt;=BG$36)*(($C$6:$C$32="Contratado")+($C$6:$C$32="Plano")*Premissas!$B$8)*$G$6:$G$32)</f>
        <v>0</v>
      </c>
      <c r="BH43" s="110" t="n">
        <f aca="false">SUMPRODUCT(($B$6:$B$32="CLT")*($J$6:$J$32="Despesa")*($H$6:$H$32&lt;=BH$36)*($I$6:$I$32&gt;=BH$36)*(($C$6:$C$32="Contratado")+($C$6:$C$32="Plano")*Premissas!$B$8)*$G$6:$G$32)</f>
        <v>0</v>
      </c>
      <c r="BI43" s="110" t="n">
        <f aca="false">SUMPRODUCT(($B$6:$B$32="CLT")*($J$6:$J$32="Despesa")*($H$6:$H$32&lt;=BI$36)*($I$6:$I$32&gt;=BI$36)*(($C$6:$C$32="Contratado")+($C$6:$C$32="Plano")*Premissas!$B$8)*$G$6:$G$32)</f>
        <v>0</v>
      </c>
      <c r="BJ43" s="111" t="n">
        <f aca="false">SUM(B43:BI43)</f>
        <v>0</v>
      </c>
    </row>
    <row r="44" customFormat="false" ht="15" hidden="false" customHeight="false" outlineLevel="0" collapsed="false">
      <c r="A44" s="27" t="s">
        <v>336</v>
      </c>
      <c r="B44" s="110" t="n">
        <f aca="false">SUMPRODUCT(($B$6:$B$32="Sócio")*($J$6:$J$32="Despesa")*($H$6:$H$32&lt;=B$36)*($I$6:$I$32&gt;=B$36)*(($C$6:$C$32="Contratado")+($C$6:$C$32="Plano")*Premissas!$B$8)*$G$6:$G$32)</f>
        <v>0</v>
      </c>
      <c r="C44" s="110" t="n">
        <f aca="false">SUMPRODUCT(($B$6:$B$32="Sócio")*($J$6:$J$32="Despesa")*($H$6:$H$32&lt;=C$36)*($I$6:$I$32&gt;=C$36)*(($C$6:$C$32="Contratado")+($C$6:$C$32="Plano")*Premissas!$B$8)*$G$6:$G$32)</f>
        <v>0</v>
      </c>
      <c r="D44" s="110" t="n">
        <f aca="false">SUMPRODUCT(($B$6:$B$32="Sócio")*($J$6:$J$32="Despesa")*($H$6:$H$32&lt;=D$36)*($I$6:$I$32&gt;=D$36)*(($C$6:$C$32="Contratado")+($C$6:$C$32="Plano")*Premissas!$B$8)*$G$6:$G$32)</f>
        <v>0</v>
      </c>
      <c r="E44" s="110" t="n">
        <f aca="false">SUMPRODUCT(($B$6:$B$32="Sócio")*($J$6:$J$32="Despesa")*($H$6:$H$32&lt;=E$36)*($I$6:$I$32&gt;=E$36)*(($C$6:$C$32="Contratado")+($C$6:$C$32="Plano")*Premissas!$B$8)*$G$6:$G$32)</f>
        <v>0</v>
      </c>
      <c r="F44" s="110" t="n">
        <f aca="false">SUMPRODUCT(($B$6:$B$32="Sócio")*($J$6:$J$32="Despesa")*($H$6:$H$32&lt;=F$36)*($I$6:$I$32&gt;=F$36)*(($C$6:$C$32="Contratado")+($C$6:$C$32="Plano")*Premissas!$B$8)*$G$6:$G$32)</f>
        <v>0</v>
      </c>
      <c r="G44" s="110" t="n">
        <f aca="false">SUMPRODUCT(($B$6:$B$32="Sócio")*($J$6:$J$32="Despesa")*($H$6:$H$32&lt;=G$36)*($I$6:$I$32&gt;=G$36)*(($C$6:$C$32="Contratado")+($C$6:$C$32="Plano")*Premissas!$B$8)*$G$6:$G$32)</f>
        <v>0</v>
      </c>
      <c r="H44" s="110" t="n">
        <f aca="false">SUMPRODUCT(($B$6:$B$32="Sócio")*($J$6:$J$32="Despesa")*($H$6:$H$32&lt;=H$36)*($I$6:$I$32&gt;=H$36)*(($C$6:$C$32="Contratado")+($C$6:$C$32="Plano")*Premissas!$B$8)*$G$6:$G$32)</f>
        <v>0</v>
      </c>
      <c r="I44" s="110" t="n">
        <f aca="false">SUMPRODUCT(($B$6:$B$32="Sócio")*($J$6:$J$32="Despesa")*($H$6:$H$32&lt;=I$36)*($I$6:$I$32&gt;=I$36)*(($C$6:$C$32="Contratado")+($C$6:$C$32="Plano")*Premissas!$B$8)*$G$6:$G$32)</f>
        <v>0</v>
      </c>
      <c r="J44" s="110" t="n">
        <f aca="false">SUMPRODUCT(($B$6:$B$32="Sócio")*($J$6:$J$32="Despesa")*($H$6:$H$32&lt;=J$36)*($I$6:$I$32&gt;=J$36)*(($C$6:$C$32="Contratado")+($C$6:$C$32="Plano")*Premissas!$B$8)*$G$6:$G$32)</f>
        <v>0</v>
      </c>
      <c r="K44" s="110" t="n">
        <f aca="false">SUMPRODUCT(($B$6:$B$32="Sócio")*($J$6:$J$32="Despesa")*($H$6:$H$32&lt;=K$36)*($I$6:$I$32&gt;=K$36)*(($C$6:$C$32="Contratado")+($C$6:$C$32="Plano")*Premissas!$B$8)*$G$6:$G$32)</f>
        <v>0</v>
      </c>
      <c r="L44" s="110" t="n">
        <f aca="false">SUMPRODUCT(($B$6:$B$32="Sócio")*($J$6:$J$32="Despesa")*($H$6:$H$32&lt;=L$36)*($I$6:$I$32&gt;=L$36)*(($C$6:$C$32="Contratado")+($C$6:$C$32="Plano")*Premissas!$B$8)*$G$6:$G$32)</f>
        <v>0</v>
      </c>
      <c r="M44" s="110" t="n">
        <f aca="false">SUMPRODUCT(($B$6:$B$32="Sócio")*($J$6:$J$32="Despesa")*($H$6:$H$32&lt;=M$36)*($I$6:$I$32&gt;=M$36)*(($C$6:$C$32="Contratado")+($C$6:$C$32="Plano")*Premissas!$B$8)*$G$6:$G$32)</f>
        <v>0</v>
      </c>
      <c r="N44" s="110" t="n">
        <f aca="false">SUMPRODUCT(($B$6:$B$32="Sócio")*($J$6:$J$32="Despesa")*($H$6:$H$32&lt;=N$36)*($I$6:$I$32&gt;=N$36)*(($C$6:$C$32="Contratado")+($C$6:$C$32="Plano")*Premissas!$B$8)*$G$6:$G$32)</f>
        <v>15000</v>
      </c>
      <c r="O44" s="110" t="n">
        <f aca="false">SUMPRODUCT(($B$6:$B$32="Sócio")*($J$6:$J$32="Despesa")*($H$6:$H$32&lt;=O$36)*($I$6:$I$32&gt;=O$36)*(($C$6:$C$32="Contratado")+($C$6:$C$32="Plano")*Premissas!$B$8)*$G$6:$G$32)</f>
        <v>15000</v>
      </c>
      <c r="P44" s="110" t="n">
        <f aca="false">SUMPRODUCT(($B$6:$B$32="Sócio")*($J$6:$J$32="Despesa")*($H$6:$H$32&lt;=P$36)*($I$6:$I$32&gt;=P$36)*(($C$6:$C$32="Contratado")+($C$6:$C$32="Plano")*Premissas!$B$8)*$G$6:$G$32)</f>
        <v>15000</v>
      </c>
      <c r="Q44" s="110" t="n">
        <f aca="false">SUMPRODUCT(($B$6:$B$32="Sócio")*($J$6:$J$32="Despesa")*($H$6:$H$32&lt;=Q$36)*($I$6:$I$32&gt;=Q$36)*(($C$6:$C$32="Contratado")+($C$6:$C$32="Plano")*Premissas!$B$8)*$G$6:$G$32)</f>
        <v>15000</v>
      </c>
      <c r="R44" s="110" t="n">
        <f aca="false">SUMPRODUCT(($B$6:$B$32="Sócio")*($J$6:$J$32="Despesa")*($H$6:$H$32&lt;=R$36)*($I$6:$I$32&gt;=R$36)*(($C$6:$C$32="Contratado")+($C$6:$C$32="Plano")*Premissas!$B$8)*$G$6:$G$32)</f>
        <v>15000</v>
      </c>
      <c r="S44" s="110" t="n">
        <f aca="false">SUMPRODUCT(($B$6:$B$32="Sócio")*($J$6:$J$32="Despesa")*($H$6:$H$32&lt;=S$36)*($I$6:$I$32&gt;=S$36)*(($C$6:$C$32="Contratado")+($C$6:$C$32="Plano")*Premissas!$B$8)*$G$6:$G$32)</f>
        <v>15000</v>
      </c>
      <c r="T44" s="110" t="n">
        <f aca="false">SUMPRODUCT(($B$6:$B$32="Sócio")*($J$6:$J$32="Despesa")*($H$6:$H$32&lt;=T$36)*($I$6:$I$32&gt;=T$36)*(($C$6:$C$32="Contratado")+($C$6:$C$32="Plano")*Premissas!$B$8)*$G$6:$G$32)</f>
        <v>15000</v>
      </c>
      <c r="U44" s="110" t="n">
        <f aca="false">SUMPRODUCT(($B$6:$B$32="Sócio")*($J$6:$J$32="Despesa")*($H$6:$H$32&lt;=U$36)*($I$6:$I$32&gt;=U$36)*(($C$6:$C$32="Contratado")+($C$6:$C$32="Plano")*Premissas!$B$8)*$G$6:$G$32)</f>
        <v>15000</v>
      </c>
      <c r="V44" s="110" t="n">
        <f aca="false">SUMPRODUCT(($B$6:$B$32="Sócio")*($J$6:$J$32="Despesa")*($H$6:$H$32&lt;=V$36)*($I$6:$I$32&gt;=V$36)*(($C$6:$C$32="Contratado")+($C$6:$C$32="Plano")*Premissas!$B$8)*$G$6:$G$32)</f>
        <v>15000</v>
      </c>
      <c r="W44" s="110" t="n">
        <f aca="false">SUMPRODUCT(($B$6:$B$32="Sócio")*($J$6:$J$32="Despesa")*($H$6:$H$32&lt;=W$36)*($I$6:$I$32&gt;=W$36)*(($C$6:$C$32="Contratado")+($C$6:$C$32="Plano")*Premissas!$B$8)*$G$6:$G$32)</f>
        <v>15000</v>
      </c>
      <c r="X44" s="110" t="n">
        <f aca="false">SUMPRODUCT(($B$6:$B$32="Sócio")*($J$6:$J$32="Despesa")*($H$6:$H$32&lt;=X$36)*($I$6:$I$32&gt;=X$36)*(($C$6:$C$32="Contratado")+($C$6:$C$32="Plano")*Premissas!$B$8)*$G$6:$G$32)</f>
        <v>15000</v>
      </c>
      <c r="Y44" s="110" t="n">
        <f aca="false">SUMPRODUCT(($B$6:$B$32="Sócio")*($J$6:$J$32="Despesa")*($H$6:$H$32&lt;=Y$36)*($I$6:$I$32&gt;=Y$36)*(($C$6:$C$32="Contratado")+($C$6:$C$32="Plano")*Premissas!$B$8)*$G$6:$G$32)</f>
        <v>15000</v>
      </c>
      <c r="Z44" s="110" t="n">
        <f aca="false">SUMPRODUCT(($B$6:$B$32="Sócio")*($J$6:$J$32="Despesa")*($H$6:$H$32&lt;=Z$36)*($I$6:$I$32&gt;=Z$36)*(($C$6:$C$32="Contratado")+($C$6:$C$32="Plano")*Premissas!$B$8)*$G$6:$G$32)</f>
        <v>15000</v>
      </c>
      <c r="AA44" s="110" t="n">
        <f aca="false">SUMPRODUCT(($B$6:$B$32="Sócio")*($J$6:$J$32="Despesa")*($H$6:$H$32&lt;=AA$36)*($I$6:$I$32&gt;=AA$36)*(($C$6:$C$32="Contratado")+($C$6:$C$32="Plano")*Premissas!$B$8)*$G$6:$G$32)</f>
        <v>15000</v>
      </c>
      <c r="AB44" s="110" t="n">
        <f aca="false">SUMPRODUCT(($B$6:$B$32="Sócio")*($J$6:$J$32="Despesa")*($H$6:$H$32&lt;=AB$36)*($I$6:$I$32&gt;=AB$36)*(($C$6:$C$32="Contratado")+($C$6:$C$32="Plano")*Premissas!$B$8)*$G$6:$G$32)</f>
        <v>15000</v>
      </c>
      <c r="AC44" s="110" t="n">
        <f aca="false">SUMPRODUCT(($B$6:$B$32="Sócio")*($J$6:$J$32="Despesa")*($H$6:$H$32&lt;=AC$36)*($I$6:$I$32&gt;=AC$36)*(($C$6:$C$32="Contratado")+($C$6:$C$32="Plano")*Premissas!$B$8)*$G$6:$G$32)</f>
        <v>15000</v>
      </c>
      <c r="AD44" s="110" t="n">
        <f aca="false">SUMPRODUCT(($B$6:$B$32="Sócio")*($J$6:$J$32="Despesa")*($H$6:$H$32&lt;=AD$36)*($I$6:$I$32&gt;=AD$36)*(($C$6:$C$32="Contratado")+($C$6:$C$32="Plano")*Premissas!$B$8)*$G$6:$G$32)</f>
        <v>15000</v>
      </c>
      <c r="AE44" s="110" t="n">
        <f aca="false">SUMPRODUCT(($B$6:$B$32="Sócio")*($J$6:$J$32="Despesa")*($H$6:$H$32&lt;=AE$36)*($I$6:$I$32&gt;=AE$36)*(($C$6:$C$32="Contratado")+($C$6:$C$32="Plano")*Premissas!$B$8)*$G$6:$G$32)</f>
        <v>15000</v>
      </c>
      <c r="AF44" s="110" t="n">
        <f aca="false">SUMPRODUCT(($B$6:$B$32="Sócio")*($J$6:$J$32="Despesa")*($H$6:$H$32&lt;=AF$36)*($I$6:$I$32&gt;=AF$36)*(($C$6:$C$32="Contratado")+($C$6:$C$32="Plano")*Premissas!$B$8)*$G$6:$G$32)</f>
        <v>15000</v>
      </c>
      <c r="AG44" s="110" t="n">
        <f aca="false">SUMPRODUCT(($B$6:$B$32="Sócio")*($J$6:$J$32="Despesa")*($H$6:$H$32&lt;=AG$36)*($I$6:$I$32&gt;=AG$36)*(($C$6:$C$32="Contratado")+($C$6:$C$32="Plano")*Premissas!$B$8)*$G$6:$G$32)</f>
        <v>15000</v>
      </c>
      <c r="AH44" s="110" t="n">
        <f aca="false">SUMPRODUCT(($B$6:$B$32="Sócio")*($J$6:$J$32="Despesa")*($H$6:$H$32&lt;=AH$36)*($I$6:$I$32&gt;=AH$36)*(($C$6:$C$32="Contratado")+($C$6:$C$32="Plano")*Premissas!$B$8)*$G$6:$G$32)</f>
        <v>15000</v>
      </c>
      <c r="AI44" s="110" t="n">
        <f aca="false">SUMPRODUCT(($B$6:$B$32="Sócio")*($J$6:$J$32="Despesa")*($H$6:$H$32&lt;=AI$36)*($I$6:$I$32&gt;=AI$36)*(($C$6:$C$32="Contratado")+($C$6:$C$32="Plano")*Premissas!$B$8)*$G$6:$G$32)</f>
        <v>15000</v>
      </c>
      <c r="AJ44" s="110" t="n">
        <f aca="false">SUMPRODUCT(($B$6:$B$32="Sócio")*($J$6:$J$32="Despesa")*($H$6:$H$32&lt;=AJ$36)*($I$6:$I$32&gt;=AJ$36)*(($C$6:$C$32="Contratado")+($C$6:$C$32="Plano")*Premissas!$B$8)*$G$6:$G$32)</f>
        <v>15000</v>
      </c>
      <c r="AK44" s="110" t="n">
        <f aca="false">SUMPRODUCT(($B$6:$B$32="Sócio")*($J$6:$J$32="Despesa")*($H$6:$H$32&lt;=AK$36)*($I$6:$I$32&gt;=AK$36)*(($C$6:$C$32="Contratado")+($C$6:$C$32="Plano")*Premissas!$B$8)*$G$6:$G$32)</f>
        <v>15000</v>
      </c>
      <c r="AL44" s="110" t="n">
        <f aca="false">SUMPRODUCT(($B$6:$B$32="Sócio")*($J$6:$J$32="Despesa")*($H$6:$H$32&lt;=AL$36)*($I$6:$I$32&gt;=AL$36)*(($C$6:$C$32="Contratado")+($C$6:$C$32="Plano")*Premissas!$B$8)*$G$6:$G$32)</f>
        <v>32000</v>
      </c>
      <c r="AM44" s="110" t="n">
        <f aca="false">SUMPRODUCT(($B$6:$B$32="Sócio")*($J$6:$J$32="Despesa")*($H$6:$H$32&lt;=AM$36)*($I$6:$I$32&gt;=AM$36)*(($C$6:$C$32="Contratado")+($C$6:$C$32="Plano")*Premissas!$B$8)*$G$6:$G$32)</f>
        <v>32000</v>
      </c>
      <c r="AN44" s="110" t="n">
        <f aca="false">SUMPRODUCT(($B$6:$B$32="Sócio")*($J$6:$J$32="Despesa")*($H$6:$H$32&lt;=AN$36)*($I$6:$I$32&gt;=AN$36)*(($C$6:$C$32="Contratado")+($C$6:$C$32="Plano")*Premissas!$B$8)*$G$6:$G$32)</f>
        <v>32000</v>
      </c>
      <c r="AO44" s="110" t="n">
        <f aca="false">SUMPRODUCT(($B$6:$B$32="Sócio")*($J$6:$J$32="Despesa")*($H$6:$H$32&lt;=AO$36)*($I$6:$I$32&gt;=AO$36)*(($C$6:$C$32="Contratado")+($C$6:$C$32="Plano")*Premissas!$B$8)*$G$6:$G$32)</f>
        <v>32000</v>
      </c>
      <c r="AP44" s="110" t="n">
        <f aca="false">SUMPRODUCT(($B$6:$B$32="Sócio")*($J$6:$J$32="Despesa")*($H$6:$H$32&lt;=AP$36)*($I$6:$I$32&gt;=AP$36)*(($C$6:$C$32="Contratado")+($C$6:$C$32="Plano")*Premissas!$B$8)*$G$6:$G$32)</f>
        <v>32000</v>
      </c>
      <c r="AQ44" s="110" t="n">
        <f aca="false">SUMPRODUCT(($B$6:$B$32="Sócio")*($J$6:$J$32="Despesa")*($H$6:$H$32&lt;=AQ$36)*($I$6:$I$32&gt;=AQ$36)*(($C$6:$C$32="Contratado")+($C$6:$C$32="Plano")*Premissas!$B$8)*$G$6:$G$32)</f>
        <v>32000</v>
      </c>
      <c r="AR44" s="110" t="n">
        <f aca="false">SUMPRODUCT(($B$6:$B$32="Sócio")*($J$6:$J$32="Despesa")*($H$6:$H$32&lt;=AR$36)*($I$6:$I$32&gt;=AR$36)*(($C$6:$C$32="Contratado")+($C$6:$C$32="Plano")*Premissas!$B$8)*$G$6:$G$32)</f>
        <v>32000</v>
      </c>
      <c r="AS44" s="110" t="n">
        <f aca="false">SUMPRODUCT(($B$6:$B$32="Sócio")*($J$6:$J$32="Despesa")*($H$6:$H$32&lt;=AS$36)*($I$6:$I$32&gt;=AS$36)*(($C$6:$C$32="Contratado")+($C$6:$C$32="Plano")*Premissas!$B$8)*$G$6:$G$32)</f>
        <v>32000</v>
      </c>
      <c r="AT44" s="110" t="n">
        <f aca="false">SUMPRODUCT(($B$6:$B$32="Sócio")*($J$6:$J$32="Despesa")*($H$6:$H$32&lt;=AT$36)*($I$6:$I$32&gt;=AT$36)*(($C$6:$C$32="Contratado")+($C$6:$C$32="Plano")*Premissas!$B$8)*$G$6:$G$32)</f>
        <v>32000</v>
      </c>
      <c r="AU44" s="110" t="n">
        <f aca="false">SUMPRODUCT(($B$6:$B$32="Sócio")*($J$6:$J$32="Despesa")*($H$6:$H$32&lt;=AU$36)*($I$6:$I$32&gt;=AU$36)*(($C$6:$C$32="Contratado")+($C$6:$C$32="Plano")*Premissas!$B$8)*$G$6:$G$32)</f>
        <v>32000</v>
      </c>
      <c r="AV44" s="110" t="n">
        <f aca="false">SUMPRODUCT(($B$6:$B$32="Sócio")*($J$6:$J$32="Despesa")*($H$6:$H$32&lt;=AV$36)*($I$6:$I$32&gt;=AV$36)*(($C$6:$C$32="Contratado")+($C$6:$C$32="Plano")*Premissas!$B$8)*$G$6:$G$32)</f>
        <v>32000</v>
      </c>
      <c r="AW44" s="110" t="n">
        <f aca="false">SUMPRODUCT(($B$6:$B$32="Sócio")*($J$6:$J$32="Despesa")*($H$6:$H$32&lt;=AW$36)*($I$6:$I$32&gt;=AW$36)*(($C$6:$C$32="Contratado")+($C$6:$C$32="Plano")*Premissas!$B$8)*$G$6:$G$32)</f>
        <v>32000</v>
      </c>
      <c r="AX44" s="110" t="n">
        <f aca="false">SUMPRODUCT(($B$6:$B$32="Sócio")*($J$6:$J$32="Despesa")*($H$6:$H$32&lt;=AX$36)*($I$6:$I$32&gt;=AX$36)*(($C$6:$C$32="Contratado")+($C$6:$C$32="Plano")*Premissas!$B$8)*$G$6:$G$32)</f>
        <v>32000</v>
      </c>
      <c r="AY44" s="110" t="n">
        <f aca="false">SUMPRODUCT(($B$6:$B$32="Sócio")*($J$6:$J$32="Despesa")*($H$6:$H$32&lt;=AY$36)*($I$6:$I$32&gt;=AY$36)*(($C$6:$C$32="Contratado")+($C$6:$C$32="Plano")*Premissas!$B$8)*$G$6:$G$32)</f>
        <v>32000</v>
      </c>
      <c r="AZ44" s="110" t="n">
        <f aca="false">SUMPRODUCT(($B$6:$B$32="Sócio")*($J$6:$J$32="Despesa")*($H$6:$H$32&lt;=AZ$36)*($I$6:$I$32&gt;=AZ$36)*(($C$6:$C$32="Contratado")+($C$6:$C$32="Plano")*Premissas!$B$8)*$G$6:$G$32)</f>
        <v>32000</v>
      </c>
      <c r="BA44" s="110" t="n">
        <f aca="false">SUMPRODUCT(($B$6:$B$32="Sócio")*($J$6:$J$32="Despesa")*($H$6:$H$32&lt;=BA$36)*($I$6:$I$32&gt;=BA$36)*(($C$6:$C$32="Contratado")+($C$6:$C$32="Plano")*Premissas!$B$8)*$G$6:$G$32)</f>
        <v>32000</v>
      </c>
      <c r="BB44" s="110" t="n">
        <f aca="false">SUMPRODUCT(($B$6:$B$32="Sócio")*($J$6:$J$32="Despesa")*($H$6:$H$32&lt;=BB$36)*($I$6:$I$32&gt;=BB$36)*(($C$6:$C$32="Contratado")+($C$6:$C$32="Plano")*Premissas!$B$8)*$G$6:$G$32)</f>
        <v>32000</v>
      </c>
      <c r="BC44" s="110" t="n">
        <f aca="false">SUMPRODUCT(($B$6:$B$32="Sócio")*($J$6:$J$32="Despesa")*($H$6:$H$32&lt;=BC$36)*($I$6:$I$32&gt;=BC$36)*(($C$6:$C$32="Contratado")+($C$6:$C$32="Plano")*Premissas!$B$8)*$G$6:$G$32)</f>
        <v>32000</v>
      </c>
      <c r="BD44" s="110" t="n">
        <f aca="false">SUMPRODUCT(($B$6:$B$32="Sócio")*($J$6:$J$32="Despesa")*($H$6:$H$32&lt;=BD$36)*($I$6:$I$32&gt;=BD$36)*(($C$6:$C$32="Contratado")+($C$6:$C$32="Plano")*Premissas!$B$8)*$G$6:$G$32)</f>
        <v>32000</v>
      </c>
      <c r="BE44" s="110" t="n">
        <f aca="false">SUMPRODUCT(($B$6:$B$32="Sócio")*($J$6:$J$32="Despesa")*($H$6:$H$32&lt;=BE$36)*($I$6:$I$32&gt;=BE$36)*(($C$6:$C$32="Contratado")+($C$6:$C$32="Plano")*Premissas!$B$8)*$G$6:$G$32)</f>
        <v>32000</v>
      </c>
      <c r="BF44" s="110" t="n">
        <f aca="false">SUMPRODUCT(($B$6:$B$32="Sócio")*($J$6:$J$32="Despesa")*($H$6:$H$32&lt;=BF$36)*($I$6:$I$32&gt;=BF$36)*(($C$6:$C$32="Contratado")+($C$6:$C$32="Plano")*Premissas!$B$8)*$G$6:$G$32)</f>
        <v>32000</v>
      </c>
      <c r="BG44" s="110" t="n">
        <f aca="false">SUMPRODUCT(($B$6:$B$32="Sócio")*($J$6:$J$32="Despesa")*($H$6:$H$32&lt;=BG$36)*($I$6:$I$32&gt;=BG$36)*(($C$6:$C$32="Contratado")+($C$6:$C$32="Plano")*Premissas!$B$8)*$G$6:$G$32)</f>
        <v>32000</v>
      </c>
      <c r="BH44" s="110" t="n">
        <f aca="false">SUMPRODUCT(($B$6:$B$32="Sócio")*($J$6:$J$32="Despesa")*($H$6:$H$32&lt;=BH$36)*($I$6:$I$32&gt;=BH$36)*(($C$6:$C$32="Contratado")+($C$6:$C$32="Plano")*Premissas!$B$8)*$G$6:$G$32)</f>
        <v>32000</v>
      </c>
      <c r="BI44" s="110" t="n">
        <f aca="false">SUMPRODUCT(($B$6:$B$32="Sócio")*($J$6:$J$32="Despesa")*($H$6:$H$32&lt;=BI$36)*($I$6:$I$32&gt;=BI$36)*(($C$6:$C$32="Contratado")+($C$6:$C$32="Plano")*Premissas!$B$8)*$G$6:$G$32)</f>
        <v>32000</v>
      </c>
      <c r="BJ44" s="111" t="n">
        <f aca="false">SUM(B44:BI44)</f>
        <v>1128000</v>
      </c>
    </row>
    <row r="45" customFormat="false" ht="15" hidden="false" customHeight="false" outlineLevel="0" collapsed="false">
      <c r="A45" s="51" t="s">
        <v>337</v>
      </c>
      <c r="B45" s="111" t="n">
        <f aca="false">SUMPRODUCT(($J$6:$J$32="Despesa")*($H$6:$H$32&lt;=B$36)*($I$6:$I$32&gt;=B$36)*(($C$6:$C$32="Contratado")+($C$6:$C$32="Plano")*Premissas!$B$8)*$G$6:$G$32)</f>
        <v>0</v>
      </c>
      <c r="C45" s="111" t="n">
        <f aca="false">SUMPRODUCT(($J$6:$J$32="Despesa")*($H$6:$H$32&lt;=C$36)*($I$6:$I$32&gt;=C$36)*(($C$6:$C$32="Contratado")+($C$6:$C$32="Plano")*Premissas!$B$8)*$G$6:$G$32)</f>
        <v>0</v>
      </c>
      <c r="D45" s="111" t="n">
        <f aca="false">SUMPRODUCT(($J$6:$J$32="Despesa")*($H$6:$H$32&lt;=D$36)*($I$6:$I$32&gt;=D$36)*(($C$6:$C$32="Contratado")+($C$6:$C$32="Plano")*Premissas!$B$8)*$G$6:$G$32)</f>
        <v>0</v>
      </c>
      <c r="E45" s="111" t="n">
        <f aca="false">SUMPRODUCT(($J$6:$J$32="Despesa")*($H$6:$H$32&lt;=E$36)*($I$6:$I$32&gt;=E$36)*(($C$6:$C$32="Contratado")+($C$6:$C$32="Plano")*Premissas!$B$8)*$G$6:$G$32)</f>
        <v>0</v>
      </c>
      <c r="F45" s="111" t="n">
        <f aca="false">SUMPRODUCT(($J$6:$J$32="Despesa")*($H$6:$H$32&lt;=F$36)*($I$6:$I$32&gt;=F$36)*(($C$6:$C$32="Contratado")+($C$6:$C$32="Plano")*Premissas!$B$8)*$G$6:$G$32)</f>
        <v>0</v>
      </c>
      <c r="G45" s="111" t="n">
        <f aca="false">SUMPRODUCT(($J$6:$J$32="Despesa")*($H$6:$H$32&lt;=G$36)*($I$6:$I$32&gt;=G$36)*(($C$6:$C$32="Contratado")+($C$6:$C$32="Plano")*Premissas!$B$8)*$G$6:$G$32)</f>
        <v>0</v>
      </c>
      <c r="H45" s="111" t="n">
        <f aca="false">SUMPRODUCT(($J$6:$J$32="Despesa")*($H$6:$H$32&lt;=H$36)*($I$6:$I$32&gt;=H$36)*(($C$6:$C$32="Contratado")+($C$6:$C$32="Plano")*Premissas!$B$8)*$G$6:$G$32)</f>
        <v>0</v>
      </c>
      <c r="I45" s="111" t="n">
        <f aca="false">SUMPRODUCT(($J$6:$J$32="Despesa")*($H$6:$H$32&lt;=I$36)*($I$6:$I$32&gt;=I$36)*(($C$6:$C$32="Contratado")+($C$6:$C$32="Plano")*Premissas!$B$8)*$G$6:$G$32)</f>
        <v>0</v>
      </c>
      <c r="J45" s="111" t="n">
        <f aca="false">SUMPRODUCT(($J$6:$J$32="Despesa")*($H$6:$H$32&lt;=J$36)*($I$6:$I$32&gt;=J$36)*(($C$6:$C$32="Contratado")+($C$6:$C$32="Plano")*Premissas!$B$8)*$G$6:$G$32)</f>
        <v>0</v>
      </c>
      <c r="K45" s="111" t="n">
        <f aca="false">SUMPRODUCT(($J$6:$J$32="Despesa")*($H$6:$H$32&lt;=K$36)*($I$6:$I$32&gt;=K$36)*(($C$6:$C$32="Contratado")+($C$6:$C$32="Plano")*Premissas!$B$8)*$G$6:$G$32)</f>
        <v>0</v>
      </c>
      <c r="L45" s="111" t="n">
        <f aca="false">SUMPRODUCT(($J$6:$J$32="Despesa")*($H$6:$H$32&lt;=L$36)*($I$6:$I$32&gt;=L$36)*(($C$6:$C$32="Contratado")+($C$6:$C$32="Plano")*Premissas!$B$8)*$G$6:$G$32)</f>
        <v>0</v>
      </c>
      <c r="M45" s="111" t="n">
        <f aca="false">SUMPRODUCT(($J$6:$J$32="Despesa")*($H$6:$H$32&lt;=M$36)*($I$6:$I$32&gt;=M$36)*(($C$6:$C$32="Contratado")+($C$6:$C$32="Plano")*Premissas!$B$8)*$G$6:$G$32)</f>
        <v>0</v>
      </c>
      <c r="N45" s="111" t="n">
        <f aca="false">SUMPRODUCT(($J$6:$J$32="Despesa")*($H$6:$H$32&lt;=N$36)*($I$6:$I$32&gt;=N$36)*(($C$6:$C$32="Contratado")+($C$6:$C$32="Plano")*Premissas!$B$8)*$G$6:$G$32)</f>
        <v>42500</v>
      </c>
      <c r="O45" s="111" t="n">
        <f aca="false">SUMPRODUCT(($J$6:$J$32="Despesa")*($H$6:$H$32&lt;=O$36)*($I$6:$I$32&gt;=O$36)*(($C$6:$C$32="Contratado")+($C$6:$C$32="Plano")*Premissas!$B$8)*$G$6:$G$32)</f>
        <v>42500</v>
      </c>
      <c r="P45" s="111" t="n">
        <f aca="false">SUMPRODUCT(($J$6:$J$32="Despesa")*($H$6:$H$32&lt;=P$36)*($I$6:$I$32&gt;=P$36)*(($C$6:$C$32="Contratado")+($C$6:$C$32="Plano")*Premissas!$B$8)*$G$6:$G$32)</f>
        <v>42500</v>
      </c>
      <c r="Q45" s="111" t="n">
        <f aca="false">SUMPRODUCT(($J$6:$J$32="Despesa")*($H$6:$H$32&lt;=Q$36)*($I$6:$I$32&gt;=Q$36)*(($C$6:$C$32="Contratado")+($C$6:$C$32="Plano")*Premissas!$B$8)*$G$6:$G$32)</f>
        <v>42500</v>
      </c>
      <c r="R45" s="111" t="n">
        <f aca="false">SUMPRODUCT(($J$6:$J$32="Despesa")*($H$6:$H$32&lt;=R$36)*($I$6:$I$32&gt;=R$36)*(($C$6:$C$32="Contratado")+($C$6:$C$32="Plano")*Premissas!$B$8)*$G$6:$G$32)</f>
        <v>42500</v>
      </c>
      <c r="S45" s="111" t="n">
        <f aca="false">SUMPRODUCT(($J$6:$J$32="Despesa")*($H$6:$H$32&lt;=S$36)*($I$6:$I$32&gt;=S$36)*(($C$6:$C$32="Contratado")+($C$6:$C$32="Plano")*Premissas!$B$8)*$G$6:$G$32)</f>
        <v>42500</v>
      </c>
      <c r="T45" s="111" t="n">
        <f aca="false">SUMPRODUCT(($J$6:$J$32="Despesa")*($H$6:$H$32&lt;=T$36)*($I$6:$I$32&gt;=T$36)*(($C$6:$C$32="Contratado")+($C$6:$C$32="Plano")*Premissas!$B$8)*$G$6:$G$32)</f>
        <v>42500</v>
      </c>
      <c r="U45" s="111" t="n">
        <f aca="false">SUMPRODUCT(($J$6:$J$32="Despesa")*($H$6:$H$32&lt;=U$36)*($I$6:$I$32&gt;=U$36)*(($C$6:$C$32="Contratado")+($C$6:$C$32="Plano")*Premissas!$B$8)*$G$6:$G$32)</f>
        <v>42500</v>
      </c>
      <c r="V45" s="111" t="n">
        <f aca="false">SUMPRODUCT(($J$6:$J$32="Despesa")*($H$6:$H$32&lt;=V$36)*($I$6:$I$32&gt;=V$36)*(($C$6:$C$32="Contratado")+($C$6:$C$32="Plano")*Premissas!$B$8)*$G$6:$G$32)</f>
        <v>42500</v>
      </c>
      <c r="W45" s="111" t="n">
        <f aca="false">SUMPRODUCT(($J$6:$J$32="Despesa")*($H$6:$H$32&lt;=W$36)*($I$6:$I$32&gt;=W$36)*(($C$6:$C$32="Contratado")+($C$6:$C$32="Plano")*Premissas!$B$8)*$G$6:$G$32)</f>
        <v>42500</v>
      </c>
      <c r="X45" s="111" t="n">
        <f aca="false">SUMPRODUCT(($J$6:$J$32="Despesa")*($H$6:$H$32&lt;=X$36)*($I$6:$I$32&gt;=X$36)*(($C$6:$C$32="Contratado")+($C$6:$C$32="Plano")*Premissas!$B$8)*$G$6:$G$32)</f>
        <v>42500</v>
      </c>
      <c r="Y45" s="111" t="n">
        <f aca="false">SUMPRODUCT(($J$6:$J$32="Despesa")*($H$6:$H$32&lt;=Y$36)*($I$6:$I$32&gt;=Y$36)*(($C$6:$C$32="Contratado")+($C$6:$C$32="Plano")*Premissas!$B$8)*$G$6:$G$32)</f>
        <v>42500</v>
      </c>
      <c r="Z45" s="111" t="n">
        <f aca="false">SUMPRODUCT(($J$6:$J$32="Despesa")*($H$6:$H$32&lt;=Z$36)*($I$6:$I$32&gt;=Z$36)*(($C$6:$C$32="Contratado")+($C$6:$C$32="Plano")*Premissas!$B$8)*$G$6:$G$32)</f>
        <v>117500</v>
      </c>
      <c r="AA45" s="111" t="n">
        <f aca="false">SUMPRODUCT(($J$6:$J$32="Despesa")*($H$6:$H$32&lt;=AA$36)*($I$6:$I$32&gt;=AA$36)*(($C$6:$C$32="Contratado")+($C$6:$C$32="Plano")*Premissas!$B$8)*$G$6:$G$32)</f>
        <v>117500</v>
      </c>
      <c r="AB45" s="111" t="n">
        <f aca="false">SUMPRODUCT(($J$6:$J$32="Despesa")*($H$6:$H$32&lt;=AB$36)*($I$6:$I$32&gt;=AB$36)*(($C$6:$C$32="Contratado")+($C$6:$C$32="Plano")*Premissas!$B$8)*$G$6:$G$32)</f>
        <v>117500</v>
      </c>
      <c r="AC45" s="111" t="n">
        <f aca="false">SUMPRODUCT(($J$6:$J$32="Despesa")*($H$6:$H$32&lt;=AC$36)*($I$6:$I$32&gt;=AC$36)*(($C$6:$C$32="Contratado")+($C$6:$C$32="Plano")*Premissas!$B$8)*$G$6:$G$32)</f>
        <v>117500</v>
      </c>
      <c r="AD45" s="111" t="n">
        <f aca="false">SUMPRODUCT(($J$6:$J$32="Despesa")*($H$6:$H$32&lt;=AD$36)*($I$6:$I$32&gt;=AD$36)*(($C$6:$C$32="Contratado")+($C$6:$C$32="Plano")*Premissas!$B$8)*$G$6:$G$32)</f>
        <v>117500</v>
      </c>
      <c r="AE45" s="111" t="n">
        <f aca="false">SUMPRODUCT(($J$6:$J$32="Despesa")*($H$6:$H$32&lt;=AE$36)*($I$6:$I$32&gt;=AE$36)*(($C$6:$C$32="Contratado")+($C$6:$C$32="Plano")*Premissas!$B$8)*$G$6:$G$32)</f>
        <v>117500</v>
      </c>
      <c r="AF45" s="111" t="n">
        <f aca="false">SUMPRODUCT(($J$6:$J$32="Despesa")*($H$6:$H$32&lt;=AF$36)*($I$6:$I$32&gt;=AF$36)*(($C$6:$C$32="Contratado")+($C$6:$C$32="Plano")*Premissas!$B$8)*$G$6:$G$32)</f>
        <v>117500</v>
      </c>
      <c r="AG45" s="111" t="n">
        <f aca="false">SUMPRODUCT(($J$6:$J$32="Despesa")*($H$6:$H$32&lt;=AG$36)*($I$6:$I$32&gt;=AG$36)*(($C$6:$C$32="Contratado")+($C$6:$C$32="Plano")*Premissas!$B$8)*$G$6:$G$32)</f>
        <v>117500</v>
      </c>
      <c r="AH45" s="111" t="n">
        <f aca="false">SUMPRODUCT(($J$6:$J$32="Despesa")*($H$6:$H$32&lt;=AH$36)*($I$6:$I$32&gt;=AH$36)*(($C$6:$C$32="Contratado")+($C$6:$C$32="Plano")*Premissas!$B$8)*$G$6:$G$32)</f>
        <v>117500</v>
      </c>
      <c r="AI45" s="111" t="n">
        <f aca="false">SUMPRODUCT(($J$6:$J$32="Despesa")*($H$6:$H$32&lt;=AI$36)*($I$6:$I$32&gt;=AI$36)*(($C$6:$C$32="Contratado")+($C$6:$C$32="Plano")*Premissas!$B$8)*$G$6:$G$32)</f>
        <v>117500</v>
      </c>
      <c r="AJ45" s="111" t="n">
        <f aca="false">SUMPRODUCT(($J$6:$J$32="Despesa")*($H$6:$H$32&lt;=AJ$36)*($I$6:$I$32&gt;=AJ$36)*(($C$6:$C$32="Contratado")+($C$6:$C$32="Plano")*Premissas!$B$8)*$G$6:$G$32)</f>
        <v>117500</v>
      </c>
      <c r="AK45" s="111" t="n">
        <f aca="false">SUMPRODUCT(($J$6:$J$32="Despesa")*($H$6:$H$32&lt;=AK$36)*($I$6:$I$32&gt;=AK$36)*(($C$6:$C$32="Contratado")+($C$6:$C$32="Plano")*Premissas!$B$8)*$G$6:$G$32)</f>
        <v>117500</v>
      </c>
      <c r="AL45" s="111" t="n">
        <f aca="false">SUMPRODUCT(($J$6:$J$32="Despesa")*($H$6:$H$32&lt;=AL$36)*($I$6:$I$32&gt;=AL$36)*(($C$6:$C$32="Contratado")+($C$6:$C$32="Plano")*Premissas!$B$8)*$G$6:$G$32)</f>
        <v>253300</v>
      </c>
      <c r="AM45" s="111" t="n">
        <f aca="false">SUMPRODUCT(($J$6:$J$32="Despesa")*($H$6:$H$32&lt;=AM$36)*($I$6:$I$32&gt;=AM$36)*(($C$6:$C$32="Contratado")+($C$6:$C$32="Plano")*Premissas!$B$8)*$G$6:$G$32)</f>
        <v>253300</v>
      </c>
      <c r="AN45" s="111" t="n">
        <f aca="false">SUMPRODUCT(($J$6:$J$32="Despesa")*($H$6:$H$32&lt;=AN$36)*($I$6:$I$32&gt;=AN$36)*(($C$6:$C$32="Contratado")+($C$6:$C$32="Plano")*Premissas!$B$8)*$G$6:$G$32)</f>
        <v>253300</v>
      </c>
      <c r="AO45" s="111" t="n">
        <f aca="false">SUMPRODUCT(($J$6:$J$32="Despesa")*($H$6:$H$32&lt;=AO$36)*($I$6:$I$32&gt;=AO$36)*(($C$6:$C$32="Contratado")+($C$6:$C$32="Plano")*Premissas!$B$8)*$G$6:$G$32)</f>
        <v>253300</v>
      </c>
      <c r="AP45" s="111" t="n">
        <f aca="false">SUMPRODUCT(($J$6:$J$32="Despesa")*($H$6:$H$32&lt;=AP$36)*($I$6:$I$32&gt;=AP$36)*(($C$6:$C$32="Contratado")+($C$6:$C$32="Plano")*Premissas!$B$8)*$G$6:$G$32)</f>
        <v>253300</v>
      </c>
      <c r="AQ45" s="111" t="n">
        <f aca="false">SUMPRODUCT(($J$6:$J$32="Despesa")*($H$6:$H$32&lt;=AQ$36)*($I$6:$I$32&gt;=AQ$36)*(($C$6:$C$32="Contratado")+($C$6:$C$32="Plano")*Premissas!$B$8)*$G$6:$G$32)</f>
        <v>253300</v>
      </c>
      <c r="AR45" s="111" t="n">
        <f aca="false">SUMPRODUCT(($J$6:$J$32="Despesa")*($H$6:$H$32&lt;=AR$36)*($I$6:$I$32&gt;=AR$36)*(($C$6:$C$32="Contratado")+($C$6:$C$32="Plano")*Premissas!$B$8)*$G$6:$G$32)</f>
        <v>253300</v>
      </c>
      <c r="AS45" s="111" t="n">
        <f aca="false">SUMPRODUCT(($J$6:$J$32="Despesa")*($H$6:$H$32&lt;=AS$36)*($I$6:$I$32&gt;=AS$36)*(($C$6:$C$32="Contratado")+($C$6:$C$32="Plano")*Premissas!$B$8)*$G$6:$G$32)</f>
        <v>253300</v>
      </c>
      <c r="AT45" s="111" t="n">
        <f aca="false">SUMPRODUCT(($J$6:$J$32="Despesa")*($H$6:$H$32&lt;=AT$36)*($I$6:$I$32&gt;=AT$36)*(($C$6:$C$32="Contratado")+($C$6:$C$32="Plano")*Premissas!$B$8)*$G$6:$G$32)</f>
        <v>253300</v>
      </c>
      <c r="AU45" s="111" t="n">
        <f aca="false">SUMPRODUCT(($J$6:$J$32="Despesa")*($H$6:$H$32&lt;=AU$36)*($I$6:$I$32&gt;=AU$36)*(($C$6:$C$32="Contratado")+($C$6:$C$32="Plano")*Premissas!$B$8)*$G$6:$G$32)</f>
        <v>253300</v>
      </c>
      <c r="AV45" s="111" t="n">
        <f aca="false">SUMPRODUCT(($J$6:$J$32="Despesa")*($H$6:$H$32&lt;=AV$36)*($I$6:$I$32&gt;=AV$36)*(($C$6:$C$32="Contratado")+($C$6:$C$32="Plano")*Premissas!$B$8)*$G$6:$G$32)</f>
        <v>253300</v>
      </c>
      <c r="AW45" s="111" t="n">
        <f aca="false">SUMPRODUCT(($J$6:$J$32="Despesa")*($H$6:$H$32&lt;=AW$36)*($I$6:$I$32&gt;=AW$36)*(($C$6:$C$32="Contratado")+($C$6:$C$32="Plano")*Premissas!$B$8)*$G$6:$G$32)</f>
        <v>253300</v>
      </c>
      <c r="AX45" s="111" t="n">
        <f aca="false">SUMPRODUCT(($J$6:$J$32="Despesa")*($H$6:$H$32&lt;=AX$36)*($I$6:$I$32&gt;=AX$36)*(($C$6:$C$32="Contratado")+($C$6:$C$32="Plano")*Premissas!$B$8)*$G$6:$G$32)</f>
        <v>374300</v>
      </c>
      <c r="AY45" s="111" t="n">
        <f aca="false">SUMPRODUCT(($J$6:$J$32="Despesa")*($H$6:$H$32&lt;=AY$36)*($I$6:$I$32&gt;=AY$36)*(($C$6:$C$32="Contratado")+($C$6:$C$32="Plano")*Premissas!$B$8)*$G$6:$G$32)</f>
        <v>374300</v>
      </c>
      <c r="AZ45" s="111" t="n">
        <f aca="false">SUMPRODUCT(($J$6:$J$32="Despesa")*($H$6:$H$32&lt;=AZ$36)*($I$6:$I$32&gt;=AZ$36)*(($C$6:$C$32="Contratado")+($C$6:$C$32="Plano")*Premissas!$B$8)*$G$6:$G$32)</f>
        <v>374300</v>
      </c>
      <c r="BA45" s="111" t="n">
        <f aca="false">SUMPRODUCT(($J$6:$J$32="Despesa")*($H$6:$H$32&lt;=BA$36)*($I$6:$I$32&gt;=BA$36)*(($C$6:$C$32="Contratado")+($C$6:$C$32="Plano")*Premissas!$B$8)*$G$6:$G$32)</f>
        <v>374300</v>
      </c>
      <c r="BB45" s="111" t="n">
        <f aca="false">SUMPRODUCT(($J$6:$J$32="Despesa")*($H$6:$H$32&lt;=BB$36)*($I$6:$I$32&gt;=BB$36)*(($C$6:$C$32="Contratado")+($C$6:$C$32="Plano")*Premissas!$B$8)*$G$6:$G$32)</f>
        <v>374300</v>
      </c>
      <c r="BC45" s="111" t="n">
        <f aca="false">SUMPRODUCT(($J$6:$J$32="Despesa")*($H$6:$H$32&lt;=BC$36)*($I$6:$I$32&gt;=BC$36)*(($C$6:$C$32="Contratado")+($C$6:$C$32="Plano")*Premissas!$B$8)*$G$6:$G$32)</f>
        <v>374300</v>
      </c>
      <c r="BD45" s="111" t="n">
        <f aca="false">SUMPRODUCT(($J$6:$J$32="Despesa")*($H$6:$H$32&lt;=BD$36)*($I$6:$I$32&gt;=BD$36)*(($C$6:$C$32="Contratado")+($C$6:$C$32="Plano")*Premissas!$B$8)*$G$6:$G$32)</f>
        <v>374300</v>
      </c>
      <c r="BE45" s="111" t="n">
        <f aca="false">SUMPRODUCT(($J$6:$J$32="Despesa")*($H$6:$H$32&lt;=BE$36)*($I$6:$I$32&gt;=BE$36)*(($C$6:$C$32="Contratado")+($C$6:$C$32="Plano")*Premissas!$B$8)*$G$6:$G$32)</f>
        <v>374300</v>
      </c>
      <c r="BF45" s="111" t="n">
        <f aca="false">SUMPRODUCT(($J$6:$J$32="Despesa")*($H$6:$H$32&lt;=BF$36)*($I$6:$I$32&gt;=BF$36)*(($C$6:$C$32="Contratado")+($C$6:$C$32="Plano")*Premissas!$B$8)*$G$6:$G$32)</f>
        <v>374300</v>
      </c>
      <c r="BG45" s="111" t="n">
        <f aca="false">SUMPRODUCT(($J$6:$J$32="Despesa")*($H$6:$H$32&lt;=BG$36)*($I$6:$I$32&gt;=BG$36)*(($C$6:$C$32="Contratado")+($C$6:$C$32="Plano")*Premissas!$B$8)*$G$6:$G$32)</f>
        <v>374300</v>
      </c>
      <c r="BH45" s="111" t="n">
        <f aca="false">SUMPRODUCT(($J$6:$J$32="Despesa")*($H$6:$H$32&lt;=BH$36)*($I$6:$I$32&gt;=BH$36)*(($C$6:$C$32="Contratado")+($C$6:$C$32="Plano")*Premissas!$B$8)*$G$6:$G$32)</f>
        <v>374300</v>
      </c>
      <c r="BI45" s="111" t="n">
        <f aca="false">SUMPRODUCT(($J$6:$J$32="Despesa")*($H$6:$H$32&lt;=BI$36)*($I$6:$I$32&gt;=BI$36)*(($C$6:$C$32="Contratado")+($C$6:$C$32="Plano")*Premissas!$B$8)*$G$6:$G$32)</f>
        <v>374300</v>
      </c>
      <c r="BJ45" s="111" t="n">
        <f aca="false">SUM(B45:BI45)</f>
        <v>9451200</v>
      </c>
    </row>
    <row r="46" customFormat="false" ht="15" hidden="false" customHeight="false" outlineLevel="0" collapsed="false">
      <c r="A46" s="112" t="s">
        <v>338</v>
      </c>
      <c r="B46" s="113" t="n">
        <f aca="false">SUMPRODUCT(($J$6:$J$32="Investimento")*($H$6:$H$32&lt;=B$36)*($I$6:$I$32&gt;=B$36)*(($C$6:$C$32="Contratado")+($C$6:$C$32="Plano")*Premissas!$B$8)*$G$6:$G$32)</f>
        <v>0</v>
      </c>
      <c r="C46" s="113" t="n">
        <f aca="false">SUMPRODUCT(($J$6:$J$32="Investimento")*($H$6:$H$32&lt;=C$36)*($I$6:$I$32&gt;=C$36)*(($C$6:$C$32="Contratado")+($C$6:$C$32="Plano")*Premissas!$B$8)*$G$6:$G$32)</f>
        <v>0</v>
      </c>
      <c r="D46" s="113" t="n">
        <f aca="false">SUMPRODUCT(($J$6:$J$32="Investimento")*($H$6:$H$32&lt;=D$36)*($I$6:$I$32&gt;=D$36)*(($C$6:$C$32="Contratado")+($C$6:$C$32="Plano")*Premissas!$B$8)*$G$6:$G$32)</f>
        <v>0</v>
      </c>
      <c r="E46" s="113" t="n">
        <f aca="false">SUMPRODUCT(($J$6:$J$32="Investimento")*($H$6:$H$32&lt;=E$36)*($I$6:$I$32&gt;=E$36)*(($C$6:$C$32="Contratado")+($C$6:$C$32="Plano")*Premissas!$B$8)*$G$6:$G$32)</f>
        <v>0</v>
      </c>
      <c r="F46" s="113" t="n">
        <f aca="false">SUMPRODUCT(($J$6:$J$32="Investimento")*($H$6:$H$32&lt;=F$36)*($I$6:$I$32&gt;=F$36)*(($C$6:$C$32="Contratado")+($C$6:$C$32="Plano")*Premissas!$B$8)*$G$6:$G$32)</f>
        <v>0</v>
      </c>
      <c r="G46" s="113" t="n">
        <f aca="false">SUMPRODUCT(($J$6:$J$32="Investimento")*($H$6:$H$32&lt;=G$36)*($I$6:$I$32&gt;=G$36)*(($C$6:$C$32="Contratado")+($C$6:$C$32="Plano")*Premissas!$B$8)*$G$6:$G$32)</f>
        <v>0</v>
      </c>
      <c r="H46" s="113" t="n">
        <f aca="false">SUMPRODUCT(($J$6:$J$32="Investimento")*($H$6:$H$32&lt;=H$36)*($I$6:$I$32&gt;=H$36)*(($C$6:$C$32="Contratado")+($C$6:$C$32="Plano")*Premissas!$B$8)*$G$6:$G$32)</f>
        <v>0</v>
      </c>
      <c r="I46" s="113" t="n">
        <f aca="false">SUMPRODUCT(($J$6:$J$32="Investimento")*($H$6:$H$32&lt;=I$36)*($I$6:$I$32&gt;=I$36)*(($C$6:$C$32="Contratado")+($C$6:$C$32="Plano")*Premissas!$B$8)*$G$6:$G$32)</f>
        <v>0</v>
      </c>
      <c r="J46" s="113" t="n">
        <f aca="false">SUMPRODUCT(($J$6:$J$32="Investimento")*($H$6:$H$32&lt;=J$36)*($I$6:$I$32&gt;=J$36)*(($C$6:$C$32="Contratado")+($C$6:$C$32="Plano")*Premissas!$B$8)*$G$6:$G$32)</f>
        <v>10500</v>
      </c>
      <c r="K46" s="113" t="n">
        <f aca="false">SUMPRODUCT(($J$6:$J$32="Investimento")*($H$6:$H$32&lt;=K$36)*($I$6:$I$32&gt;=K$36)*(($C$6:$C$32="Contratado")+($C$6:$C$32="Plano")*Premissas!$B$8)*$G$6:$G$32)</f>
        <v>10500</v>
      </c>
      <c r="L46" s="113" t="n">
        <f aca="false">SUMPRODUCT(($J$6:$J$32="Investimento")*($H$6:$H$32&lt;=L$36)*($I$6:$I$32&gt;=L$36)*(($C$6:$C$32="Contratado")+($C$6:$C$32="Plano")*Premissas!$B$8)*$G$6:$G$32)</f>
        <v>0</v>
      </c>
      <c r="M46" s="113" t="n">
        <f aca="false">SUMPRODUCT(($J$6:$J$32="Investimento")*($H$6:$H$32&lt;=M$36)*($I$6:$I$32&gt;=M$36)*(($C$6:$C$32="Contratado")+($C$6:$C$32="Plano")*Premissas!$B$8)*$G$6:$G$32)</f>
        <v>0</v>
      </c>
      <c r="N46" s="113" t="n">
        <f aca="false">SUMPRODUCT(($J$6:$J$32="Investimento")*($H$6:$H$32&lt;=N$36)*($I$6:$I$32&gt;=N$36)*(($C$6:$C$32="Contratado")+($C$6:$C$32="Plano")*Premissas!$B$8)*$G$6:$G$32)</f>
        <v>0</v>
      </c>
      <c r="O46" s="113" t="n">
        <f aca="false">SUMPRODUCT(($J$6:$J$32="Investimento")*($H$6:$H$32&lt;=O$36)*($I$6:$I$32&gt;=O$36)*(($C$6:$C$32="Contratado")+($C$6:$C$32="Plano")*Premissas!$B$8)*$G$6:$G$32)</f>
        <v>0</v>
      </c>
      <c r="P46" s="113" t="n">
        <f aca="false">SUMPRODUCT(($J$6:$J$32="Investimento")*($H$6:$H$32&lt;=P$36)*($I$6:$I$32&gt;=P$36)*(($C$6:$C$32="Contratado")+($C$6:$C$32="Plano")*Premissas!$B$8)*$G$6:$G$32)</f>
        <v>0</v>
      </c>
      <c r="Q46" s="113" t="n">
        <f aca="false">SUMPRODUCT(($J$6:$J$32="Investimento")*($H$6:$H$32&lt;=Q$36)*($I$6:$I$32&gt;=Q$36)*(($C$6:$C$32="Contratado")+($C$6:$C$32="Plano")*Premissas!$B$8)*$G$6:$G$32)</f>
        <v>0</v>
      </c>
      <c r="R46" s="113" t="n">
        <f aca="false">SUMPRODUCT(($J$6:$J$32="Investimento")*($H$6:$H$32&lt;=R$36)*($I$6:$I$32&gt;=R$36)*(($C$6:$C$32="Contratado")+($C$6:$C$32="Plano")*Premissas!$B$8)*$G$6:$G$32)</f>
        <v>0</v>
      </c>
      <c r="S46" s="113" t="n">
        <f aca="false">SUMPRODUCT(($J$6:$J$32="Investimento")*($H$6:$H$32&lt;=S$36)*($I$6:$I$32&gt;=S$36)*(($C$6:$C$32="Contratado")+($C$6:$C$32="Plano")*Premissas!$B$8)*$G$6:$G$32)</f>
        <v>0</v>
      </c>
      <c r="T46" s="113" t="n">
        <f aca="false">SUMPRODUCT(($J$6:$J$32="Investimento")*($H$6:$H$32&lt;=T$36)*($I$6:$I$32&gt;=T$36)*(($C$6:$C$32="Contratado")+($C$6:$C$32="Plano")*Premissas!$B$8)*$G$6:$G$32)</f>
        <v>0</v>
      </c>
      <c r="U46" s="113" t="n">
        <f aca="false">SUMPRODUCT(($J$6:$J$32="Investimento")*($H$6:$H$32&lt;=U$36)*($I$6:$I$32&gt;=U$36)*(($C$6:$C$32="Contratado")+($C$6:$C$32="Plano")*Premissas!$B$8)*$G$6:$G$32)</f>
        <v>0</v>
      </c>
      <c r="V46" s="113" t="n">
        <f aca="false">SUMPRODUCT(($J$6:$J$32="Investimento")*($H$6:$H$32&lt;=V$36)*($I$6:$I$32&gt;=V$36)*(($C$6:$C$32="Contratado")+($C$6:$C$32="Plano")*Premissas!$B$8)*$G$6:$G$32)</f>
        <v>0</v>
      </c>
      <c r="W46" s="113" t="n">
        <f aca="false">SUMPRODUCT(($J$6:$J$32="Investimento")*($H$6:$H$32&lt;=W$36)*($I$6:$I$32&gt;=W$36)*(($C$6:$C$32="Contratado")+($C$6:$C$32="Plano")*Premissas!$B$8)*$G$6:$G$32)</f>
        <v>0</v>
      </c>
      <c r="X46" s="113" t="n">
        <f aca="false">SUMPRODUCT(($J$6:$J$32="Investimento")*($H$6:$H$32&lt;=X$36)*($I$6:$I$32&gt;=X$36)*(($C$6:$C$32="Contratado")+($C$6:$C$32="Plano")*Premissas!$B$8)*$G$6:$G$32)</f>
        <v>0</v>
      </c>
      <c r="Y46" s="113" t="n">
        <f aca="false">SUMPRODUCT(($J$6:$J$32="Investimento")*($H$6:$H$32&lt;=Y$36)*($I$6:$I$32&gt;=Y$36)*(($C$6:$C$32="Contratado")+($C$6:$C$32="Plano")*Premissas!$B$8)*$G$6:$G$32)</f>
        <v>0</v>
      </c>
      <c r="Z46" s="113" t="n">
        <f aca="false">SUMPRODUCT(($J$6:$J$32="Investimento")*($H$6:$H$32&lt;=Z$36)*($I$6:$I$32&gt;=Z$36)*(($C$6:$C$32="Contratado")+($C$6:$C$32="Plano")*Premissas!$B$8)*$G$6:$G$32)</f>
        <v>0</v>
      </c>
      <c r="AA46" s="113" t="n">
        <f aca="false">SUMPRODUCT(($J$6:$J$32="Investimento")*($H$6:$H$32&lt;=AA$36)*($I$6:$I$32&gt;=AA$36)*(($C$6:$C$32="Contratado")+($C$6:$C$32="Plano")*Premissas!$B$8)*$G$6:$G$32)</f>
        <v>0</v>
      </c>
      <c r="AB46" s="113" t="n">
        <f aca="false">SUMPRODUCT(($J$6:$J$32="Investimento")*($H$6:$H$32&lt;=AB$36)*($I$6:$I$32&gt;=AB$36)*(($C$6:$C$32="Contratado")+($C$6:$C$32="Plano")*Premissas!$B$8)*$G$6:$G$32)</f>
        <v>0</v>
      </c>
      <c r="AC46" s="113" t="n">
        <f aca="false">SUMPRODUCT(($J$6:$J$32="Investimento")*($H$6:$H$32&lt;=AC$36)*($I$6:$I$32&gt;=AC$36)*(($C$6:$C$32="Contratado")+($C$6:$C$32="Plano")*Premissas!$B$8)*$G$6:$G$32)</f>
        <v>0</v>
      </c>
      <c r="AD46" s="113" t="n">
        <f aca="false">SUMPRODUCT(($J$6:$J$32="Investimento")*($H$6:$H$32&lt;=AD$36)*($I$6:$I$32&gt;=AD$36)*(($C$6:$C$32="Contratado")+($C$6:$C$32="Plano")*Premissas!$B$8)*$G$6:$G$32)</f>
        <v>0</v>
      </c>
      <c r="AE46" s="113" t="n">
        <f aca="false">SUMPRODUCT(($J$6:$J$32="Investimento")*($H$6:$H$32&lt;=AE$36)*($I$6:$I$32&gt;=AE$36)*(($C$6:$C$32="Contratado")+($C$6:$C$32="Plano")*Premissas!$B$8)*$G$6:$G$32)</f>
        <v>0</v>
      </c>
      <c r="AF46" s="113" t="n">
        <f aca="false">SUMPRODUCT(($J$6:$J$32="Investimento")*($H$6:$H$32&lt;=AF$36)*($I$6:$I$32&gt;=AF$36)*(($C$6:$C$32="Contratado")+($C$6:$C$32="Plano")*Premissas!$B$8)*$G$6:$G$32)</f>
        <v>0</v>
      </c>
      <c r="AG46" s="113" t="n">
        <f aca="false">SUMPRODUCT(($J$6:$J$32="Investimento")*($H$6:$H$32&lt;=AG$36)*($I$6:$I$32&gt;=AG$36)*(($C$6:$C$32="Contratado")+($C$6:$C$32="Plano")*Premissas!$B$8)*$G$6:$G$32)</f>
        <v>0</v>
      </c>
      <c r="AH46" s="113" t="n">
        <f aca="false">SUMPRODUCT(($J$6:$J$32="Investimento")*($H$6:$H$32&lt;=AH$36)*($I$6:$I$32&gt;=AH$36)*(($C$6:$C$32="Contratado")+($C$6:$C$32="Plano")*Premissas!$B$8)*$G$6:$G$32)</f>
        <v>0</v>
      </c>
      <c r="AI46" s="113" t="n">
        <f aca="false">SUMPRODUCT(($J$6:$J$32="Investimento")*($H$6:$H$32&lt;=AI$36)*($I$6:$I$32&gt;=AI$36)*(($C$6:$C$32="Contratado")+($C$6:$C$32="Plano")*Premissas!$B$8)*$G$6:$G$32)</f>
        <v>0</v>
      </c>
      <c r="AJ46" s="113" t="n">
        <f aca="false">SUMPRODUCT(($J$6:$J$32="Investimento")*($H$6:$H$32&lt;=AJ$36)*($I$6:$I$32&gt;=AJ$36)*(($C$6:$C$32="Contratado")+($C$6:$C$32="Plano")*Premissas!$B$8)*$G$6:$G$32)</f>
        <v>0</v>
      </c>
      <c r="AK46" s="113" t="n">
        <f aca="false">SUMPRODUCT(($J$6:$J$32="Investimento")*($H$6:$H$32&lt;=AK$36)*($I$6:$I$32&gt;=AK$36)*(($C$6:$C$32="Contratado")+($C$6:$C$32="Plano")*Premissas!$B$8)*$G$6:$G$32)</f>
        <v>0</v>
      </c>
      <c r="AL46" s="113" t="n">
        <f aca="false">SUMPRODUCT(($J$6:$J$32="Investimento")*($H$6:$H$32&lt;=AL$36)*($I$6:$I$32&gt;=AL$36)*(($C$6:$C$32="Contratado")+($C$6:$C$32="Plano")*Premissas!$B$8)*$G$6:$G$32)</f>
        <v>0</v>
      </c>
      <c r="AM46" s="113" t="n">
        <f aca="false">SUMPRODUCT(($J$6:$J$32="Investimento")*($H$6:$H$32&lt;=AM$36)*($I$6:$I$32&gt;=AM$36)*(($C$6:$C$32="Contratado")+($C$6:$C$32="Plano")*Premissas!$B$8)*$G$6:$G$32)</f>
        <v>0</v>
      </c>
      <c r="AN46" s="113" t="n">
        <f aca="false">SUMPRODUCT(($J$6:$J$32="Investimento")*($H$6:$H$32&lt;=AN$36)*($I$6:$I$32&gt;=AN$36)*(($C$6:$C$32="Contratado")+($C$6:$C$32="Plano")*Premissas!$B$8)*$G$6:$G$32)</f>
        <v>0</v>
      </c>
      <c r="AO46" s="113" t="n">
        <f aca="false">SUMPRODUCT(($J$6:$J$32="Investimento")*($H$6:$H$32&lt;=AO$36)*($I$6:$I$32&gt;=AO$36)*(($C$6:$C$32="Contratado")+($C$6:$C$32="Plano")*Premissas!$B$8)*$G$6:$G$32)</f>
        <v>0</v>
      </c>
      <c r="AP46" s="113" t="n">
        <f aca="false">SUMPRODUCT(($J$6:$J$32="Investimento")*($H$6:$H$32&lt;=AP$36)*($I$6:$I$32&gt;=AP$36)*(($C$6:$C$32="Contratado")+($C$6:$C$32="Plano")*Premissas!$B$8)*$G$6:$G$32)</f>
        <v>0</v>
      </c>
      <c r="AQ46" s="113" t="n">
        <f aca="false">SUMPRODUCT(($J$6:$J$32="Investimento")*($H$6:$H$32&lt;=AQ$36)*($I$6:$I$32&gt;=AQ$36)*(($C$6:$C$32="Contratado")+($C$6:$C$32="Plano")*Premissas!$B$8)*$G$6:$G$32)</f>
        <v>0</v>
      </c>
      <c r="AR46" s="113" t="n">
        <f aca="false">SUMPRODUCT(($J$6:$J$32="Investimento")*($H$6:$H$32&lt;=AR$36)*($I$6:$I$32&gt;=AR$36)*(($C$6:$C$32="Contratado")+($C$6:$C$32="Plano")*Premissas!$B$8)*$G$6:$G$32)</f>
        <v>0</v>
      </c>
      <c r="AS46" s="113" t="n">
        <f aca="false">SUMPRODUCT(($J$6:$J$32="Investimento")*($H$6:$H$32&lt;=AS$36)*($I$6:$I$32&gt;=AS$36)*(($C$6:$C$32="Contratado")+($C$6:$C$32="Plano")*Premissas!$B$8)*$G$6:$G$32)</f>
        <v>0</v>
      </c>
      <c r="AT46" s="113" t="n">
        <f aca="false">SUMPRODUCT(($J$6:$J$32="Investimento")*($H$6:$H$32&lt;=AT$36)*($I$6:$I$32&gt;=AT$36)*(($C$6:$C$32="Contratado")+($C$6:$C$32="Plano")*Premissas!$B$8)*$G$6:$G$32)</f>
        <v>0</v>
      </c>
      <c r="AU46" s="113" t="n">
        <f aca="false">SUMPRODUCT(($J$6:$J$32="Investimento")*($H$6:$H$32&lt;=AU$36)*($I$6:$I$32&gt;=AU$36)*(($C$6:$C$32="Contratado")+($C$6:$C$32="Plano")*Premissas!$B$8)*$G$6:$G$32)</f>
        <v>0</v>
      </c>
      <c r="AV46" s="113" t="n">
        <f aca="false">SUMPRODUCT(($J$6:$J$32="Investimento")*($H$6:$H$32&lt;=AV$36)*($I$6:$I$32&gt;=AV$36)*(($C$6:$C$32="Contratado")+($C$6:$C$32="Plano")*Premissas!$B$8)*$G$6:$G$32)</f>
        <v>0</v>
      </c>
      <c r="AW46" s="113" t="n">
        <f aca="false">SUMPRODUCT(($J$6:$J$32="Investimento")*($H$6:$H$32&lt;=AW$36)*($I$6:$I$32&gt;=AW$36)*(($C$6:$C$32="Contratado")+($C$6:$C$32="Plano")*Premissas!$B$8)*$G$6:$G$32)</f>
        <v>0</v>
      </c>
      <c r="AX46" s="113" t="n">
        <f aca="false">SUMPRODUCT(($J$6:$J$32="Investimento")*($H$6:$H$32&lt;=AX$36)*($I$6:$I$32&gt;=AX$36)*(($C$6:$C$32="Contratado")+($C$6:$C$32="Plano")*Premissas!$B$8)*$G$6:$G$32)</f>
        <v>0</v>
      </c>
      <c r="AY46" s="113" t="n">
        <f aca="false">SUMPRODUCT(($J$6:$J$32="Investimento")*($H$6:$H$32&lt;=AY$36)*($I$6:$I$32&gt;=AY$36)*(($C$6:$C$32="Contratado")+($C$6:$C$32="Plano")*Premissas!$B$8)*$G$6:$G$32)</f>
        <v>0</v>
      </c>
      <c r="AZ46" s="113" t="n">
        <f aca="false">SUMPRODUCT(($J$6:$J$32="Investimento")*($H$6:$H$32&lt;=AZ$36)*($I$6:$I$32&gt;=AZ$36)*(($C$6:$C$32="Contratado")+($C$6:$C$32="Plano")*Premissas!$B$8)*$G$6:$G$32)</f>
        <v>0</v>
      </c>
      <c r="BA46" s="113" t="n">
        <f aca="false">SUMPRODUCT(($J$6:$J$32="Investimento")*($H$6:$H$32&lt;=BA$36)*($I$6:$I$32&gt;=BA$36)*(($C$6:$C$32="Contratado")+($C$6:$C$32="Plano")*Premissas!$B$8)*$G$6:$G$32)</f>
        <v>0</v>
      </c>
      <c r="BB46" s="113" t="n">
        <f aca="false">SUMPRODUCT(($J$6:$J$32="Investimento")*($H$6:$H$32&lt;=BB$36)*($I$6:$I$32&gt;=BB$36)*(($C$6:$C$32="Contratado")+($C$6:$C$32="Plano")*Premissas!$B$8)*$G$6:$G$32)</f>
        <v>0</v>
      </c>
      <c r="BC46" s="113" t="n">
        <f aca="false">SUMPRODUCT(($J$6:$J$32="Investimento")*($H$6:$H$32&lt;=BC$36)*($I$6:$I$32&gt;=BC$36)*(($C$6:$C$32="Contratado")+($C$6:$C$32="Plano")*Premissas!$B$8)*$G$6:$G$32)</f>
        <v>0</v>
      </c>
      <c r="BD46" s="113" t="n">
        <f aca="false">SUMPRODUCT(($J$6:$J$32="Investimento")*($H$6:$H$32&lt;=BD$36)*($I$6:$I$32&gt;=BD$36)*(($C$6:$C$32="Contratado")+($C$6:$C$32="Plano")*Premissas!$B$8)*$G$6:$G$32)</f>
        <v>0</v>
      </c>
      <c r="BE46" s="113" t="n">
        <f aca="false">SUMPRODUCT(($J$6:$J$32="Investimento")*($H$6:$H$32&lt;=BE$36)*($I$6:$I$32&gt;=BE$36)*(($C$6:$C$32="Contratado")+($C$6:$C$32="Plano")*Premissas!$B$8)*$G$6:$G$32)</f>
        <v>0</v>
      </c>
      <c r="BF46" s="113" t="n">
        <f aca="false">SUMPRODUCT(($J$6:$J$32="Investimento")*($H$6:$H$32&lt;=BF$36)*($I$6:$I$32&gt;=BF$36)*(($C$6:$C$32="Contratado")+($C$6:$C$32="Plano")*Premissas!$B$8)*$G$6:$G$32)</f>
        <v>0</v>
      </c>
      <c r="BG46" s="113" t="n">
        <f aca="false">SUMPRODUCT(($J$6:$J$32="Investimento")*($H$6:$H$32&lt;=BG$36)*($I$6:$I$32&gt;=BG$36)*(($C$6:$C$32="Contratado")+($C$6:$C$32="Plano")*Premissas!$B$8)*$G$6:$G$32)</f>
        <v>0</v>
      </c>
      <c r="BH46" s="113" t="n">
        <f aca="false">SUMPRODUCT(($J$6:$J$32="Investimento")*($H$6:$H$32&lt;=BH$36)*($I$6:$I$32&gt;=BH$36)*(($C$6:$C$32="Contratado")+($C$6:$C$32="Plano")*Premissas!$B$8)*$G$6:$G$32)</f>
        <v>0</v>
      </c>
      <c r="BI46" s="113" t="n">
        <f aca="false">SUMPRODUCT(($J$6:$J$32="Investimento")*($H$6:$H$32&lt;=BI$36)*($I$6:$I$32&gt;=BI$36)*(($C$6:$C$32="Contratado")+($C$6:$C$32="Plano")*Premissas!$B$8)*$G$6:$G$32)</f>
        <v>0</v>
      </c>
      <c r="BJ46" s="111" t="n">
        <f aca="false">SUM(B46:BI46)</f>
        <v>21000</v>
      </c>
      <c r="BK46" s="29" t="s">
        <v>339</v>
      </c>
    </row>
    <row r="47" customFormat="false" ht="15" hidden="false" customHeight="false" outlineLevel="0" collapsed="false">
      <c r="A47" s="114" t="s">
        <v>340</v>
      </c>
      <c r="B47" s="115" t="n">
        <f aca="false">SUMPRODUCT((($B$6:$B$32="CLT")+($B$6:$B$32="Sócio"))*($H$6:$H$32&lt;=B$36)*($I$6:$I$32&gt;=B$36)*(($C$6:$C$32="Contratado")+($C$6:$C$32="Plano")*Premissas!$B$8)*$G$6:$G$32)</f>
        <v>0</v>
      </c>
      <c r="C47" s="115" t="n">
        <f aca="false">SUMPRODUCT((($B$6:$B$32="CLT")+($B$6:$B$32="Sócio"))*($H$6:$H$32&lt;=C$36)*($I$6:$I$32&gt;=C$36)*(($C$6:$C$32="Contratado")+($C$6:$C$32="Plano")*Premissas!$B$8)*$G$6:$G$32)</f>
        <v>0</v>
      </c>
      <c r="D47" s="115" t="n">
        <f aca="false">SUMPRODUCT((($B$6:$B$32="CLT")+($B$6:$B$32="Sócio"))*($H$6:$H$32&lt;=D$36)*($I$6:$I$32&gt;=D$36)*(($C$6:$C$32="Contratado")+($C$6:$C$32="Plano")*Premissas!$B$8)*$G$6:$G$32)</f>
        <v>0</v>
      </c>
      <c r="E47" s="115" t="n">
        <f aca="false">SUMPRODUCT((($B$6:$B$32="CLT")+($B$6:$B$32="Sócio"))*($H$6:$H$32&lt;=E$36)*($I$6:$I$32&gt;=E$36)*(($C$6:$C$32="Contratado")+($C$6:$C$32="Plano")*Premissas!$B$8)*$G$6:$G$32)</f>
        <v>0</v>
      </c>
      <c r="F47" s="115" t="n">
        <f aca="false">SUMPRODUCT((($B$6:$B$32="CLT")+($B$6:$B$32="Sócio"))*($H$6:$H$32&lt;=F$36)*($I$6:$I$32&gt;=F$36)*(($C$6:$C$32="Contratado")+($C$6:$C$32="Plano")*Premissas!$B$8)*$G$6:$G$32)</f>
        <v>0</v>
      </c>
      <c r="G47" s="115" t="n">
        <f aca="false">SUMPRODUCT((($B$6:$B$32="CLT")+($B$6:$B$32="Sócio"))*($H$6:$H$32&lt;=G$36)*($I$6:$I$32&gt;=G$36)*(($C$6:$C$32="Contratado")+($C$6:$C$32="Plano")*Premissas!$B$8)*$G$6:$G$32)</f>
        <v>0</v>
      </c>
      <c r="H47" s="115" t="n">
        <f aca="false">SUMPRODUCT((($B$6:$B$32="CLT")+($B$6:$B$32="Sócio"))*($H$6:$H$32&lt;=H$36)*($I$6:$I$32&gt;=H$36)*(($C$6:$C$32="Contratado")+($C$6:$C$32="Plano")*Premissas!$B$8)*$G$6:$G$32)</f>
        <v>0</v>
      </c>
      <c r="I47" s="115" t="n">
        <f aca="false">SUMPRODUCT((($B$6:$B$32="CLT")+($B$6:$B$32="Sócio"))*($H$6:$H$32&lt;=I$36)*($I$6:$I$32&gt;=I$36)*(($C$6:$C$32="Contratado")+($C$6:$C$32="Plano")*Premissas!$B$8)*$G$6:$G$32)</f>
        <v>0</v>
      </c>
      <c r="J47" s="115" t="n">
        <f aca="false">SUMPRODUCT((($B$6:$B$32="CLT")+($B$6:$B$32="Sócio"))*($H$6:$H$32&lt;=J$36)*($I$6:$I$32&gt;=J$36)*(($C$6:$C$32="Contratado")+($C$6:$C$32="Plano")*Premissas!$B$8)*$G$6:$G$32)</f>
        <v>0</v>
      </c>
      <c r="K47" s="115" t="n">
        <f aca="false">SUMPRODUCT((($B$6:$B$32="CLT")+($B$6:$B$32="Sócio"))*($H$6:$H$32&lt;=K$36)*($I$6:$I$32&gt;=K$36)*(($C$6:$C$32="Contratado")+($C$6:$C$32="Plano")*Premissas!$B$8)*$G$6:$G$32)</f>
        <v>0</v>
      </c>
      <c r="L47" s="115" t="n">
        <f aca="false">SUMPRODUCT((($B$6:$B$32="CLT")+($B$6:$B$32="Sócio"))*($H$6:$H$32&lt;=L$36)*($I$6:$I$32&gt;=L$36)*(($C$6:$C$32="Contratado")+($C$6:$C$32="Plano")*Premissas!$B$8)*$G$6:$G$32)</f>
        <v>0</v>
      </c>
      <c r="M47" s="115" t="n">
        <f aca="false">SUMPRODUCT((($B$6:$B$32="CLT")+($B$6:$B$32="Sócio"))*($H$6:$H$32&lt;=M$36)*($I$6:$I$32&gt;=M$36)*(($C$6:$C$32="Contratado")+($C$6:$C$32="Plano")*Premissas!$B$8)*$G$6:$G$32)</f>
        <v>0</v>
      </c>
      <c r="N47" s="115" t="n">
        <f aca="false">SUMPRODUCT((($B$6:$B$32="CLT")+($B$6:$B$32="Sócio"))*($H$6:$H$32&lt;=N$36)*($I$6:$I$32&gt;=N$36)*(($C$6:$C$32="Contratado")+($C$6:$C$32="Plano")*Premissas!$B$8)*$G$6:$G$32)</f>
        <v>15000</v>
      </c>
      <c r="O47" s="115" t="n">
        <f aca="false">SUMPRODUCT((($B$6:$B$32="CLT")+($B$6:$B$32="Sócio"))*($H$6:$H$32&lt;=O$36)*($I$6:$I$32&gt;=O$36)*(($C$6:$C$32="Contratado")+($C$6:$C$32="Plano")*Premissas!$B$8)*$G$6:$G$32)</f>
        <v>15000</v>
      </c>
      <c r="P47" s="115" t="n">
        <f aca="false">SUMPRODUCT((($B$6:$B$32="CLT")+($B$6:$B$32="Sócio"))*($H$6:$H$32&lt;=P$36)*($I$6:$I$32&gt;=P$36)*(($C$6:$C$32="Contratado")+($C$6:$C$32="Plano")*Premissas!$B$8)*$G$6:$G$32)</f>
        <v>15000</v>
      </c>
      <c r="Q47" s="115" t="n">
        <f aca="false">SUMPRODUCT((($B$6:$B$32="CLT")+($B$6:$B$32="Sócio"))*($H$6:$H$32&lt;=Q$36)*($I$6:$I$32&gt;=Q$36)*(($C$6:$C$32="Contratado")+($C$6:$C$32="Plano")*Premissas!$B$8)*$G$6:$G$32)</f>
        <v>15000</v>
      </c>
      <c r="R47" s="115" t="n">
        <f aca="false">SUMPRODUCT((($B$6:$B$32="CLT")+($B$6:$B$32="Sócio"))*($H$6:$H$32&lt;=R$36)*($I$6:$I$32&gt;=R$36)*(($C$6:$C$32="Contratado")+($C$6:$C$32="Plano")*Premissas!$B$8)*$G$6:$G$32)</f>
        <v>15000</v>
      </c>
      <c r="S47" s="115" t="n">
        <f aca="false">SUMPRODUCT((($B$6:$B$32="CLT")+($B$6:$B$32="Sócio"))*($H$6:$H$32&lt;=S$36)*($I$6:$I$32&gt;=S$36)*(($C$6:$C$32="Contratado")+($C$6:$C$32="Plano")*Premissas!$B$8)*$G$6:$G$32)</f>
        <v>15000</v>
      </c>
      <c r="T47" s="115" t="n">
        <f aca="false">SUMPRODUCT((($B$6:$B$32="CLT")+($B$6:$B$32="Sócio"))*($H$6:$H$32&lt;=T$36)*($I$6:$I$32&gt;=T$36)*(($C$6:$C$32="Contratado")+($C$6:$C$32="Plano")*Premissas!$B$8)*$G$6:$G$32)</f>
        <v>15000</v>
      </c>
      <c r="U47" s="115" t="n">
        <f aca="false">SUMPRODUCT((($B$6:$B$32="CLT")+($B$6:$B$32="Sócio"))*($H$6:$H$32&lt;=U$36)*($I$6:$I$32&gt;=U$36)*(($C$6:$C$32="Contratado")+($C$6:$C$32="Plano")*Premissas!$B$8)*$G$6:$G$32)</f>
        <v>15000</v>
      </c>
      <c r="V47" s="115" t="n">
        <f aca="false">SUMPRODUCT((($B$6:$B$32="CLT")+($B$6:$B$32="Sócio"))*($H$6:$H$32&lt;=V$36)*($I$6:$I$32&gt;=V$36)*(($C$6:$C$32="Contratado")+($C$6:$C$32="Plano")*Premissas!$B$8)*$G$6:$G$32)</f>
        <v>15000</v>
      </c>
      <c r="W47" s="115" t="n">
        <f aca="false">SUMPRODUCT((($B$6:$B$32="CLT")+($B$6:$B$32="Sócio"))*($H$6:$H$32&lt;=W$36)*($I$6:$I$32&gt;=W$36)*(($C$6:$C$32="Contratado")+($C$6:$C$32="Plano")*Premissas!$B$8)*$G$6:$G$32)</f>
        <v>15000</v>
      </c>
      <c r="X47" s="115" t="n">
        <f aca="false">SUMPRODUCT((($B$6:$B$32="CLT")+($B$6:$B$32="Sócio"))*($H$6:$H$32&lt;=X$36)*($I$6:$I$32&gt;=X$36)*(($C$6:$C$32="Contratado")+($C$6:$C$32="Plano")*Premissas!$B$8)*$G$6:$G$32)</f>
        <v>15000</v>
      </c>
      <c r="Y47" s="115" t="n">
        <f aca="false">SUMPRODUCT((($B$6:$B$32="CLT")+($B$6:$B$32="Sócio"))*($H$6:$H$32&lt;=Y$36)*($I$6:$I$32&gt;=Y$36)*(($C$6:$C$32="Contratado")+($C$6:$C$32="Plano")*Premissas!$B$8)*$G$6:$G$32)</f>
        <v>15000</v>
      </c>
      <c r="Z47" s="115" t="n">
        <f aca="false">SUMPRODUCT((($B$6:$B$32="CLT")+($B$6:$B$32="Sócio"))*($H$6:$H$32&lt;=Z$36)*($I$6:$I$32&gt;=Z$36)*(($C$6:$C$32="Contratado")+($C$6:$C$32="Plano")*Premissas!$B$8)*$G$6:$G$32)</f>
        <v>15000</v>
      </c>
      <c r="AA47" s="115" t="n">
        <f aca="false">SUMPRODUCT((($B$6:$B$32="CLT")+($B$6:$B$32="Sócio"))*($H$6:$H$32&lt;=AA$36)*($I$6:$I$32&gt;=AA$36)*(($C$6:$C$32="Contratado")+($C$6:$C$32="Plano")*Premissas!$B$8)*$G$6:$G$32)</f>
        <v>15000</v>
      </c>
      <c r="AB47" s="115" t="n">
        <f aca="false">SUMPRODUCT((($B$6:$B$32="CLT")+($B$6:$B$32="Sócio"))*($H$6:$H$32&lt;=AB$36)*($I$6:$I$32&gt;=AB$36)*(($C$6:$C$32="Contratado")+($C$6:$C$32="Plano")*Premissas!$B$8)*$G$6:$G$32)</f>
        <v>15000</v>
      </c>
      <c r="AC47" s="115" t="n">
        <f aca="false">SUMPRODUCT((($B$6:$B$32="CLT")+($B$6:$B$32="Sócio"))*($H$6:$H$32&lt;=AC$36)*($I$6:$I$32&gt;=AC$36)*(($C$6:$C$32="Contratado")+($C$6:$C$32="Plano")*Premissas!$B$8)*$G$6:$G$32)</f>
        <v>15000</v>
      </c>
      <c r="AD47" s="115" t="n">
        <f aca="false">SUMPRODUCT((($B$6:$B$32="CLT")+($B$6:$B$32="Sócio"))*($H$6:$H$32&lt;=AD$36)*($I$6:$I$32&gt;=AD$36)*(($C$6:$C$32="Contratado")+($C$6:$C$32="Plano")*Premissas!$B$8)*$G$6:$G$32)</f>
        <v>15000</v>
      </c>
      <c r="AE47" s="115" t="n">
        <f aca="false">SUMPRODUCT((($B$6:$B$32="CLT")+($B$6:$B$32="Sócio"))*($H$6:$H$32&lt;=AE$36)*($I$6:$I$32&gt;=AE$36)*(($C$6:$C$32="Contratado")+($C$6:$C$32="Plano")*Premissas!$B$8)*$G$6:$G$32)</f>
        <v>15000</v>
      </c>
      <c r="AF47" s="115" t="n">
        <f aca="false">SUMPRODUCT((($B$6:$B$32="CLT")+($B$6:$B$32="Sócio"))*($H$6:$H$32&lt;=AF$36)*($I$6:$I$32&gt;=AF$36)*(($C$6:$C$32="Contratado")+($C$6:$C$32="Plano")*Premissas!$B$8)*$G$6:$G$32)</f>
        <v>15000</v>
      </c>
      <c r="AG47" s="115" t="n">
        <f aca="false">SUMPRODUCT((($B$6:$B$32="CLT")+($B$6:$B$32="Sócio"))*($H$6:$H$32&lt;=AG$36)*($I$6:$I$32&gt;=AG$36)*(($C$6:$C$32="Contratado")+($C$6:$C$32="Plano")*Premissas!$B$8)*$G$6:$G$32)</f>
        <v>15000</v>
      </c>
      <c r="AH47" s="115" t="n">
        <f aca="false">SUMPRODUCT((($B$6:$B$32="CLT")+($B$6:$B$32="Sócio"))*($H$6:$H$32&lt;=AH$36)*($I$6:$I$32&gt;=AH$36)*(($C$6:$C$32="Contratado")+($C$6:$C$32="Plano")*Premissas!$B$8)*$G$6:$G$32)</f>
        <v>15000</v>
      </c>
      <c r="AI47" s="115" t="n">
        <f aca="false">SUMPRODUCT((($B$6:$B$32="CLT")+($B$6:$B$32="Sócio"))*($H$6:$H$32&lt;=AI$36)*($I$6:$I$32&gt;=AI$36)*(($C$6:$C$32="Contratado")+($C$6:$C$32="Plano")*Premissas!$B$8)*$G$6:$G$32)</f>
        <v>15000</v>
      </c>
      <c r="AJ47" s="115" t="n">
        <f aca="false">SUMPRODUCT((($B$6:$B$32="CLT")+($B$6:$B$32="Sócio"))*($H$6:$H$32&lt;=AJ$36)*($I$6:$I$32&gt;=AJ$36)*(($C$6:$C$32="Contratado")+($C$6:$C$32="Plano")*Premissas!$B$8)*$G$6:$G$32)</f>
        <v>15000</v>
      </c>
      <c r="AK47" s="115" t="n">
        <f aca="false">SUMPRODUCT((($B$6:$B$32="CLT")+($B$6:$B$32="Sócio"))*($H$6:$H$32&lt;=AK$36)*($I$6:$I$32&gt;=AK$36)*(($C$6:$C$32="Contratado")+($C$6:$C$32="Plano")*Premissas!$B$8)*$G$6:$G$32)</f>
        <v>15000</v>
      </c>
      <c r="AL47" s="115" t="n">
        <f aca="false">SUMPRODUCT((($B$6:$B$32="CLT")+($B$6:$B$32="Sócio"))*($H$6:$H$32&lt;=AL$36)*($I$6:$I$32&gt;=AL$36)*(($C$6:$C$32="Contratado")+($C$6:$C$32="Plano")*Premissas!$B$8)*$G$6:$G$32)</f>
        <v>32000</v>
      </c>
      <c r="AM47" s="115" t="n">
        <f aca="false">SUMPRODUCT((($B$6:$B$32="CLT")+($B$6:$B$32="Sócio"))*($H$6:$H$32&lt;=AM$36)*($I$6:$I$32&gt;=AM$36)*(($C$6:$C$32="Contratado")+($C$6:$C$32="Plano")*Premissas!$B$8)*$G$6:$G$32)</f>
        <v>32000</v>
      </c>
      <c r="AN47" s="115" t="n">
        <f aca="false">SUMPRODUCT((($B$6:$B$32="CLT")+($B$6:$B$32="Sócio"))*($H$6:$H$32&lt;=AN$36)*($I$6:$I$32&gt;=AN$36)*(($C$6:$C$32="Contratado")+($C$6:$C$32="Plano")*Premissas!$B$8)*$G$6:$G$32)</f>
        <v>32000</v>
      </c>
      <c r="AO47" s="115" t="n">
        <f aca="false">SUMPRODUCT((($B$6:$B$32="CLT")+($B$6:$B$32="Sócio"))*($H$6:$H$32&lt;=AO$36)*($I$6:$I$32&gt;=AO$36)*(($C$6:$C$32="Contratado")+($C$6:$C$32="Plano")*Premissas!$B$8)*$G$6:$G$32)</f>
        <v>32000</v>
      </c>
      <c r="AP47" s="115" t="n">
        <f aca="false">SUMPRODUCT((($B$6:$B$32="CLT")+($B$6:$B$32="Sócio"))*($H$6:$H$32&lt;=AP$36)*($I$6:$I$32&gt;=AP$36)*(($C$6:$C$32="Contratado")+($C$6:$C$32="Plano")*Premissas!$B$8)*$G$6:$G$32)</f>
        <v>32000</v>
      </c>
      <c r="AQ47" s="115" t="n">
        <f aca="false">SUMPRODUCT((($B$6:$B$32="CLT")+($B$6:$B$32="Sócio"))*($H$6:$H$32&lt;=AQ$36)*($I$6:$I$32&gt;=AQ$36)*(($C$6:$C$32="Contratado")+($C$6:$C$32="Plano")*Premissas!$B$8)*$G$6:$G$32)</f>
        <v>32000</v>
      </c>
      <c r="AR47" s="115" t="n">
        <f aca="false">SUMPRODUCT((($B$6:$B$32="CLT")+($B$6:$B$32="Sócio"))*($H$6:$H$32&lt;=AR$36)*($I$6:$I$32&gt;=AR$36)*(($C$6:$C$32="Contratado")+($C$6:$C$32="Plano")*Premissas!$B$8)*$G$6:$G$32)</f>
        <v>32000</v>
      </c>
      <c r="AS47" s="115" t="n">
        <f aca="false">SUMPRODUCT((($B$6:$B$32="CLT")+($B$6:$B$32="Sócio"))*($H$6:$H$32&lt;=AS$36)*($I$6:$I$32&gt;=AS$36)*(($C$6:$C$32="Contratado")+($C$6:$C$32="Plano")*Premissas!$B$8)*$G$6:$G$32)</f>
        <v>32000</v>
      </c>
      <c r="AT47" s="115" t="n">
        <f aca="false">SUMPRODUCT((($B$6:$B$32="CLT")+($B$6:$B$32="Sócio"))*($H$6:$H$32&lt;=AT$36)*($I$6:$I$32&gt;=AT$36)*(($C$6:$C$32="Contratado")+($C$6:$C$32="Plano")*Premissas!$B$8)*$G$6:$G$32)</f>
        <v>32000</v>
      </c>
      <c r="AU47" s="115" t="n">
        <f aca="false">SUMPRODUCT((($B$6:$B$32="CLT")+($B$6:$B$32="Sócio"))*($H$6:$H$32&lt;=AU$36)*($I$6:$I$32&gt;=AU$36)*(($C$6:$C$32="Contratado")+($C$6:$C$32="Plano")*Premissas!$B$8)*$G$6:$G$32)</f>
        <v>32000</v>
      </c>
      <c r="AV47" s="115" t="n">
        <f aca="false">SUMPRODUCT((($B$6:$B$32="CLT")+($B$6:$B$32="Sócio"))*($H$6:$H$32&lt;=AV$36)*($I$6:$I$32&gt;=AV$36)*(($C$6:$C$32="Contratado")+($C$6:$C$32="Plano")*Premissas!$B$8)*$G$6:$G$32)</f>
        <v>32000</v>
      </c>
      <c r="AW47" s="115" t="n">
        <f aca="false">SUMPRODUCT((($B$6:$B$32="CLT")+($B$6:$B$32="Sócio"))*($H$6:$H$32&lt;=AW$36)*($I$6:$I$32&gt;=AW$36)*(($C$6:$C$32="Contratado")+($C$6:$C$32="Plano")*Premissas!$B$8)*$G$6:$G$32)</f>
        <v>32000</v>
      </c>
      <c r="AX47" s="115" t="n">
        <f aca="false">SUMPRODUCT((($B$6:$B$32="CLT")+($B$6:$B$32="Sócio"))*($H$6:$H$32&lt;=AX$36)*($I$6:$I$32&gt;=AX$36)*(($C$6:$C$32="Contratado")+($C$6:$C$32="Plano")*Premissas!$B$8)*$G$6:$G$32)</f>
        <v>32000</v>
      </c>
      <c r="AY47" s="115" t="n">
        <f aca="false">SUMPRODUCT((($B$6:$B$32="CLT")+($B$6:$B$32="Sócio"))*($H$6:$H$32&lt;=AY$36)*($I$6:$I$32&gt;=AY$36)*(($C$6:$C$32="Contratado")+($C$6:$C$32="Plano")*Premissas!$B$8)*$G$6:$G$32)</f>
        <v>32000</v>
      </c>
      <c r="AZ47" s="115" t="n">
        <f aca="false">SUMPRODUCT((($B$6:$B$32="CLT")+($B$6:$B$32="Sócio"))*($H$6:$H$32&lt;=AZ$36)*($I$6:$I$32&gt;=AZ$36)*(($C$6:$C$32="Contratado")+($C$6:$C$32="Plano")*Premissas!$B$8)*$G$6:$G$32)</f>
        <v>32000</v>
      </c>
      <c r="BA47" s="115" t="n">
        <f aca="false">SUMPRODUCT((($B$6:$B$32="CLT")+($B$6:$B$32="Sócio"))*($H$6:$H$32&lt;=BA$36)*($I$6:$I$32&gt;=BA$36)*(($C$6:$C$32="Contratado")+($C$6:$C$32="Plano")*Premissas!$B$8)*$G$6:$G$32)</f>
        <v>32000</v>
      </c>
      <c r="BB47" s="115" t="n">
        <f aca="false">SUMPRODUCT((($B$6:$B$32="CLT")+($B$6:$B$32="Sócio"))*($H$6:$H$32&lt;=BB$36)*($I$6:$I$32&gt;=BB$36)*(($C$6:$C$32="Contratado")+($C$6:$C$32="Plano")*Premissas!$B$8)*$G$6:$G$32)</f>
        <v>32000</v>
      </c>
      <c r="BC47" s="115" t="n">
        <f aca="false">SUMPRODUCT((($B$6:$B$32="CLT")+($B$6:$B$32="Sócio"))*($H$6:$H$32&lt;=BC$36)*($I$6:$I$32&gt;=BC$36)*(($C$6:$C$32="Contratado")+($C$6:$C$32="Plano")*Premissas!$B$8)*$G$6:$G$32)</f>
        <v>32000</v>
      </c>
      <c r="BD47" s="115" t="n">
        <f aca="false">SUMPRODUCT((($B$6:$B$32="CLT")+($B$6:$B$32="Sócio"))*($H$6:$H$32&lt;=BD$36)*($I$6:$I$32&gt;=BD$36)*(($C$6:$C$32="Contratado")+($C$6:$C$32="Plano")*Premissas!$B$8)*$G$6:$G$32)</f>
        <v>32000</v>
      </c>
      <c r="BE47" s="115" t="n">
        <f aca="false">SUMPRODUCT((($B$6:$B$32="CLT")+($B$6:$B$32="Sócio"))*($H$6:$H$32&lt;=BE$36)*($I$6:$I$32&gt;=BE$36)*(($C$6:$C$32="Contratado")+($C$6:$C$32="Plano")*Premissas!$B$8)*$G$6:$G$32)</f>
        <v>32000</v>
      </c>
      <c r="BF47" s="115" t="n">
        <f aca="false">SUMPRODUCT((($B$6:$B$32="CLT")+($B$6:$B$32="Sócio"))*($H$6:$H$32&lt;=BF$36)*($I$6:$I$32&gt;=BF$36)*(($C$6:$C$32="Contratado")+($C$6:$C$32="Plano")*Premissas!$B$8)*$G$6:$G$32)</f>
        <v>32000</v>
      </c>
      <c r="BG47" s="115" t="n">
        <f aca="false">SUMPRODUCT((($B$6:$B$32="CLT")+($B$6:$B$32="Sócio"))*($H$6:$H$32&lt;=BG$36)*($I$6:$I$32&gt;=BG$36)*(($C$6:$C$32="Contratado")+($C$6:$C$32="Plano")*Premissas!$B$8)*$G$6:$G$32)</f>
        <v>32000</v>
      </c>
      <c r="BH47" s="115" t="n">
        <f aca="false">SUMPRODUCT((($B$6:$B$32="CLT")+($B$6:$B$32="Sócio"))*($H$6:$H$32&lt;=BH$36)*($I$6:$I$32&gt;=BH$36)*(($C$6:$C$32="Contratado")+($C$6:$C$32="Plano")*Premissas!$B$8)*$G$6:$G$32)</f>
        <v>32000</v>
      </c>
      <c r="BI47" s="115" t="n">
        <f aca="false">SUMPRODUCT((($B$6:$B$32="CLT")+($B$6:$B$32="Sócio"))*($H$6:$H$32&lt;=BI$36)*($I$6:$I$32&gt;=BI$36)*(($C$6:$C$32="Contratado")+($C$6:$C$32="Plano")*Premissas!$B$8)*$G$6:$G$32)</f>
        <v>32000</v>
      </c>
      <c r="BJ47" s="111" t="n">
        <f aca="false">SUM(B47:BI47)</f>
        <v>1128000</v>
      </c>
      <c r="BK47" s="29" t="s">
        <v>341</v>
      </c>
    </row>
    <row r="49" customFormat="false" ht="18" hidden="false" customHeight="true" outlineLevel="0" collapsed="false">
      <c r="A49" s="25" t="s">
        <v>342</v>
      </c>
      <c r="B49" s="26"/>
      <c r="C49" s="26"/>
      <c r="D49" s="26"/>
      <c r="E49" s="26"/>
      <c r="F49" s="26"/>
      <c r="G49" s="26"/>
      <c r="H49" s="26"/>
      <c r="I49" s="26"/>
      <c r="J49" s="26"/>
    </row>
    <row r="50" customFormat="false" ht="15" hidden="false" customHeight="false" outlineLevel="0" collapsed="false">
      <c r="A50" s="116"/>
      <c r="B50" s="53" t="n">
        <v>2026</v>
      </c>
      <c r="C50" s="53" t="n">
        <v>2027</v>
      </c>
      <c r="D50" s="53" t="n">
        <v>2028</v>
      </c>
      <c r="E50" s="53" t="n">
        <v>2029</v>
      </c>
      <c r="F50" s="53" t="n">
        <v>2030</v>
      </c>
    </row>
    <row r="51" customFormat="false" ht="15" hidden="false" customHeight="false" outlineLevel="0" collapsed="false">
      <c r="A51" s="51" t="s">
        <v>343</v>
      </c>
      <c r="B51" s="117" t="n">
        <f aca="false">SUMIFS($B$45:$BI$45,$B$38:$BI$38,B$50)</f>
        <v>0</v>
      </c>
      <c r="C51" s="117" t="n">
        <f aca="false">SUMIFS($B$45:$BI$45,$B$38:$BI$38,C$50)</f>
        <v>510000</v>
      </c>
      <c r="D51" s="117" t="n">
        <f aca="false">SUMIFS($B$45:$BI$45,$B$38:$BI$38,D$50)</f>
        <v>1410000</v>
      </c>
      <c r="E51" s="117" t="n">
        <f aca="false">SUMIFS($B$45:$BI$45,$B$38:$BI$38,E$50)</f>
        <v>3039600</v>
      </c>
      <c r="F51" s="117" t="n">
        <f aca="false">SUMIFS($B$45:$BI$45,$B$38:$BI$38,F$50)</f>
        <v>4491600</v>
      </c>
    </row>
    <row r="52" customFormat="false" ht="15" hidden="false" customHeight="false" outlineLevel="0" collapsed="false">
      <c r="A52" s="27" t="s">
        <v>344</v>
      </c>
      <c r="B52" s="118" t="n">
        <f aca="false">SUMIFS($B$46:$BI$46,$B$38:$BI$38,B$50)</f>
        <v>21000</v>
      </c>
      <c r="C52" s="118" t="n">
        <f aca="false">SUMIFS($B$46:$BI$46,$B$38:$BI$38,C$50)</f>
        <v>0</v>
      </c>
      <c r="D52" s="118" t="n">
        <f aca="false">SUMIFS($B$46:$BI$46,$B$38:$BI$38,D$50)</f>
        <v>0</v>
      </c>
      <c r="E52" s="118" t="n">
        <f aca="false">SUMIFS($B$46:$BI$46,$B$38:$BI$38,E$50)</f>
        <v>0</v>
      </c>
      <c r="F52" s="118" t="n">
        <f aca="false">SUMIFS($B$46:$BI$46,$B$38:$BI$38,F$50)</f>
        <v>0</v>
      </c>
    </row>
    <row r="53" customFormat="false" ht="15" hidden="false" customHeight="false" outlineLevel="0" collapsed="false">
      <c r="A53" s="27" t="s">
        <v>345</v>
      </c>
      <c r="B53" s="118" t="n">
        <f aca="false">SUMIFS($B$47:$BI$47,$B$38:$BI$38,B$50)</f>
        <v>0</v>
      </c>
      <c r="C53" s="118" t="n">
        <f aca="false">SUMIFS($B$47:$BI$47,$B$38:$BI$38,C$50)</f>
        <v>180000</v>
      </c>
      <c r="D53" s="118" t="n">
        <f aca="false">SUMIFS($B$47:$BI$47,$B$38:$BI$38,D$50)</f>
        <v>180000</v>
      </c>
      <c r="E53" s="118" t="n">
        <f aca="false">SUMIFS($B$47:$BI$47,$B$38:$BI$38,E$50)</f>
        <v>384000</v>
      </c>
      <c r="F53" s="118" t="n">
        <f aca="false">SUMIFS($B$47:$BI$47,$B$38:$BI$38,F$50)</f>
        <v>384000</v>
      </c>
    </row>
    <row r="54" customFormat="false" ht="15" hidden="false" customHeight="false" outlineLevel="0" collapsed="false">
      <c r="A54" s="27" t="s">
        <v>346</v>
      </c>
      <c r="B54" s="119" t="n">
        <f aca="false">M41</f>
        <v>0</v>
      </c>
      <c r="C54" s="119" t="n">
        <f aca="false">Y41</f>
        <v>7</v>
      </c>
      <c r="D54" s="119" t="n">
        <f aca="false">AK41</f>
        <v>17</v>
      </c>
      <c r="E54" s="119" t="n">
        <f aca="false">AW41</f>
        <v>34</v>
      </c>
      <c r="F54" s="119" t="n">
        <f aca="false">BI41</f>
        <v>50</v>
      </c>
    </row>
    <row r="55" customFormat="false" ht="15" hidden="false" customHeight="false" outlineLevel="0" collapsed="false">
      <c r="A55" s="27" t="s">
        <v>347</v>
      </c>
      <c r="B55" s="120" t="n">
        <f aca="false">SUMIFS(Faturamento!$B$14:$BI$14,Faturamento!$B$6:$BI$6,B$50)</f>
        <v>53361.8</v>
      </c>
      <c r="C55" s="120" t="n">
        <f aca="false">SUMIFS(Faturamento!$B$14:$BI$14,Faturamento!$B$6:$BI$6,C$50)</f>
        <v>3198070.64871288</v>
      </c>
      <c r="D55" s="120" t="n">
        <f aca="false">SUMIFS(Faturamento!$B$14:$BI$14,Faturamento!$B$6:$BI$6,D$50)</f>
        <v>8499869.32663165</v>
      </c>
      <c r="E55" s="120" t="n">
        <f aca="false">SUMIFS(Faturamento!$B$14:$BI$14,Faturamento!$B$6:$BI$6,E$50)</f>
        <v>17150449.5715781</v>
      </c>
      <c r="F55" s="120" t="n">
        <f aca="false">SUMIFS(Faturamento!$B$14:$BI$14,Faturamento!$B$6:$BI$6,F$50)</f>
        <v>32414063.5943115</v>
      </c>
    </row>
    <row r="56" customFormat="false" ht="15" hidden="false" customHeight="false" outlineLevel="0" collapsed="false">
      <c r="A56" s="51" t="s">
        <v>348</v>
      </c>
      <c r="B56" s="121" t="n">
        <f aca="false">IFERROR(B53/B55,0)</f>
        <v>0</v>
      </c>
      <c r="C56" s="121" t="n">
        <f aca="false">IFERROR(C53/C55,0)</f>
        <v>0.0562839348381638</v>
      </c>
      <c r="D56" s="121" t="n">
        <f aca="false">IFERROR(D53/D55,0)</f>
        <v>0.0211767961462686</v>
      </c>
      <c r="E56" s="121" t="n">
        <f aca="false">IFERROR(E53/E55,0)</f>
        <v>0.0223900836183541</v>
      </c>
      <c r="F56" s="121" t="n">
        <f aca="false">IFERROR(F53/F55,0)</f>
        <v>0.011846709650665</v>
      </c>
    </row>
    <row r="57" customFormat="false" ht="15" hidden="false" customHeight="false" outlineLevel="0" collapsed="false">
      <c r="A57" s="27" t="s">
        <v>349</v>
      </c>
      <c r="B57" s="122" t="str">
        <f aca="false">IF(B56&gt;=0.28,"Anexo III","Anexo V")</f>
        <v>Anexo V</v>
      </c>
      <c r="C57" s="122" t="str">
        <f aca="false">IF(C56&gt;=0.28,"Anexo III","Anexo V")</f>
        <v>Anexo V</v>
      </c>
      <c r="D57" s="122" t="str">
        <f aca="false">IF(D56&gt;=0.28,"Anexo III","Anexo V")</f>
        <v>Anexo V</v>
      </c>
      <c r="E57" s="122" t="str">
        <f aca="false">IF(E56&gt;=0.28,"Anexo III","Anexo V")</f>
        <v>Anexo V</v>
      </c>
      <c r="F57" s="122" t="str">
        <f aca="false">IF(F56&gt;=0.28,"Anexo III","Anexo V")</f>
        <v>Anexo V</v>
      </c>
    </row>
    <row r="58" customFormat="false" ht="15" hidden="false" customHeight="false" outlineLevel="0" collapsed="false">
      <c r="A58" s="57" t="s">
        <v>350</v>
      </c>
      <c r="B58" s="123" t="str">
        <f aca="false">CHOOSE(Premissas!$B$23,"Anexo III","Anexo V","Lucro Presumido")</f>
        <v>Anexo V</v>
      </c>
      <c r="C58" s="123" t="str">
        <f aca="false">CHOOSE(Premissas!$B$23,"Anexo III","Anexo V","Lucro Presumido")</f>
        <v>Anexo V</v>
      </c>
      <c r="D58" s="123" t="str">
        <f aca="false">CHOOSE(Premissas!$B$23,"Anexo III","Anexo V","Lucro Presumido")</f>
        <v>Anexo V</v>
      </c>
      <c r="E58" s="123" t="str">
        <f aca="false">CHOOSE(Premissas!$B$23,"Anexo III","Anexo V","Lucro Presumido")</f>
        <v>Anexo V</v>
      </c>
      <c r="F58" s="123" t="str">
        <f aca="false">CHOOSE(Premissas!$B$23,"Anexo III","Anexo V","Lucro Presumido")</f>
        <v>Anexo V</v>
      </c>
    </row>
    <row r="59" customFormat="false" ht="15" hidden="false" customHeight="false" outlineLevel="0" collapsed="false">
      <c r="A59" s="51" t="s">
        <v>351</v>
      </c>
      <c r="B59" s="39" t="str">
        <f aca="false">IF(Premissas!$B$23=3,"n/a",IF(B58=B57,"✔ SIM","⚠ NÃO"))</f>
        <v>✔ SIM</v>
      </c>
      <c r="C59" s="39" t="str">
        <f aca="false">IF(Premissas!$B$23=3,"n/a",IF(C58=C57,"✔ SIM","⚠ NÃO"))</f>
        <v>✔ SIM</v>
      </c>
      <c r="D59" s="39" t="str">
        <f aca="false">IF(Premissas!$B$23=3,"n/a",IF(D58=D57,"✔ SIM","⚠ NÃO"))</f>
        <v>✔ SIM</v>
      </c>
      <c r="E59" s="39" t="str">
        <f aca="false">IF(Premissas!$B$23=3,"n/a",IF(E58=E57,"✔ SIM","⚠ NÃO"))</f>
        <v>✔ SIM</v>
      </c>
      <c r="F59" s="39" t="str">
        <f aca="false">IF(Premissas!$B$23=3,"n/a",IF(F58=F57,"✔ SIM","⚠ NÃO"))</f>
        <v>✔ SIM</v>
      </c>
    </row>
    <row r="60" customFormat="false" ht="15" hidden="false" customHeight="false" outlineLevel="0" collapsed="false">
      <c r="A60" s="57" t="s">
        <v>352</v>
      </c>
      <c r="B60" s="124" t="n">
        <f aca="false">IFERROR(B51/B55,0)</f>
        <v>0</v>
      </c>
      <c r="C60" s="124" t="n">
        <f aca="false">IFERROR(C51/C55,0)</f>
        <v>0.159471148708131</v>
      </c>
      <c r="D60" s="124" t="n">
        <f aca="false">IFERROR(D51/D55,0)</f>
        <v>0.165884903145771</v>
      </c>
      <c r="E60" s="124" t="n">
        <f aca="false">IFERROR(E51/E55,0)</f>
        <v>0.177231505641534</v>
      </c>
      <c r="F60" s="124" t="n">
        <f aca="false">IFERROR(F51/F55,0)</f>
        <v>0.138569481945122</v>
      </c>
    </row>
    <row r="62" customFormat="false" ht="15" hidden="false" customHeight="false" outlineLevel="0" collapsed="false">
      <c r="A62" s="125" t="s">
        <v>353</v>
      </c>
    </row>
    <row r="63" customFormat="false" ht="43.5" hidden="false" customHeight="true" outlineLevel="0" collapsed="false">
      <c r="A63" s="50" t="s">
        <v>354</v>
      </c>
      <c r="B63" s="50"/>
      <c r="C63" s="50"/>
      <c r="D63" s="50"/>
      <c r="E63" s="50"/>
      <c r="F63" s="50"/>
      <c r="G63" s="50"/>
      <c r="H63" s="50"/>
      <c r="I63" s="50"/>
      <c r="J63" s="50"/>
    </row>
    <row r="64" customFormat="false" ht="15" hidden="false" customHeight="false" outlineLevel="0" collapsed="false">
      <c r="A64" s="125" t="s">
        <v>355</v>
      </c>
    </row>
    <row r="65" customFormat="false" ht="43.5" hidden="false" customHeight="true" outlineLevel="0" collapsed="false">
      <c r="A65" s="50" t="s">
        <v>356</v>
      </c>
      <c r="B65" s="50"/>
      <c r="C65" s="50"/>
      <c r="D65" s="50"/>
      <c r="E65" s="50"/>
      <c r="F65" s="50"/>
      <c r="G65" s="50"/>
      <c r="H65" s="50"/>
      <c r="I65" s="50"/>
      <c r="J65" s="50"/>
    </row>
    <row r="66" customFormat="false" ht="15" hidden="false" customHeight="false" outlineLevel="0" collapsed="false">
      <c r="A66" s="125" t="s">
        <v>357</v>
      </c>
    </row>
    <row r="67" customFormat="false" ht="43.5" hidden="false" customHeight="true" outlineLevel="0" collapsed="false">
      <c r="A67" s="50" t="s">
        <v>358</v>
      </c>
      <c r="B67" s="50"/>
      <c r="C67" s="50"/>
      <c r="D67" s="50"/>
      <c r="E67" s="50"/>
      <c r="F67" s="50"/>
      <c r="G67" s="50"/>
      <c r="H67" s="50"/>
      <c r="I67" s="50"/>
      <c r="J67" s="50"/>
    </row>
  </sheetData>
  <mergeCells count="3">
    <mergeCell ref="A63:J63"/>
    <mergeCell ref="A65:J65"/>
    <mergeCell ref="A67:J67"/>
  </mergeCells>
  <dataValidations count="3">
    <dataValidation allowBlank="true" errorStyle="stop" operator="between" showDropDown="false" showErrorMessage="false" showInputMessage="false" sqref="B6:B32" type="list">
      <formula1>"PJ,CLT,Sócio"</formula1>
      <formula2>0</formula2>
    </dataValidation>
    <dataValidation allowBlank="true" errorStyle="stop" operator="between" showDropDown="false" showErrorMessage="false" showInputMessage="false" sqref="C6:C32" type="list">
      <formula1>"Contratado,Plano"</formula1>
      <formula2>0</formula2>
    </dataValidation>
    <dataValidation allowBlank="true" errorStyle="stop" operator="between" showDropDown="false" showErrorMessage="false" showInputMessage="false" sqref="J6:J32" type="list">
      <formula1>"Despesa,Investimento"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I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7"/>
    <col collapsed="false" customWidth="true" hidden="false" outlineLevel="0" max="7" min="7" style="0" width="18"/>
    <col collapsed="false" customWidth="true" hidden="false" outlineLevel="0" max="8" min="8" style="0" width="3"/>
    <col collapsed="false" customWidth="true" hidden="false" outlineLevel="0" max="9" min="9" style="0" width="66"/>
  </cols>
  <sheetData>
    <row r="1" customFormat="false" ht="25.5" hidden="false" customHeight="true" outlineLevel="0" collapsed="false">
      <c r="A1" s="1" t="s">
        <v>359</v>
      </c>
      <c r="B1" s="2"/>
      <c r="C1" s="2"/>
      <c r="D1" s="2"/>
      <c r="E1" s="2"/>
      <c r="F1" s="2"/>
      <c r="G1" s="2"/>
      <c r="H1" s="2"/>
      <c r="I1" s="2"/>
    </row>
    <row r="2" customFormat="false" ht="15.75" hidden="false" customHeight="true" outlineLevel="0" collapsed="false">
      <c r="A2" s="3" t="s">
        <v>360</v>
      </c>
    </row>
    <row r="4" customFormat="false" ht="18" hidden="false" customHeight="true" outlineLevel="0" collapsed="false">
      <c r="A4" s="25" t="s">
        <v>361</v>
      </c>
      <c r="B4" s="26"/>
      <c r="C4" s="26"/>
      <c r="D4" s="26"/>
      <c r="E4" s="26"/>
      <c r="F4" s="26"/>
      <c r="G4" s="26"/>
      <c r="H4" s="26"/>
      <c r="I4" s="26"/>
    </row>
    <row r="5" customFormat="false" ht="42" hidden="false" customHeight="true" outlineLevel="0" collapsed="false">
      <c r="A5" s="126" t="s">
        <v>362</v>
      </c>
      <c r="B5" s="126"/>
      <c r="C5" s="126"/>
      <c r="D5" s="126"/>
      <c r="E5" s="126"/>
      <c r="F5" s="126"/>
      <c r="G5" s="126"/>
    </row>
    <row r="6" customFormat="false" ht="30" hidden="false" customHeight="true" outlineLevel="0" collapsed="false">
      <c r="A6" s="76" t="s">
        <v>319</v>
      </c>
      <c r="B6" s="76" t="s">
        <v>288</v>
      </c>
      <c r="C6" s="76" t="s">
        <v>363</v>
      </c>
      <c r="D6" s="76" t="s">
        <v>364</v>
      </c>
      <c r="E6" s="76" t="s">
        <v>365</v>
      </c>
      <c r="F6" s="76" t="s">
        <v>366</v>
      </c>
      <c r="G6" s="76" t="s">
        <v>367</v>
      </c>
    </row>
    <row r="7" customFormat="false" ht="15" hidden="false" customHeight="false" outlineLevel="0" collapsed="false">
      <c r="A7" s="91" t="s">
        <v>368</v>
      </c>
      <c r="B7" s="92" t="s">
        <v>369</v>
      </c>
      <c r="C7" s="127" t="n">
        <v>0.13</v>
      </c>
      <c r="D7" s="127" t="n">
        <v>0.25</v>
      </c>
      <c r="E7" s="128" t="n">
        <f aca="false">IF($A7="",0,SUMIFS(Aportes!$C$6:$C$37,Aportes!$B$6:$B$37,$A7)+SUMIFS(Aportes!$C$43:$C$50,Aportes!$A$43:$A$50,$A7))</f>
        <v>20000</v>
      </c>
      <c r="F7" s="129" t="n">
        <f aca="false">IFERROR($E7/$E$20,0)</f>
        <v>0.1</v>
      </c>
      <c r="G7" s="129" t="n">
        <f aca="false">$C7-$F7</f>
        <v>0.03</v>
      </c>
    </row>
    <row r="8" customFormat="false" ht="15" hidden="false" customHeight="false" outlineLevel="0" collapsed="false">
      <c r="A8" s="91" t="s">
        <v>370</v>
      </c>
      <c r="B8" s="92" t="s">
        <v>369</v>
      </c>
      <c r="C8" s="127" t="n">
        <v>0.13</v>
      </c>
      <c r="D8" s="127" t="n">
        <v>0.25</v>
      </c>
      <c r="E8" s="128" t="n">
        <f aca="false">IF($A8="",0,SUMIFS(Aportes!$C$6:$C$37,Aportes!$B$6:$B$37,$A8)+SUMIFS(Aportes!$C$43:$C$50,Aportes!$A$43:$A$50,$A8))</f>
        <v>20000</v>
      </c>
      <c r="F8" s="129" t="n">
        <f aca="false">IFERROR($E8/$E$20,0)</f>
        <v>0.1</v>
      </c>
      <c r="G8" s="129" t="n">
        <f aca="false">$C8-$F8</f>
        <v>0.03</v>
      </c>
    </row>
    <row r="9" customFormat="false" ht="15" hidden="false" customHeight="false" outlineLevel="0" collapsed="false">
      <c r="A9" s="91" t="s">
        <v>371</v>
      </c>
      <c r="B9" s="92" t="s">
        <v>369</v>
      </c>
      <c r="C9" s="127" t="n">
        <v>0.13</v>
      </c>
      <c r="D9" s="127" t="n">
        <v>0.25</v>
      </c>
      <c r="E9" s="128" t="n">
        <f aca="false">IF($A9="",0,SUMIFS(Aportes!$C$6:$C$37,Aportes!$B$6:$B$37,$A9)+SUMIFS(Aportes!$C$43:$C$50,Aportes!$A$43:$A$50,$A9))</f>
        <v>20000</v>
      </c>
      <c r="F9" s="129" t="n">
        <f aca="false">IFERROR($E9/$E$20,0)</f>
        <v>0.1</v>
      </c>
      <c r="G9" s="129" t="n">
        <f aca="false">$C9-$F9</f>
        <v>0.03</v>
      </c>
    </row>
    <row r="10" customFormat="false" ht="15" hidden="false" customHeight="false" outlineLevel="0" collapsed="false">
      <c r="A10" s="91" t="s">
        <v>372</v>
      </c>
      <c r="B10" s="92" t="s">
        <v>369</v>
      </c>
      <c r="C10" s="127" t="n">
        <v>0.13</v>
      </c>
      <c r="D10" s="127" t="n">
        <v>0.25</v>
      </c>
      <c r="E10" s="128" t="n">
        <f aca="false">IF($A10="",0,SUMIFS(Aportes!$C$6:$C$37,Aportes!$B$6:$B$37,$A10)+SUMIFS(Aportes!$C$43:$C$50,Aportes!$A$43:$A$50,$A10))</f>
        <v>20000</v>
      </c>
      <c r="F10" s="129" t="n">
        <f aca="false">IFERROR($E10/$E$20,0)</f>
        <v>0.1</v>
      </c>
      <c r="G10" s="129" t="n">
        <f aca="false">$C10-$F10</f>
        <v>0.03</v>
      </c>
    </row>
    <row r="11" customFormat="false" ht="15" hidden="false" customHeight="false" outlineLevel="0" collapsed="false">
      <c r="A11" s="91" t="s">
        <v>373</v>
      </c>
      <c r="B11" s="92" t="s">
        <v>374</v>
      </c>
      <c r="C11" s="127" t="n">
        <v>0.16</v>
      </c>
      <c r="D11" s="127" t="n">
        <v>0</v>
      </c>
      <c r="E11" s="128" t="n">
        <f aca="false">IF($A11="",0,SUMIFS(Aportes!$C$6:$C$37,Aportes!$B$6:$B$37,$A11)+SUMIFS(Aportes!$C$43:$C$50,Aportes!$A$43:$A$50,$A11))</f>
        <v>40000</v>
      </c>
      <c r="F11" s="129" t="n">
        <f aca="false">IFERROR($E11/$E$20,0)</f>
        <v>0.2</v>
      </c>
      <c r="G11" s="129" t="n">
        <f aca="false">$C11-$F11</f>
        <v>-0.04</v>
      </c>
    </row>
    <row r="12" customFormat="false" ht="15" hidden="false" customHeight="false" outlineLevel="0" collapsed="false">
      <c r="A12" s="91" t="s">
        <v>375</v>
      </c>
      <c r="B12" s="92" t="s">
        <v>374</v>
      </c>
      <c r="C12" s="127" t="n">
        <v>0.16</v>
      </c>
      <c r="D12" s="127" t="n">
        <v>0</v>
      </c>
      <c r="E12" s="128" t="n">
        <f aca="false">IF($A12="",0,SUMIFS(Aportes!$C$6:$C$37,Aportes!$B$6:$B$37,$A12)+SUMIFS(Aportes!$C$43:$C$50,Aportes!$A$43:$A$50,$A12))</f>
        <v>40000</v>
      </c>
      <c r="F12" s="129" t="n">
        <f aca="false">IFERROR($E12/$E$20,0)</f>
        <v>0.2</v>
      </c>
      <c r="G12" s="129" t="n">
        <f aca="false">$C12-$F12</f>
        <v>-0.04</v>
      </c>
    </row>
    <row r="13" customFormat="false" ht="15" hidden="false" customHeight="false" outlineLevel="0" collapsed="false">
      <c r="A13" s="91" t="s">
        <v>376</v>
      </c>
      <c r="B13" s="92" t="s">
        <v>374</v>
      </c>
      <c r="C13" s="127" t="n">
        <v>0.16</v>
      </c>
      <c r="D13" s="127" t="n">
        <v>0</v>
      </c>
      <c r="E13" s="128" t="n">
        <f aca="false">IF($A13="",0,SUMIFS(Aportes!$C$6:$C$37,Aportes!$B$6:$B$37,$A13)+SUMIFS(Aportes!$C$43:$C$50,Aportes!$A$43:$A$50,$A13))</f>
        <v>40000</v>
      </c>
      <c r="F13" s="129" t="n">
        <f aca="false">IFERROR($E13/$E$20,0)</f>
        <v>0.2</v>
      </c>
      <c r="G13" s="129" t="n">
        <f aca="false">$C13-$F13</f>
        <v>-0.04</v>
      </c>
    </row>
    <row r="14" customFormat="false" ht="15" hidden="false" customHeight="false" outlineLevel="0" collapsed="false">
      <c r="A14" s="91"/>
      <c r="B14" s="92" t="s">
        <v>374</v>
      </c>
      <c r="C14" s="95" t="n">
        <v>0</v>
      </c>
      <c r="D14" s="95" t="n">
        <v>0</v>
      </c>
      <c r="E14" s="128" t="n">
        <f aca="false">IF($A14="",0,SUMIFS(Aportes!$C$6:$C$37,Aportes!$B$6:$B$37,$A14)+SUMIFS(Aportes!$C$43:$C$50,Aportes!$A$43:$A$50,$A14))</f>
        <v>0</v>
      </c>
      <c r="F14" s="129" t="n">
        <f aca="false">IFERROR($E14/$E$20,0)</f>
        <v>0</v>
      </c>
      <c r="G14" s="129" t="n">
        <f aca="false">$C14-$F14</f>
        <v>0</v>
      </c>
    </row>
    <row r="15" customFormat="false" ht="15" hidden="false" customHeight="false" outlineLevel="0" collapsed="false">
      <c r="A15" s="91"/>
      <c r="B15" s="92" t="s">
        <v>374</v>
      </c>
      <c r="C15" s="95" t="n">
        <v>0</v>
      </c>
      <c r="D15" s="95" t="n">
        <v>0</v>
      </c>
      <c r="E15" s="128" t="n">
        <f aca="false">IF($A15="",0,SUMIFS(Aportes!$C$6:$C$37,Aportes!$B$6:$B$37,$A15)+SUMIFS(Aportes!$C$43:$C$50,Aportes!$A$43:$A$50,$A15))</f>
        <v>0</v>
      </c>
      <c r="F15" s="129" t="n">
        <f aca="false">IFERROR($E15/$E$20,0)</f>
        <v>0</v>
      </c>
      <c r="G15" s="129" t="n">
        <f aca="false">$C15-$F15</f>
        <v>0</v>
      </c>
    </row>
    <row r="16" customFormat="false" ht="15" hidden="false" customHeight="false" outlineLevel="0" collapsed="false">
      <c r="A16" s="91"/>
      <c r="B16" s="92" t="s">
        <v>374</v>
      </c>
      <c r="C16" s="95" t="n">
        <v>0</v>
      </c>
      <c r="D16" s="95" t="n">
        <v>0</v>
      </c>
      <c r="E16" s="128" t="n">
        <f aca="false">IF($A16="",0,SUMIFS(Aportes!$C$6:$C$37,Aportes!$B$6:$B$37,$A16)+SUMIFS(Aportes!$C$43:$C$50,Aportes!$A$43:$A$50,$A16))</f>
        <v>0</v>
      </c>
      <c r="F16" s="129" t="n">
        <f aca="false">IFERROR($E16/$E$20,0)</f>
        <v>0</v>
      </c>
      <c r="G16" s="129" t="n">
        <f aca="false">$C16-$F16</f>
        <v>0</v>
      </c>
    </row>
    <row r="17" customFormat="false" ht="15" hidden="false" customHeight="false" outlineLevel="0" collapsed="false">
      <c r="A17" s="91"/>
      <c r="B17" s="92" t="s">
        <v>374</v>
      </c>
      <c r="C17" s="95" t="n">
        <v>0</v>
      </c>
      <c r="D17" s="95" t="n">
        <v>0</v>
      </c>
      <c r="E17" s="128" t="n">
        <f aca="false">IF($A17="",0,SUMIFS(Aportes!$C$6:$C$37,Aportes!$B$6:$B$37,$A17)+SUMIFS(Aportes!$C$43:$C$50,Aportes!$A$43:$A$50,$A17))</f>
        <v>0</v>
      </c>
      <c r="F17" s="129" t="n">
        <f aca="false">IFERROR($E17/$E$20,0)</f>
        <v>0</v>
      </c>
      <c r="G17" s="129" t="n">
        <f aca="false">$C17-$F17</f>
        <v>0</v>
      </c>
    </row>
    <row r="18" customFormat="false" ht="15" hidden="false" customHeight="false" outlineLevel="0" collapsed="false">
      <c r="A18" s="91"/>
      <c r="B18" s="92" t="s">
        <v>374</v>
      </c>
      <c r="C18" s="95" t="n">
        <v>0</v>
      </c>
      <c r="D18" s="95" t="n">
        <v>0</v>
      </c>
      <c r="E18" s="128" t="n">
        <f aca="false">IF($A18="",0,SUMIFS(Aportes!$C$6:$C$37,Aportes!$B$6:$B$37,$A18)+SUMIFS(Aportes!$C$43:$C$50,Aportes!$A$43:$A$50,$A18))</f>
        <v>0</v>
      </c>
      <c r="F18" s="129" t="n">
        <f aca="false">IFERROR($E18/$E$20,0)</f>
        <v>0</v>
      </c>
      <c r="G18" s="129" t="n">
        <f aca="false">$C18-$F18</f>
        <v>0</v>
      </c>
    </row>
    <row r="19" customFormat="false" ht="15" hidden="false" customHeight="false" outlineLevel="0" collapsed="false">
      <c r="A19" s="91"/>
      <c r="B19" s="92" t="s">
        <v>374</v>
      </c>
      <c r="C19" s="95" t="n">
        <v>0</v>
      </c>
      <c r="D19" s="95" t="n">
        <v>0</v>
      </c>
      <c r="E19" s="128" t="n">
        <f aca="false">IF($A19="",0,SUMIFS(Aportes!$C$6:$C$37,Aportes!$B$6:$B$37,$A19)+SUMIFS(Aportes!$C$43:$C$50,Aportes!$A$43:$A$50,$A19))</f>
        <v>0</v>
      </c>
      <c r="F19" s="129" t="n">
        <f aca="false">IFERROR($E19/$E$20,0)</f>
        <v>0</v>
      </c>
      <c r="G19" s="129" t="n">
        <f aca="false">$C19-$F19</f>
        <v>0</v>
      </c>
    </row>
    <row r="20" customFormat="false" ht="15" hidden="false" customHeight="false" outlineLevel="0" collapsed="false">
      <c r="A20" s="98" t="s">
        <v>326</v>
      </c>
      <c r="C20" s="130" t="n">
        <f aca="false">SUM(C7:C19)</f>
        <v>1</v>
      </c>
      <c r="D20" s="130" t="n">
        <f aca="false">SUM(D7:D19)</f>
        <v>1</v>
      </c>
      <c r="E20" s="32" t="n">
        <f aca="false">SUM(E7:E19)</f>
        <v>200000</v>
      </c>
      <c r="F20" s="130" t="n">
        <f aca="false">SUM(F7:F19)</f>
        <v>1</v>
      </c>
    </row>
    <row r="21" customFormat="false" ht="15" hidden="false" customHeight="false" outlineLevel="0" collapsed="false">
      <c r="A21" s="131" t="s">
        <v>377</v>
      </c>
      <c r="C21" s="132" t="str">
        <f aca="false">IF(ROUND(C20,6)=1,"✔ SIM","⚠ NÃO — ajuste")</f>
        <v>✔ SIM</v>
      </c>
      <c r="I21" s="29" t="s">
        <v>378</v>
      </c>
    </row>
    <row r="23" customFormat="false" ht="18" hidden="false" customHeight="true" outlineLevel="0" collapsed="false">
      <c r="A23" s="25" t="s">
        <v>379</v>
      </c>
      <c r="B23" s="26"/>
      <c r="C23" s="26"/>
      <c r="D23" s="26"/>
      <c r="E23" s="26"/>
      <c r="F23" s="26"/>
      <c r="G23" s="26"/>
      <c r="H23" s="26"/>
      <c r="I23" s="26"/>
    </row>
    <row r="24" customFormat="false" ht="15" hidden="false" customHeight="false" outlineLevel="0" collapsed="false">
      <c r="A24" s="27" t="s">
        <v>380</v>
      </c>
      <c r="B24" s="59" t="n">
        <v>6</v>
      </c>
    </row>
    <row r="25" customFormat="false" ht="15" hidden="false" customHeight="false" outlineLevel="0" collapsed="false">
      <c r="A25" s="27" t="s">
        <v>381</v>
      </c>
      <c r="B25" s="60" t="n">
        <v>0</v>
      </c>
      <c r="C25" s="60" t="n">
        <v>0</v>
      </c>
      <c r="D25" s="60" t="n">
        <v>0.3</v>
      </c>
      <c r="E25" s="60" t="n">
        <v>0.5</v>
      </c>
      <c r="F25" s="60" t="n">
        <v>0.5</v>
      </c>
      <c r="I25" s="29" t="s">
        <v>382</v>
      </c>
    </row>
    <row r="27" customFormat="false" ht="18" hidden="false" customHeight="true" outlineLevel="0" collapsed="false">
      <c r="A27" s="25" t="s">
        <v>383</v>
      </c>
      <c r="B27" s="26"/>
      <c r="C27" s="26"/>
      <c r="D27" s="26"/>
      <c r="E27" s="26"/>
      <c r="F27" s="26"/>
      <c r="G27" s="26"/>
      <c r="H27" s="26"/>
      <c r="I27" s="26"/>
    </row>
    <row r="28" customFormat="false" ht="15" hidden="false" customHeight="false" outlineLevel="0" collapsed="false">
      <c r="A28" s="116"/>
      <c r="B28" s="53" t="n">
        <v>2026</v>
      </c>
      <c r="C28" s="53" t="n">
        <v>2027</v>
      </c>
      <c r="D28" s="53" t="n">
        <v>2028</v>
      </c>
      <c r="E28" s="53" t="n">
        <v>2029</v>
      </c>
      <c r="F28" s="53" t="n">
        <v>2030</v>
      </c>
      <c r="G28" s="133" t="s">
        <v>326</v>
      </c>
    </row>
    <row r="29" customFormat="false" ht="15" hidden="false" customHeight="false" outlineLevel="0" collapsed="false">
      <c r="A29" s="112" t="s">
        <v>384</v>
      </c>
      <c r="B29" s="120" t="n">
        <f aca="false">'DRE Projetada'!B63</f>
        <v>-117267.158783333</v>
      </c>
      <c r="C29" s="120" t="n">
        <f aca="false">'DRE Projetada'!C63</f>
        <v>527644.137449586</v>
      </c>
      <c r="D29" s="120" t="n">
        <f aca="false">'DRE Projetada'!D63</f>
        <v>2017890.68229878</v>
      </c>
      <c r="E29" s="120" t="n">
        <f aca="false">'DRE Projetada'!E63</f>
        <v>4269290.80084903</v>
      </c>
      <c r="F29" s="120" t="n">
        <f aca="false">'DRE Projetada'!F63</f>
        <v>10287051.9435734</v>
      </c>
      <c r="G29" s="134" t="n">
        <f aca="false">SUM(B29:F29)</f>
        <v>16984610.4053875</v>
      </c>
      <c r="I29" s="29" t="s">
        <v>385</v>
      </c>
    </row>
    <row r="30" customFormat="false" ht="15" hidden="false" customHeight="false" outlineLevel="0" collapsed="false">
      <c r="A30" s="27" t="s">
        <v>386</v>
      </c>
      <c r="B30" s="118" t="n">
        <f aca="false">B29</f>
        <v>-117267.158783333</v>
      </c>
      <c r="C30" s="118" t="n">
        <f aca="false">B30+C29</f>
        <v>410376.978666252</v>
      </c>
      <c r="D30" s="118" t="n">
        <f aca="false">C30+D29</f>
        <v>2428267.66096503</v>
      </c>
      <c r="E30" s="118" t="n">
        <f aca="false">D30+E29</f>
        <v>6697558.46181406</v>
      </c>
      <c r="F30" s="118" t="n">
        <f aca="false">E30+F29</f>
        <v>16984610.4053875</v>
      </c>
      <c r="I30" s="29" t="s">
        <v>387</v>
      </c>
    </row>
    <row r="31" customFormat="false" ht="15" hidden="false" customHeight="false" outlineLevel="0" collapsed="false">
      <c r="A31" s="114" t="s">
        <v>388</v>
      </c>
      <c r="B31" s="135" t="n">
        <f aca="false">0</f>
        <v>0</v>
      </c>
      <c r="C31" s="135" t="n">
        <f aca="false">B40</f>
        <v>0</v>
      </c>
      <c r="D31" s="135" t="n">
        <f aca="false">C40</f>
        <v>0</v>
      </c>
      <c r="E31" s="135" t="n">
        <f aca="false">D40</f>
        <v>0</v>
      </c>
      <c r="F31" s="135" t="n">
        <f aca="false">E40</f>
        <v>200528.792558081</v>
      </c>
      <c r="I31" s="29" t="s">
        <v>389</v>
      </c>
    </row>
    <row r="32" customFormat="false" ht="15" hidden="false" customHeight="false" outlineLevel="0" collapsed="false">
      <c r="A32" s="27" t="s">
        <v>390</v>
      </c>
      <c r="B32" s="118" t="n">
        <f aca="false">MAX(0,B30-B31)</f>
        <v>0</v>
      </c>
      <c r="C32" s="118" t="n">
        <f aca="false">MAX(0,C30-C31)</f>
        <v>410376.978666252</v>
      </c>
      <c r="D32" s="118" t="n">
        <f aca="false">MAX(0,D30-D31)</f>
        <v>2428267.66096503</v>
      </c>
      <c r="E32" s="118" t="n">
        <f aca="false">MAX(0,E30-E31)</f>
        <v>6697558.46181406</v>
      </c>
      <c r="F32" s="118" t="n">
        <f aca="false">MAX(0,F30-F31)</f>
        <v>16784081.6128294</v>
      </c>
    </row>
    <row r="33" customFormat="false" ht="15" hidden="false" customHeight="false" outlineLevel="0" collapsed="false">
      <c r="A33" s="112" t="s">
        <v>391</v>
      </c>
      <c r="B33" s="120" t="n">
        <f aca="false">'Análise Fluxo'!M39</f>
        <v>18788.54255</v>
      </c>
      <c r="C33" s="120" t="n">
        <f aca="false">'Análise Fluxo'!Y39</f>
        <v>545141.577332919</v>
      </c>
      <c r="D33" s="120" t="n">
        <f aca="false">'Análise Fluxo'!AK39</f>
        <v>2565357.8236317</v>
      </c>
      <c r="E33" s="120" t="n">
        <f aca="false">'Análise Fluxo'!AW39</f>
        <v>6830974.18848072</v>
      </c>
      <c r="F33" s="120" t="n">
        <f aca="false">'Análise Fluxo'!BI39</f>
        <v>17114851.6960541</v>
      </c>
    </row>
    <row r="34" customFormat="false" ht="15" hidden="false" customHeight="false" outlineLevel="0" collapsed="false">
      <c r="A34" s="114" t="s">
        <v>392</v>
      </c>
      <c r="B34" s="135" t="n">
        <f aca="false">-B31</f>
        <v>-0</v>
      </c>
      <c r="C34" s="135" t="n">
        <f aca="false">-C31</f>
        <v>-0</v>
      </c>
      <c r="D34" s="135" t="n">
        <f aca="false">-D31</f>
        <v>-0</v>
      </c>
      <c r="E34" s="135" t="n">
        <f aca="false">-E31</f>
        <v>-0</v>
      </c>
      <c r="F34" s="135" t="n">
        <f aca="false">-F31</f>
        <v>-200528.792558081</v>
      </c>
    </row>
    <row r="35" customFormat="false" ht="15" hidden="false" customHeight="false" outlineLevel="0" collapsed="false">
      <c r="A35" s="27" t="s">
        <v>393</v>
      </c>
      <c r="B35" s="118" t="n">
        <f aca="false">-$B$24*ABS(SUMIFS('Análise Fluxo'!$B$28:$BI$28,'Análise Fluxo'!$B$6:$BI$6,B$28))/12</f>
        <v>-84222.718725</v>
      </c>
      <c r="C35" s="118" t="n">
        <f aca="false">-$B$24*ABS(SUMIFS('Análise Fluxo'!$B$28:$BI$28,'Análise Fluxo'!$B$6:$BI$6,C$28))/12</f>
        <v>-1329358.80696498</v>
      </c>
      <c r="D35" s="118" t="n">
        <f aca="false">-$B$24*ABS(SUMIFS('Análise Fluxo'!$B$28:$BI$28,'Análise Fluxo'!$B$6:$BI$6,D$28))/12</f>
        <v>-3232326.54016644</v>
      </c>
      <c r="E35" s="118" t="n">
        <f aca="false">-$B$24*ABS(SUMIFS('Análise Fluxo'!$B$28:$BI$28,'Análise Fluxo'!$B$6:$BI$6,E$28))/12</f>
        <v>-6429916.60336456</v>
      </c>
      <c r="F35" s="118" t="n">
        <f aca="false">-$B$24*ABS(SUMIFS('Análise Fluxo'!$B$28:$BI$28,'Análise Fluxo'!$B$6:$BI$6,F$28))/12</f>
        <v>-11050093.043369</v>
      </c>
      <c r="I35" s="29" t="s">
        <v>394</v>
      </c>
    </row>
    <row r="36" customFormat="false" ht="15" hidden="false" customHeight="false" outlineLevel="0" collapsed="false">
      <c r="A36" s="27" t="s">
        <v>395</v>
      </c>
      <c r="B36" s="118" t="n">
        <f aca="false">MAX(0,B33+B34+B35)</f>
        <v>0</v>
      </c>
      <c r="C36" s="118" t="n">
        <f aca="false">MAX(0,C33+C34+C35)</f>
        <v>0</v>
      </c>
      <c r="D36" s="118" t="n">
        <f aca="false">MAX(0,D33+D34+D35)</f>
        <v>0</v>
      </c>
      <c r="E36" s="118" t="n">
        <f aca="false">MAX(0,E33+E34+E35)</f>
        <v>401057.585116161</v>
      </c>
      <c r="F36" s="118" t="n">
        <f aca="false">MAX(0,F33+F34+F35)</f>
        <v>5864229.86012701</v>
      </c>
    </row>
    <row r="37" customFormat="false" ht="15" hidden="false" customHeight="false" outlineLevel="0" collapsed="false">
      <c r="A37" s="51" t="s">
        <v>396</v>
      </c>
      <c r="B37" s="134" t="n">
        <f aca="false">MIN(B32,B36)</f>
        <v>0</v>
      </c>
      <c r="C37" s="134" t="n">
        <f aca="false">MIN(C32,C36)</f>
        <v>0</v>
      </c>
      <c r="D37" s="134" t="n">
        <f aca="false">MIN(D32,D36)</f>
        <v>0</v>
      </c>
      <c r="E37" s="134" t="n">
        <f aca="false">MIN(E32,E36)</f>
        <v>401057.585116161</v>
      </c>
      <c r="F37" s="134" t="n">
        <f aca="false">MIN(F32,F36)</f>
        <v>5864229.86012701</v>
      </c>
      <c r="I37" s="29" t="s">
        <v>397</v>
      </c>
    </row>
    <row r="38" customFormat="false" ht="15" hidden="false" customHeight="false" outlineLevel="0" collapsed="false">
      <c r="A38" s="114" t="s">
        <v>398</v>
      </c>
      <c r="B38" s="124" t="n">
        <f aca="false">B25</f>
        <v>0</v>
      </c>
      <c r="C38" s="124" t="n">
        <f aca="false">C25</f>
        <v>0</v>
      </c>
      <c r="D38" s="124" t="n">
        <f aca="false">D25</f>
        <v>0.3</v>
      </c>
      <c r="E38" s="124" t="n">
        <f aca="false">E25</f>
        <v>0.5</v>
      </c>
      <c r="F38" s="124" t="n">
        <f aca="false">F25</f>
        <v>0.5</v>
      </c>
    </row>
    <row r="39" customFormat="false" ht="15" hidden="false" customHeight="false" outlineLevel="0" collapsed="false">
      <c r="A39" s="51" t="s">
        <v>399</v>
      </c>
      <c r="B39" s="134" t="n">
        <f aca="false">B37*B38</f>
        <v>0</v>
      </c>
      <c r="C39" s="134" t="n">
        <f aca="false">C37*C38</f>
        <v>0</v>
      </c>
      <c r="D39" s="134" t="n">
        <f aca="false">D37*D38</f>
        <v>0</v>
      </c>
      <c r="E39" s="134" t="n">
        <f aca="false">E37*E38</f>
        <v>200528.792558081</v>
      </c>
      <c r="F39" s="134" t="n">
        <f aca="false">F37*F38</f>
        <v>2932114.9300635</v>
      </c>
      <c r="G39" s="134" t="n">
        <f aca="false">SUM(B39:F39)</f>
        <v>3132643.72262158</v>
      </c>
    </row>
    <row r="40" customFormat="false" ht="15" hidden="false" customHeight="false" outlineLevel="0" collapsed="false">
      <c r="A40" s="27" t="s">
        <v>400</v>
      </c>
      <c r="B40" s="118" t="n">
        <f aca="false">B39</f>
        <v>0</v>
      </c>
      <c r="C40" s="118" t="n">
        <f aca="false">B40+C39</f>
        <v>0</v>
      </c>
      <c r="D40" s="118" t="n">
        <f aca="false">C40+D39</f>
        <v>0</v>
      </c>
      <c r="E40" s="118" t="n">
        <f aca="false">D40+E39</f>
        <v>200528.792558081</v>
      </c>
      <c r="F40" s="118" t="n">
        <f aca="false">E40+F39</f>
        <v>3132643.72262158</v>
      </c>
    </row>
    <row r="41" customFormat="false" ht="15" hidden="false" customHeight="false" outlineLevel="0" collapsed="false">
      <c r="A41" s="112" t="s">
        <v>401</v>
      </c>
      <c r="B41" s="120" t="n">
        <f aca="false">SUMIFS(Pessoas!$B$44:$BI$44,Pessoas!$B$38:$BI$38,B$28)</f>
        <v>0</v>
      </c>
      <c r="C41" s="120" t="n">
        <f aca="false">SUMIFS(Pessoas!$B$44:$BI$44,Pessoas!$B$38:$BI$38,C$28)</f>
        <v>180000</v>
      </c>
      <c r="D41" s="120" t="n">
        <f aca="false">SUMIFS(Pessoas!$B$44:$BI$44,Pessoas!$B$38:$BI$38,D$28)</f>
        <v>180000</v>
      </c>
      <c r="E41" s="120" t="n">
        <f aca="false">SUMIFS(Pessoas!$B$44:$BI$44,Pessoas!$B$38:$BI$38,E$28)</f>
        <v>384000</v>
      </c>
      <c r="F41" s="120" t="n">
        <f aca="false">SUMIFS(Pessoas!$B$44:$BI$44,Pessoas!$B$38:$BI$38,F$28)</f>
        <v>384000</v>
      </c>
      <c r="G41" s="134" t="n">
        <f aca="false">SUM(B41:F41)</f>
        <v>1128000</v>
      </c>
      <c r="I41" s="29" t="s">
        <v>402</v>
      </c>
    </row>
    <row r="42" customFormat="false" ht="15" hidden="false" customHeight="false" outlineLevel="0" collapsed="false">
      <c r="A42" s="114" t="s">
        <v>403</v>
      </c>
      <c r="B42" s="135" t="n">
        <f aca="false">B30-B40</f>
        <v>-117267.158783333</v>
      </c>
      <c r="C42" s="135" t="n">
        <f aca="false">C30-C40</f>
        <v>410376.978666252</v>
      </c>
      <c r="D42" s="135" t="n">
        <f aca="false">D30-D40</f>
        <v>2428267.66096503</v>
      </c>
      <c r="E42" s="135" t="n">
        <f aca="false">E30-E40</f>
        <v>6497029.66925598</v>
      </c>
      <c r="F42" s="135" t="n">
        <f aca="false">F30-F40</f>
        <v>13851966.6827659</v>
      </c>
      <c r="I42" s="29" t="s">
        <v>404</v>
      </c>
    </row>
    <row r="44" customFormat="false" ht="18" hidden="false" customHeight="true" outlineLevel="0" collapsed="false">
      <c r="A44" s="25" t="s">
        <v>405</v>
      </c>
      <c r="B44" s="26"/>
      <c r="C44" s="26"/>
      <c r="D44" s="26"/>
      <c r="E44" s="26"/>
      <c r="F44" s="26"/>
      <c r="G44" s="26"/>
      <c r="H44" s="26"/>
      <c r="I44" s="26"/>
    </row>
    <row r="45" customFormat="false" ht="15" hidden="false" customHeight="false" outlineLevel="0" collapsed="false">
      <c r="A45" s="98" t="s">
        <v>406</v>
      </c>
      <c r="B45" s="53" t="n">
        <v>2026</v>
      </c>
      <c r="C45" s="53" t="n">
        <v>2027</v>
      </c>
      <c r="D45" s="53" t="n">
        <v>2028</v>
      </c>
      <c r="E45" s="53" t="n">
        <v>2029</v>
      </c>
      <c r="F45" s="53" t="n">
        <v>2030</v>
      </c>
      <c r="G45" s="133" t="s">
        <v>407</v>
      </c>
    </row>
    <row r="46" customFormat="false" ht="15" hidden="false" customHeight="false" outlineLevel="0" collapsed="false">
      <c r="A46" s="131" t="str">
        <f aca="false">IF($A7="","",$A7)</f>
        <v>Paulo Kapp</v>
      </c>
      <c r="B46" s="118" t="n">
        <f aca="false">$C7*B$39</f>
        <v>0</v>
      </c>
      <c r="C46" s="118" t="n">
        <f aca="false">$C7*C$39</f>
        <v>0</v>
      </c>
      <c r="D46" s="118" t="n">
        <f aca="false">$C7*D$39</f>
        <v>0</v>
      </c>
      <c r="E46" s="118" t="n">
        <f aca="false">$C7*E$39</f>
        <v>26068.7430325505</v>
      </c>
      <c r="F46" s="118" t="n">
        <f aca="false">$C7*F$39</f>
        <v>381174.940908256</v>
      </c>
      <c r="G46" s="136" t="n">
        <f aca="false">SUM(B46:F46)</f>
        <v>407243.683940806</v>
      </c>
    </row>
    <row r="47" customFormat="false" ht="15" hidden="false" customHeight="false" outlineLevel="0" collapsed="false">
      <c r="A47" s="131" t="str">
        <f aca="false">IF($A8="","",$A8)</f>
        <v>Lucas Medina</v>
      </c>
      <c r="B47" s="118" t="n">
        <f aca="false">$C8*B$39</f>
        <v>0</v>
      </c>
      <c r="C47" s="118" t="n">
        <f aca="false">$C8*C$39</f>
        <v>0</v>
      </c>
      <c r="D47" s="118" t="n">
        <f aca="false">$C8*D$39</f>
        <v>0</v>
      </c>
      <c r="E47" s="118" t="n">
        <f aca="false">$C8*E$39</f>
        <v>26068.7430325505</v>
      </c>
      <c r="F47" s="118" t="n">
        <f aca="false">$C8*F$39</f>
        <v>381174.940908256</v>
      </c>
      <c r="G47" s="136" t="n">
        <f aca="false">SUM(B47:F47)</f>
        <v>407243.683940806</v>
      </c>
    </row>
    <row r="48" customFormat="false" ht="15" hidden="false" customHeight="false" outlineLevel="0" collapsed="false">
      <c r="A48" s="131" t="str">
        <f aca="false">IF($A9="","",$A9)</f>
        <v>Felipe Toescher</v>
      </c>
      <c r="B48" s="118" t="n">
        <f aca="false">$C9*B$39</f>
        <v>0</v>
      </c>
      <c r="C48" s="118" t="n">
        <f aca="false">$C9*C$39</f>
        <v>0</v>
      </c>
      <c r="D48" s="118" t="n">
        <f aca="false">$C9*D$39</f>
        <v>0</v>
      </c>
      <c r="E48" s="118" t="n">
        <f aca="false">$C9*E$39</f>
        <v>26068.7430325505</v>
      </c>
      <c r="F48" s="118" t="n">
        <f aca="false">$C9*F$39</f>
        <v>381174.940908256</v>
      </c>
      <c r="G48" s="136" t="n">
        <f aca="false">SUM(B48:F48)</f>
        <v>407243.683940806</v>
      </c>
    </row>
    <row r="49" customFormat="false" ht="15" hidden="false" customHeight="false" outlineLevel="0" collapsed="false">
      <c r="A49" s="131" t="str">
        <f aca="false">IF($A10="","",$A10)</f>
        <v>Lucas Iung</v>
      </c>
      <c r="B49" s="118" t="n">
        <f aca="false">$C10*B$39</f>
        <v>0</v>
      </c>
      <c r="C49" s="118" t="n">
        <f aca="false">$C10*C$39</f>
        <v>0</v>
      </c>
      <c r="D49" s="118" t="n">
        <f aca="false">$C10*D$39</f>
        <v>0</v>
      </c>
      <c r="E49" s="118" t="n">
        <f aca="false">$C10*E$39</f>
        <v>26068.7430325505</v>
      </c>
      <c r="F49" s="118" t="n">
        <f aca="false">$C10*F$39</f>
        <v>381174.940908256</v>
      </c>
      <c r="G49" s="136" t="n">
        <f aca="false">SUM(B49:F49)</f>
        <v>407243.683940806</v>
      </c>
    </row>
    <row r="50" customFormat="false" ht="15" hidden="false" customHeight="false" outlineLevel="0" collapsed="false">
      <c r="A50" s="131" t="str">
        <f aca="false">IF($A11="","",$A11)</f>
        <v>C-ioT</v>
      </c>
      <c r="B50" s="118" t="n">
        <f aca="false">$C11*B$39</f>
        <v>0</v>
      </c>
      <c r="C50" s="118" t="n">
        <f aca="false">$C11*C$39</f>
        <v>0</v>
      </c>
      <c r="D50" s="118" t="n">
        <f aca="false">$C11*D$39</f>
        <v>0</v>
      </c>
      <c r="E50" s="118" t="n">
        <f aca="false">$C11*E$39</f>
        <v>32084.6068092929</v>
      </c>
      <c r="F50" s="118" t="n">
        <f aca="false">$C11*F$39</f>
        <v>469138.388810161</v>
      </c>
      <c r="G50" s="136" t="n">
        <f aca="false">SUM(B50:F50)</f>
        <v>501222.995619454</v>
      </c>
    </row>
    <row r="51" customFormat="false" ht="15" hidden="false" customHeight="false" outlineLevel="0" collapsed="false">
      <c r="A51" s="131" t="str">
        <f aca="false">IF($A12="","",$A12)</f>
        <v>Felipe Martinelli</v>
      </c>
      <c r="B51" s="118" t="n">
        <f aca="false">$C12*B$39</f>
        <v>0</v>
      </c>
      <c r="C51" s="118" t="n">
        <f aca="false">$C12*C$39</f>
        <v>0</v>
      </c>
      <c r="D51" s="118" t="n">
        <f aca="false">$C12*D$39</f>
        <v>0</v>
      </c>
      <c r="E51" s="118" t="n">
        <f aca="false">$C12*E$39</f>
        <v>32084.6068092929</v>
      </c>
      <c r="F51" s="118" t="n">
        <f aca="false">$C12*F$39</f>
        <v>469138.388810161</v>
      </c>
      <c r="G51" s="136" t="n">
        <f aca="false">SUM(B51:F51)</f>
        <v>501222.995619454</v>
      </c>
    </row>
    <row r="52" customFormat="false" ht="15" hidden="false" customHeight="false" outlineLevel="0" collapsed="false">
      <c r="A52" s="131" t="str">
        <f aca="false">IF($A13="","",$A13)</f>
        <v>Shaiane</v>
      </c>
      <c r="B52" s="118" t="n">
        <f aca="false">$C13*B$39</f>
        <v>0</v>
      </c>
      <c r="C52" s="118" t="n">
        <f aca="false">$C13*C$39</f>
        <v>0</v>
      </c>
      <c r="D52" s="118" t="n">
        <f aca="false">$C13*D$39</f>
        <v>0</v>
      </c>
      <c r="E52" s="118" t="n">
        <f aca="false">$C13*E$39</f>
        <v>32084.6068092929</v>
      </c>
      <c r="F52" s="118" t="n">
        <f aca="false">$C13*F$39</f>
        <v>469138.388810161</v>
      </c>
      <c r="G52" s="136" t="n">
        <f aca="false">SUM(B52:F52)</f>
        <v>501222.995619454</v>
      </c>
    </row>
    <row r="53" customFormat="false" ht="15" hidden="false" customHeight="false" outlineLevel="0" collapsed="false">
      <c r="A53" s="131" t="str">
        <f aca="false">IF($A14="","",$A14)</f>
        <v/>
      </c>
      <c r="B53" s="118" t="n">
        <f aca="false">$C14*B$39</f>
        <v>0</v>
      </c>
      <c r="C53" s="118" t="n">
        <f aca="false">$C14*C$39</f>
        <v>0</v>
      </c>
      <c r="D53" s="118" t="n">
        <f aca="false">$C14*D$39</f>
        <v>0</v>
      </c>
      <c r="E53" s="118" t="n">
        <f aca="false">$C14*E$39</f>
        <v>0</v>
      </c>
      <c r="F53" s="118" t="n">
        <f aca="false">$C14*F$39</f>
        <v>0</v>
      </c>
      <c r="G53" s="136" t="n">
        <f aca="false">SUM(B53:F53)</f>
        <v>0</v>
      </c>
    </row>
    <row r="54" customFormat="false" ht="15" hidden="false" customHeight="false" outlineLevel="0" collapsed="false">
      <c r="A54" s="131" t="str">
        <f aca="false">IF($A15="","",$A15)</f>
        <v/>
      </c>
      <c r="B54" s="118" t="n">
        <f aca="false">$C15*B$39</f>
        <v>0</v>
      </c>
      <c r="C54" s="118" t="n">
        <f aca="false">$C15*C$39</f>
        <v>0</v>
      </c>
      <c r="D54" s="118" t="n">
        <f aca="false">$C15*D$39</f>
        <v>0</v>
      </c>
      <c r="E54" s="118" t="n">
        <f aca="false">$C15*E$39</f>
        <v>0</v>
      </c>
      <c r="F54" s="118" t="n">
        <f aca="false">$C15*F$39</f>
        <v>0</v>
      </c>
      <c r="G54" s="136" t="n">
        <f aca="false">SUM(B54:F54)</f>
        <v>0</v>
      </c>
    </row>
    <row r="55" customFormat="false" ht="15" hidden="false" customHeight="false" outlineLevel="0" collapsed="false">
      <c r="A55" s="131" t="str">
        <f aca="false">IF($A16="","",$A16)</f>
        <v/>
      </c>
      <c r="B55" s="118" t="n">
        <f aca="false">$C16*B$39</f>
        <v>0</v>
      </c>
      <c r="C55" s="118" t="n">
        <f aca="false">$C16*C$39</f>
        <v>0</v>
      </c>
      <c r="D55" s="118" t="n">
        <f aca="false">$C16*D$39</f>
        <v>0</v>
      </c>
      <c r="E55" s="118" t="n">
        <f aca="false">$C16*E$39</f>
        <v>0</v>
      </c>
      <c r="F55" s="118" t="n">
        <f aca="false">$C16*F$39</f>
        <v>0</v>
      </c>
      <c r="G55" s="136" t="n">
        <f aca="false">SUM(B55:F55)</f>
        <v>0</v>
      </c>
    </row>
    <row r="56" customFormat="false" ht="15" hidden="false" customHeight="false" outlineLevel="0" collapsed="false">
      <c r="A56" s="131" t="str">
        <f aca="false">IF($A17="","",$A17)</f>
        <v/>
      </c>
      <c r="B56" s="118" t="n">
        <f aca="false">$C17*B$39</f>
        <v>0</v>
      </c>
      <c r="C56" s="118" t="n">
        <f aca="false">$C17*C$39</f>
        <v>0</v>
      </c>
      <c r="D56" s="118" t="n">
        <f aca="false">$C17*D$39</f>
        <v>0</v>
      </c>
      <c r="E56" s="118" t="n">
        <f aca="false">$C17*E$39</f>
        <v>0</v>
      </c>
      <c r="F56" s="118" t="n">
        <f aca="false">$C17*F$39</f>
        <v>0</v>
      </c>
      <c r="G56" s="136" t="n">
        <f aca="false">SUM(B56:F56)</f>
        <v>0</v>
      </c>
    </row>
    <row r="57" customFormat="false" ht="15" hidden="false" customHeight="false" outlineLevel="0" collapsed="false">
      <c r="A57" s="131" t="str">
        <f aca="false">IF($A18="","",$A18)</f>
        <v/>
      </c>
      <c r="B57" s="118" t="n">
        <f aca="false">$C18*B$39</f>
        <v>0</v>
      </c>
      <c r="C57" s="118" t="n">
        <f aca="false">$C18*C$39</f>
        <v>0</v>
      </c>
      <c r="D57" s="118" t="n">
        <f aca="false">$C18*D$39</f>
        <v>0</v>
      </c>
      <c r="E57" s="118" t="n">
        <f aca="false">$C18*E$39</f>
        <v>0</v>
      </c>
      <c r="F57" s="118" t="n">
        <f aca="false">$C18*F$39</f>
        <v>0</v>
      </c>
      <c r="G57" s="136" t="n">
        <f aca="false">SUM(B57:F57)</f>
        <v>0</v>
      </c>
    </row>
    <row r="58" customFormat="false" ht="15" hidden="false" customHeight="false" outlineLevel="0" collapsed="false">
      <c r="A58" s="131" t="str">
        <f aca="false">IF($A19="","",$A19)</f>
        <v/>
      </c>
      <c r="B58" s="118" t="n">
        <f aca="false">$C19*B$39</f>
        <v>0</v>
      </c>
      <c r="C58" s="118" t="n">
        <f aca="false">$C19*C$39</f>
        <v>0</v>
      </c>
      <c r="D58" s="118" t="n">
        <f aca="false">$C19*D$39</f>
        <v>0</v>
      </c>
      <c r="E58" s="118" t="n">
        <f aca="false">$C19*E$39</f>
        <v>0</v>
      </c>
      <c r="F58" s="118" t="n">
        <f aca="false">$C19*F$39</f>
        <v>0</v>
      </c>
      <c r="G58" s="136" t="n">
        <f aca="false">SUM(B58:F58)</f>
        <v>0</v>
      </c>
    </row>
    <row r="59" customFormat="false" ht="15" hidden="false" customHeight="false" outlineLevel="0" collapsed="false">
      <c r="A59" s="98" t="s">
        <v>408</v>
      </c>
      <c r="B59" s="134" t="n">
        <f aca="false">SUM(B46:B58)</f>
        <v>0</v>
      </c>
      <c r="C59" s="134" t="n">
        <f aca="false">SUM(C46:C58)</f>
        <v>0</v>
      </c>
      <c r="D59" s="134" t="n">
        <f aca="false">SUM(D46:D58)</f>
        <v>0</v>
      </c>
      <c r="E59" s="134" t="n">
        <f aca="false">SUM(E46:E58)</f>
        <v>200528.792558081</v>
      </c>
      <c r="F59" s="134" t="n">
        <f aca="false">SUM(F46:F58)</f>
        <v>2932114.9300635</v>
      </c>
      <c r="G59" s="134" t="n">
        <f aca="false">SUM(G46:G58)</f>
        <v>3132643.72262158</v>
      </c>
    </row>
    <row r="61" customFormat="false" ht="27.75" hidden="false" customHeight="true" outlineLevel="0" collapsed="false">
      <c r="A61" s="98" t="s">
        <v>409</v>
      </c>
      <c r="B61" s="137" t="s">
        <v>410</v>
      </c>
      <c r="C61" s="137" t="s">
        <v>411</v>
      </c>
      <c r="D61" s="137" t="s">
        <v>412</v>
      </c>
      <c r="E61" s="137" t="s">
        <v>413</v>
      </c>
    </row>
    <row r="62" customFormat="false" ht="15" hidden="false" customHeight="false" outlineLevel="0" collapsed="false">
      <c r="A62" s="138" t="str">
        <f aca="false">IF($A7="","",$A7)</f>
        <v>Paulo Kapp</v>
      </c>
      <c r="B62" s="128" t="n">
        <f aca="false">$G46</f>
        <v>407243.683940806</v>
      </c>
      <c r="C62" s="128" t="n">
        <f aca="false">$D7*$G$41</f>
        <v>282000</v>
      </c>
      <c r="D62" s="139" t="n">
        <f aca="false">$B62+$C62</f>
        <v>689243.683940806</v>
      </c>
      <c r="E62" s="128" t="n">
        <f aca="false">IFERROR($B62/$C7/100,0)</f>
        <v>31326.4372262158</v>
      </c>
    </row>
    <row r="63" customFormat="false" ht="15" hidden="false" customHeight="false" outlineLevel="0" collapsed="false">
      <c r="A63" s="138" t="str">
        <f aca="false">IF($A8="","",$A8)</f>
        <v>Lucas Medina</v>
      </c>
      <c r="B63" s="128" t="n">
        <f aca="false">$G47</f>
        <v>407243.683940806</v>
      </c>
      <c r="C63" s="128" t="n">
        <f aca="false">$D8*$G$41</f>
        <v>282000</v>
      </c>
      <c r="D63" s="139" t="n">
        <f aca="false">$B63+$C63</f>
        <v>689243.683940806</v>
      </c>
      <c r="E63" s="128" t="n">
        <f aca="false">IFERROR($B63/$C8/100,0)</f>
        <v>31326.4372262158</v>
      </c>
    </row>
    <row r="64" customFormat="false" ht="15" hidden="false" customHeight="false" outlineLevel="0" collapsed="false">
      <c r="A64" s="138" t="str">
        <f aca="false">IF($A9="","",$A9)</f>
        <v>Felipe Toescher</v>
      </c>
      <c r="B64" s="128" t="n">
        <f aca="false">$G48</f>
        <v>407243.683940806</v>
      </c>
      <c r="C64" s="128" t="n">
        <f aca="false">$D9*$G$41</f>
        <v>282000</v>
      </c>
      <c r="D64" s="139" t="n">
        <f aca="false">$B64+$C64</f>
        <v>689243.683940806</v>
      </c>
      <c r="E64" s="128" t="n">
        <f aca="false">IFERROR($B64/$C9/100,0)</f>
        <v>31326.4372262158</v>
      </c>
    </row>
    <row r="65" customFormat="false" ht="15" hidden="false" customHeight="false" outlineLevel="0" collapsed="false">
      <c r="A65" s="138" t="str">
        <f aca="false">IF($A10="","",$A10)</f>
        <v>Lucas Iung</v>
      </c>
      <c r="B65" s="128" t="n">
        <f aca="false">$G49</f>
        <v>407243.683940806</v>
      </c>
      <c r="C65" s="128" t="n">
        <f aca="false">$D10*$G$41</f>
        <v>282000</v>
      </c>
      <c r="D65" s="139" t="n">
        <f aca="false">$B65+$C65</f>
        <v>689243.683940806</v>
      </c>
      <c r="E65" s="128" t="n">
        <f aca="false">IFERROR($B65/$C10/100,0)</f>
        <v>31326.4372262158</v>
      </c>
    </row>
    <row r="66" customFormat="false" ht="15" hidden="false" customHeight="false" outlineLevel="0" collapsed="false">
      <c r="A66" s="138" t="str">
        <f aca="false">IF($A11="","",$A11)</f>
        <v>C-ioT</v>
      </c>
      <c r="B66" s="128" t="n">
        <f aca="false">$G50</f>
        <v>501222.995619454</v>
      </c>
      <c r="C66" s="128" t="n">
        <f aca="false">$D11*$G$41</f>
        <v>0</v>
      </c>
      <c r="D66" s="139" t="n">
        <f aca="false">$B66+$C66</f>
        <v>501222.995619454</v>
      </c>
      <c r="E66" s="128" t="n">
        <f aca="false">IFERROR($B66/$C11/100,0)</f>
        <v>31326.4372262158</v>
      </c>
    </row>
    <row r="67" customFormat="false" ht="15" hidden="false" customHeight="false" outlineLevel="0" collapsed="false">
      <c r="A67" s="138" t="str">
        <f aca="false">IF($A12="","",$A12)</f>
        <v>Felipe Martinelli</v>
      </c>
      <c r="B67" s="128" t="n">
        <f aca="false">$G51</f>
        <v>501222.995619454</v>
      </c>
      <c r="C67" s="128" t="n">
        <f aca="false">$D12*$G$41</f>
        <v>0</v>
      </c>
      <c r="D67" s="139" t="n">
        <f aca="false">$B67+$C67</f>
        <v>501222.995619454</v>
      </c>
      <c r="E67" s="128" t="n">
        <f aca="false">IFERROR($B67/$C12/100,0)</f>
        <v>31326.4372262158</v>
      </c>
    </row>
    <row r="68" customFormat="false" ht="15" hidden="false" customHeight="false" outlineLevel="0" collapsed="false">
      <c r="A68" s="138" t="str">
        <f aca="false">IF($A13="","",$A13)</f>
        <v>Shaiane</v>
      </c>
      <c r="B68" s="128" t="n">
        <f aca="false">$G52</f>
        <v>501222.995619454</v>
      </c>
      <c r="C68" s="128" t="n">
        <f aca="false">$D13*$G$41</f>
        <v>0</v>
      </c>
      <c r="D68" s="139" t="n">
        <f aca="false">$B68+$C68</f>
        <v>501222.995619454</v>
      </c>
      <c r="E68" s="128" t="n">
        <f aca="false">IFERROR($B68/$C13/100,0)</f>
        <v>31326.4372262158</v>
      </c>
    </row>
    <row r="69" customFormat="false" ht="15" hidden="false" customHeight="false" outlineLevel="0" collapsed="false">
      <c r="A69" s="138" t="str">
        <f aca="false">IF($A14="","",$A14)</f>
        <v/>
      </c>
      <c r="B69" s="128" t="n">
        <f aca="false">$G53</f>
        <v>0</v>
      </c>
      <c r="C69" s="128" t="n">
        <f aca="false">$D14*$G$41</f>
        <v>0</v>
      </c>
      <c r="D69" s="139" t="n">
        <f aca="false">$B69+$C69</f>
        <v>0</v>
      </c>
      <c r="E69" s="128" t="n">
        <f aca="false">IFERROR($B69/$C14/100,0)</f>
        <v>0</v>
      </c>
    </row>
    <row r="70" customFormat="false" ht="15" hidden="false" customHeight="false" outlineLevel="0" collapsed="false">
      <c r="A70" s="138" t="str">
        <f aca="false">IF($A15="","",$A15)</f>
        <v/>
      </c>
      <c r="B70" s="128" t="n">
        <f aca="false">$G54</f>
        <v>0</v>
      </c>
      <c r="C70" s="128" t="n">
        <f aca="false">$D15*$G$41</f>
        <v>0</v>
      </c>
      <c r="D70" s="139" t="n">
        <f aca="false">$B70+$C70</f>
        <v>0</v>
      </c>
      <c r="E70" s="128" t="n">
        <f aca="false">IFERROR($B70/$C15/100,0)</f>
        <v>0</v>
      </c>
    </row>
    <row r="71" customFormat="false" ht="15" hidden="false" customHeight="false" outlineLevel="0" collapsed="false">
      <c r="A71" s="138" t="str">
        <f aca="false">IF($A16="","",$A16)</f>
        <v/>
      </c>
      <c r="B71" s="128" t="n">
        <f aca="false">$G55</f>
        <v>0</v>
      </c>
      <c r="C71" s="128" t="n">
        <f aca="false">$D16*$G$41</f>
        <v>0</v>
      </c>
      <c r="D71" s="139" t="n">
        <f aca="false">$B71+$C71</f>
        <v>0</v>
      </c>
      <c r="E71" s="128" t="n">
        <f aca="false">IFERROR($B71/$C16/100,0)</f>
        <v>0</v>
      </c>
    </row>
    <row r="72" customFormat="false" ht="15" hidden="false" customHeight="false" outlineLevel="0" collapsed="false">
      <c r="A72" s="138" t="str">
        <f aca="false">IF($A17="","",$A17)</f>
        <v/>
      </c>
      <c r="B72" s="128" t="n">
        <f aca="false">$G56</f>
        <v>0</v>
      </c>
      <c r="C72" s="128" t="n">
        <f aca="false">$D17*$G$41</f>
        <v>0</v>
      </c>
      <c r="D72" s="139" t="n">
        <f aca="false">$B72+$C72</f>
        <v>0</v>
      </c>
      <c r="E72" s="128" t="n">
        <f aca="false">IFERROR($B72/$C17/100,0)</f>
        <v>0</v>
      </c>
    </row>
    <row r="73" customFormat="false" ht="15" hidden="false" customHeight="false" outlineLevel="0" collapsed="false">
      <c r="A73" s="138" t="str">
        <f aca="false">IF($A18="","",$A18)</f>
        <v/>
      </c>
      <c r="B73" s="128" t="n">
        <f aca="false">$G57</f>
        <v>0</v>
      </c>
      <c r="C73" s="128" t="n">
        <f aca="false">$D18*$G$41</f>
        <v>0</v>
      </c>
      <c r="D73" s="139" t="n">
        <f aca="false">$B73+$C73</f>
        <v>0</v>
      </c>
      <c r="E73" s="128" t="n">
        <f aca="false">IFERROR($B73/$C18/100,0)</f>
        <v>0</v>
      </c>
    </row>
    <row r="74" customFormat="false" ht="15" hidden="false" customHeight="false" outlineLevel="0" collapsed="false">
      <c r="A74" s="138" t="str">
        <f aca="false">IF($A19="","",$A19)</f>
        <v/>
      </c>
      <c r="B74" s="128" t="n">
        <f aca="false">$G58</f>
        <v>0</v>
      </c>
      <c r="C74" s="128" t="n">
        <f aca="false">$D19*$G$41</f>
        <v>0</v>
      </c>
      <c r="D74" s="139" t="n">
        <f aca="false">$B74+$C74</f>
        <v>0</v>
      </c>
      <c r="E74" s="128" t="n">
        <f aca="false">IFERROR($B74/$C19/100,0)</f>
        <v>0</v>
      </c>
    </row>
  </sheetData>
  <mergeCells count="1">
    <mergeCell ref="A5:G5"/>
  </mergeCells>
  <dataValidations count="1">
    <dataValidation allowBlank="true" errorStyle="stop" operator="between" showDropDown="false" showErrorMessage="false" showInputMessage="false" sqref="B7:B19" type="list">
      <formula1>"Fundador,Investidor"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040"/>
    <pageSetUpPr fitToPage="false"/>
  </sheetPr>
  <dimension ref="A1:BK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61" min="2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414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140" t="str">
        <f aca="false">" Cenário ativo: "&amp;Premissas!B7</f>
        <v> Cenário ativo: PROVÁVEL</v>
      </c>
    </row>
    <row r="4" customFormat="false" ht="15" hidden="false" customHeight="false" outlineLevel="0" collapsed="false">
      <c r="A4" s="100" t="s">
        <v>325</v>
      </c>
      <c r="B4" s="101" t="n">
        <v>46023</v>
      </c>
      <c r="C4" s="101" t="n">
        <v>46054</v>
      </c>
      <c r="D4" s="101" t="n">
        <v>46082</v>
      </c>
      <c r="E4" s="101" t="n">
        <v>46113</v>
      </c>
      <c r="F4" s="101" t="n">
        <v>46143</v>
      </c>
      <c r="G4" s="101" t="n">
        <v>46174</v>
      </c>
      <c r="H4" s="101" t="n">
        <v>46204</v>
      </c>
      <c r="I4" s="101" t="n">
        <v>46235</v>
      </c>
      <c r="J4" s="101" t="n">
        <v>46266</v>
      </c>
      <c r="K4" s="101" t="n">
        <v>46296</v>
      </c>
      <c r="L4" s="101" t="n">
        <v>46327</v>
      </c>
      <c r="M4" s="101" t="n">
        <v>46357</v>
      </c>
      <c r="N4" s="101" t="n">
        <v>46388</v>
      </c>
      <c r="O4" s="101" t="n">
        <v>46419</v>
      </c>
      <c r="P4" s="101" t="n">
        <v>46447</v>
      </c>
      <c r="Q4" s="101" t="n">
        <v>46478</v>
      </c>
      <c r="R4" s="101" t="n">
        <v>46508</v>
      </c>
      <c r="S4" s="101" t="n">
        <v>46539</v>
      </c>
      <c r="T4" s="101" t="n">
        <v>46569</v>
      </c>
      <c r="U4" s="101" t="n">
        <v>46600</v>
      </c>
      <c r="V4" s="101" t="n">
        <v>46631</v>
      </c>
      <c r="W4" s="101" t="n">
        <v>46661</v>
      </c>
      <c r="X4" s="101" t="n">
        <v>46692</v>
      </c>
      <c r="Y4" s="101" t="n">
        <v>46722</v>
      </c>
      <c r="Z4" s="101" t="n">
        <v>46753</v>
      </c>
      <c r="AA4" s="101" t="n">
        <v>46784</v>
      </c>
      <c r="AB4" s="101" t="n">
        <v>46813</v>
      </c>
      <c r="AC4" s="101" t="n">
        <v>46844</v>
      </c>
      <c r="AD4" s="101" t="n">
        <v>46874</v>
      </c>
      <c r="AE4" s="101" t="n">
        <v>46905</v>
      </c>
      <c r="AF4" s="101" t="n">
        <v>46935</v>
      </c>
      <c r="AG4" s="101" t="n">
        <v>46966</v>
      </c>
      <c r="AH4" s="101" t="n">
        <v>46997</v>
      </c>
      <c r="AI4" s="101" t="n">
        <v>47027</v>
      </c>
      <c r="AJ4" s="101" t="n">
        <v>47058</v>
      </c>
      <c r="AK4" s="101" t="n">
        <v>47088</v>
      </c>
      <c r="AL4" s="101" t="n">
        <v>47119</v>
      </c>
      <c r="AM4" s="101" t="n">
        <v>47150</v>
      </c>
      <c r="AN4" s="101" t="n">
        <v>47178</v>
      </c>
      <c r="AO4" s="101" t="n">
        <v>47209</v>
      </c>
      <c r="AP4" s="101" t="n">
        <v>47239</v>
      </c>
      <c r="AQ4" s="101" t="n">
        <v>47270</v>
      </c>
      <c r="AR4" s="101" t="n">
        <v>47300</v>
      </c>
      <c r="AS4" s="101" t="n">
        <v>47331</v>
      </c>
      <c r="AT4" s="101" t="n">
        <v>47362</v>
      </c>
      <c r="AU4" s="101" t="n">
        <v>47392</v>
      </c>
      <c r="AV4" s="101" t="n">
        <v>47423</v>
      </c>
      <c r="AW4" s="101" t="n">
        <v>47453</v>
      </c>
      <c r="AX4" s="101" t="n">
        <v>47484</v>
      </c>
      <c r="AY4" s="101" t="n">
        <v>47515</v>
      </c>
      <c r="AZ4" s="101" t="n">
        <v>47543</v>
      </c>
      <c r="BA4" s="101" t="n">
        <v>47574</v>
      </c>
      <c r="BB4" s="101" t="n">
        <v>47604</v>
      </c>
      <c r="BC4" s="101" t="n">
        <v>47635</v>
      </c>
      <c r="BD4" s="101" t="n">
        <v>47665</v>
      </c>
      <c r="BE4" s="101" t="n">
        <v>47696</v>
      </c>
      <c r="BF4" s="101" t="n">
        <v>47727</v>
      </c>
      <c r="BG4" s="101" t="n">
        <v>47757</v>
      </c>
      <c r="BH4" s="101" t="n">
        <v>47788</v>
      </c>
      <c r="BI4" s="101" t="n">
        <v>47818</v>
      </c>
      <c r="BJ4" s="102" t="s">
        <v>326</v>
      </c>
      <c r="BK4" s="102" t="s">
        <v>327</v>
      </c>
    </row>
    <row r="5" customFormat="false" ht="15" hidden="false" customHeight="false" outlineLevel="0" collapsed="false">
      <c r="A5" s="103" t="s">
        <v>328</v>
      </c>
      <c r="B5" s="104" t="n">
        <v>1</v>
      </c>
      <c r="C5" s="104" t="n">
        <v>2</v>
      </c>
      <c r="D5" s="104" t="n">
        <v>3</v>
      </c>
      <c r="E5" s="104" t="n">
        <v>4</v>
      </c>
      <c r="F5" s="104" t="n">
        <v>5</v>
      </c>
      <c r="G5" s="104" t="n">
        <v>6</v>
      </c>
      <c r="H5" s="104" t="n">
        <v>7</v>
      </c>
      <c r="I5" s="104" t="n">
        <v>8</v>
      </c>
      <c r="J5" s="104" t="n">
        <v>9</v>
      </c>
      <c r="K5" s="104" t="n">
        <v>10</v>
      </c>
      <c r="L5" s="104" t="n">
        <v>11</v>
      </c>
      <c r="M5" s="104" t="n">
        <v>12</v>
      </c>
      <c r="N5" s="104" t="n">
        <v>13</v>
      </c>
      <c r="O5" s="104" t="n">
        <v>14</v>
      </c>
      <c r="P5" s="104" t="n">
        <v>15</v>
      </c>
      <c r="Q5" s="104" t="n">
        <v>16</v>
      </c>
      <c r="R5" s="104" t="n">
        <v>17</v>
      </c>
      <c r="S5" s="104" t="n">
        <v>18</v>
      </c>
      <c r="T5" s="104" t="n">
        <v>19</v>
      </c>
      <c r="U5" s="104" t="n">
        <v>20</v>
      </c>
      <c r="V5" s="104" t="n">
        <v>21</v>
      </c>
      <c r="W5" s="104" t="n">
        <v>22</v>
      </c>
      <c r="X5" s="104" t="n">
        <v>23</v>
      </c>
      <c r="Y5" s="104" t="n">
        <v>24</v>
      </c>
      <c r="Z5" s="104" t="n">
        <v>25</v>
      </c>
      <c r="AA5" s="104" t="n">
        <v>26</v>
      </c>
      <c r="AB5" s="104" t="n">
        <v>27</v>
      </c>
      <c r="AC5" s="104" t="n">
        <v>28</v>
      </c>
      <c r="AD5" s="104" t="n">
        <v>29</v>
      </c>
      <c r="AE5" s="104" t="n">
        <v>30</v>
      </c>
      <c r="AF5" s="104" t="n">
        <v>31</v>
      </c>
      <c r="AG5" s="104" t="n">
        <v>32</v>
      </c>
      <c r="AH5" s="104" t="n">
        <v>33</v>
      </c>
      <c r="AI5" s="104" t="n">
        <v>34</v>
      </c>
      <c r="AJ5" s="104" t="n">
        <v>35</v>
      </c>
      <c r="AK5" s="104" t="n">
        <v>36</v>
      </c>
      <c r="AL5" s="104" t="n">
        <v>37</v>
      </c>
      <c r="AM5" s="104" t="n">
        <v>38</v>
      </c>
      <c r="AN5" s="104" t="n">
        <v>39</v>
      </c>
      <c r="AO5" s="104" t="n">
        <v>40</v>
      </c>
      <c r="AP5" s="104" t="n">
        <v>41</v>
      </c>
      <c r="AQ5" s="104" t="n">
        <v>42</v>
      </c>
      <c r="AR5" s="104" t="n">
        <v>43</v>
      </c>
      <c r="AS5" s="104" t="n">
        <v>44</v>
      </c>
      <c r="AT5" s="104" t="n">
        <v>45</v>
      </c>
      <c r="AU5" s="104" t="n">
        <v>46</v>
      </c>
      <c r="AV5" s="104" t="n">
        <v>47</v>
      </c>
      <c r="AW5" s="104" t="n">
        <v>48</v>
      </c>
      <c r="AX5" s="104" t="n">
        <v>49</v>
      </c>
      <c r="AY5" s="104" t="n">
        <v>50</v>
      </c>
      <c r="AZ5" s="104" t="n">
        <v>51</v>
      </c>
      <c r="BA5" s="104" t="n">
        <v>52</v>
      </c>
      <c r="BB5" s="104" t="n">
        <v>53</v>
      </c>
      <c r="BC5" s="104" t="n">
        <v>54</v>
      </c>
      <c r="BD5" s="104" t="n">
        <v>55</v>
      </c>
      <c r="BE5" s="104" t="n">
        <v>56</v>
      </c>
      <c r="BF5" s="104" t="n">
        <v>57</v>
      </c>
      <c r="BG5" s="104" t="n">
        <v>58</v>
      </c>
      <c r="BH5" s="104" t="n">
        <v>59</v>
      </c>
      <c r="BI5" s="104" t="n">
        <v>60</v>
      </c>
    </row>
    <row r="6" customFormat="false" ht="15" hidden="false" customHeight="false" outlineLevel="0" collapsed="false">
      <c r="A6" s="103" t="s">
        <v>329</v>
      </c>
      <c r="B6" s="105" t="n">
        <f aca="false">YEAR(B4)</f>
        <v>2026</v>
      </c>
      <c r="C6" s="105" t="n">
        <f aca="false">YEAR(C4)</f>
        <v>2026</v>
      </c>
      <c r="D6" s="105" t="n">
        <f aca="false">YEAR(D4)</f>
        <v>2026</v>
      </c>
      <c r="E6" s="105" t="n">
        <f aca="false">YEAR(E4)</f>
        <v>2026</v>
      </c>
      <c r="F6" s="105" t="n">
        <f aca="false">YEAR(F4)</f>
        <v>2026</v>
      </c>
      <c r="G6" s="105" t="n">
        <f aca="false">YEAR(G4)</f>
        <v>2026</v>
      </c>
      <c r="H6" s="105" t="n">
        <f aca="false">YEAR(H4)</f>
        <v>2026</v>
      </c>
      <c r="I6" s="105" t="n">
        <f aca="false">YEAR(I4)</f>
        <v>2026</v>
      </c>
      <c r="J6" s="105" t="n">
        <f aca="false">YEAR(J4)</f>
        <v>2026</v>
      </c>
      <c r="K6" s="105" t="n">
        <f aca="false">YEAR(K4)</f>
        <v>2026</v>
      </c>
      <c r="L6" s="105" t="n">
        <f aca="false">YEAR(L4)</f>
        <v>2026</v>
      </c>
      <c r="M6" s="105" t="n">
        <f aca="false">YEAR(M4)</f>
        <v>2026</v>
      </c>
      <c r="N6" s="105" t="n">
        <f aca="false">YEAR(N4)</f>
        <v>2027</v>
      </c>
      <c r="O6" s="105" t="n">
        <f aca="false">YEAR(O4)</f>
        <v>2027</v>
      </c>
      <c r="P6" s="105" t="n">
        <f aca="false">YEAR(P4)</f>
        <v>2027</v>
      </c>
      <c r="Q6" s="105" t="n">
        <f aca="false">YEAR(Q4)</f>
        <v>2027</v>
      </c>
      <c r="R6" s="105" t="n">
        <f aca="false">YEAR(R4)</f>
        <v>2027</v>
      </c>
      <c r="S6" s="105" t="n">
        <f aca="false">YEAR(S4)</f>
        <v>2027</v>
      </c>
      <c r="T6" s="105" t="n">
        <f aca="false">YEAR(T4)</f>
        <v>2027</v>
      </c>
      <c r="U6" s="105" t="n">
        <f aca="false">YEAR(U4)</f>
        <v>2027</v>
      </c>
      <c r="V6" s="105" t="n">
        <f aca="false">YEAR(V4)</f>
        <v>2027</v>
      </c>
      <c r="W6" s="105" t="n">
        <f aca="false">YEAR(W4)</f>
        <v>2027</v>
      </c>
      <c r="X6" s="105" t="n">
        <f aca="false">YEAR(X4)</f>
        <v>2027</v>
      </c>
      <c r="Y6" s="105" t="n">
        <f aca="false">YEAR(Y4)</f>
        <v>2027</v>
      </c>
      <c r="Z6" s="105" t="n">
        <f aca="false">YEAR(Z4)</f>
        <v>2028</v>
      </c>
      <c r="AA6" s="105" t="n">
        <f aca="false">YEAR(AA4)</f>
        <v>2028</v>
      </c>
      <c r="AB6" s="105" t="n">
        <f aca="false">YEAR(AB4)</f>
        <v>2028</v>
      </c>
      <c r="AC6" s="105" t="n">
        <f aca="false">YEAR(AC4)</f>
        <v>2028</v>
      </c>
      <c r="AD6" s="105" t="n">
        <f aca="false">YEAR(AD4)</f>
        <v>2028</v>
      </c>
      <c r="AE6" s="105" t="n">
        <f aca="false">YEAR(AE4)</f>
        <v>2028</v>
      </c>
      <c r="AF6" s="105" t="n">
        <f aca="false">YEAR(AF4)</f>
        <v>2028</v>
      </c>
      <c r="AG6" s="105" t="n">
        <f aca="false">YEAR(AG4)</f>
        <v>2028</v>
      </c>
      <c r="AH6" s="105" t="n">
        <f aca="false">YEAR(AH4)</f>
        <v>2028</v>
      </c>
      <c r="AI6" s="105" t="n">
        <f aca="false">YEAR(AI4)</f>
        <v>2028</v>
      </c>
      <c r="AJ6" s="105" t="n">
        <f aca="false">YEAR(AJ4)</f>
        <v>2028</v>
      </c>
      <c r="AK6" s="105" t="n">
        <f aca="false">YEAR(AK4)</f>
        <v>2028</v>
      </c>
      <c r="AL6" s="105" t="n">
        <f aca="false">YEAR(AL4)</f>
        <v>2029</v>
      </c>
      <c r="AM6" s="105" t="n">
        <f aca="false">YEAR(AM4)</f>
        <v>2029</v>
      </c>
      <c r="AN6" s="105" t="n">
        <f aca="false">YEAR(AN4)</f>
        <v>2029</v>
      </c>
      <c r="AO6" s="105" t="n">
        <f aca="false">YEAR(AO4)</f>
        <v>2029</v>
      </c>
      <c r="AP6" s="105" t="n">
        <f aca="false">YEAR(AP4)</f>
        <v>2029</v>
      </c>
      <c r="AQ6" s="105" t="n">
        <f aca="false">YEAR(AQ4)</f>
        <v>2029</v>
      </c>
      <c r="AR6" s="105" t="n">
        <f aca="false">YEAR(AR4)</f>
        <v>2029</v>
      </c>
      <c r="AS6" s="105" t="n">
        <f aca="false">YEAR(AS4)</f>
        <v>2029</v>
      </c>
      <c r="AT6" s="105" t="n">
        <f aca="false">YEAR(AT4)</f>
        <v>2029</v>
      </c>
      <c r="AU6" s="105" t="n">
        <f aca="false">YEAR(AU4)</f>
        <v>2029</v>
      </c>
      <c r="AV6" s="105" t="n">
        <f aca="false">YEAR(AV4)</f>
        <v>2029</v>
      </c>
      <c r="AW6" s="105" t="n">
        <f aca="false">YEAR(AW4)</f>
        <v>2029</v>
      </c>
      <c r="AX6" s="105" t="n">
        <f aca="false">YEAR(AX4)</f>
        <v>2030</v>
      </c>
      <c r="AY6" s="105" t="n">
        <f aca="false">YEAR(AY4)</f>
        <v>2030</v>
      </c>
      <c r="AZ6" s="105" t="n">
        <f aca="false">YEAR(AZ4)</f>
        <v>2030</v>
      </c>
      <c r="BA6" s="105" t="n">
        <f aca="false">YEAR(BA4)</f>
        <v>2030</v>
      </c>
      <c r="BB6" s="105" t="n">
        <f aca="false">YEAR(BB4)</f>
        <v>2030</v>
      </c>
      <c r="BC6" s="105" t="n">
        <f aca="false">YEAR(BC4)</f>
        <v>2030</v>
      </c>
      <c r="BD6" s="105" t="n">
        <f aca="false">YEAR(BD4)</f>
        <v>2030</v>
      </c>
      <c r="BE6" s="105" t="n">
        <f aca="false">YEAR(BE4)</f>
        <v>2030</v>
      </c>
      <c r="BF6" s="105" t="n">
        <f aca="false">YEAR(BF4)</f>
        <v>2030</v>
      </c>
      <c r="BG6" s="105" t="n">
        <f aca="false">YEAR(BG4)</f>
        <v>2030</v>
      </c>
      <c r="BH6" s="105" t="n">
        <f aca="false">YEAR(BH4)</f>
        <v>2030</v>
      </c>
      <c r="BI6" s="105" t="n">
        <f aca="false">YEAR(BI4)</f>
        <v>2030</v>
      </c>
    </row>
    <row r="7" customFormat="false" ht="15" hidden="false" customHeight="false" outlineLevel="0" collapsed="false">
      <c r="A7" s="106" t="s">
        <v>330</v>
      </c>
      <c r="B7" s="107" t="n">
        <f aca="false">MATCH(B6,Premissas!$C$5:$G$5,0)</f>
        <v>1</v>
      </c>
      <c r="C7" s="107" t="n">
        <f aca="false">MATCH(C6,Premissas!$C$5:$G$5,0)</f>
        <v>1</v>
      </c>
      <c r="D7" s="107" t="n">
        <f aca="false">MATCH(D6,Premissas!$C$5:$G$5,0)</f>
        <v>1</v>
      </c>
      <c r="E7" s="107" t="n">
        <f aca="false">MATCH(E6,Premissas!$C$5:$G$5,0)</f>
        <v>1</v>
      </c>
      <c r="F7" s="107" t="n">
        <f aca="false">MATCH(F6,Premissas!$C$5:$G$5,0)</f>
        <v>1</v>
      </c>
      <c r="G7" s="107" t="n">
        <f aca="false">MATCH(G6,Premissas!$C$5:$G$5,0)</f>
        <v>1</v>
      </c>
      <c r="H7" s="107" t="n">
        <f aca="false">MATCH(H6,Premissas!$C$5:$G$5,0)</f>
        <v>1</v>
      </c>
      <c r="I7" s="107" t="n">
        <f aca="false">MATCH(I6,Premissas!$C$5:$G$5,0)</f>
        <v>1</v>
      </c>
      <c r="J7" s="107" t="n">
        <f aca="false">MATCH(J6,Premissas!$C$5:$G$5,0)</f>
        <v>1</v>
      </c>
      <c r="K7" s="107" t="n">
        <f aca="false">MATCH(K6,Premissas!$C$5:$G$5,0)</f>
        <v>1</v>
      </c>
      <c r="L7" s="107" t="n">
        <f aca="false">MATCH(L6,Premissas!$C$5:$G$5,0)</f>
        <v>1</v>
      </c>
      <c r="M7" s="107" t="n">
        <f aca="false">MATCH(M6,Premissas!$C$5:$G$5,0)</f>
        <v>1</v>
      </c>
      <c r="N7" s="107" t="n">
        <f aca="false">MATCH(N6,Premissas!$C$5:$G$5,0)</f>
        <v>2</v>
      </c>
      <c r="O7" s="107" t="n">
        <f aca="false">MATCH(O6,Premissas!$C$5:$G$5,0)</f>
        <v>2</v>
      </c>
      <c r="P7" s="107" t="n">
        <f aca="false">MATCH(P6,Premissas!$C$5:$G$5,0)</f>
        <v>2</v>
      </c>
      <c r="Q7" s="107" t="n">
        <f aca="false">MATCH(Q6,Premissas!$C$5:$G$5,0)</f>
        <v>2</v>
      </c>
      <c r="R7" s="107" t="n">
        <f aca="false">MATCH(R6,Premissas!$C$5:$G$5,0)</f>
        <v>2</v>
      </c>
      <c r="S7" s="107" t="n">
        <f aca="false">MATCH(S6,Premissas!$C$5:$G$5,0)</f>
        <v>2</v>
      </c>
      <c r="T7" s="107" t="n">
        <f aca="false">MATCH(T6,Premissas!$C$5:$G$5,0)</f>
        <v>2</v>
      </c>
      <c r="U7" s="107" t="n">
        <f aca="false">MATCH(U6,Premissas!$C$5:$G$5,0)</f>
        <v>2</v>
      </c>
      <c r="V7" s="107" t="n">
        <f aca="false">MATCH(V6,Premissas!$C$5:$G$5,0)</f>
        <v>2</v>
      </c>
      <c r="W7" s="107" t="n">
        <f aca="false">MATCH(W6,Premissas!$C$5:$G$5,0)</f>
        <v>2</v>
      </c>
      <c r="X7" s="107" t="n">
        <f aca="false">MATCH(X6,Premissas!$C$5:$G$5,0)</f>
        <v>2</v>
      </c>
      <c r="Y7" s="107" t="n">
        <f aca="false">MATCH(Y6,Premissas!$C$5:$G$5,0)</f>
        <v>2</v>
      </c>
      <c r="Z7" s="107" t="n">
        <f aca="false">MATCH(Z6,Premissas!$C$5:$G$5,0)</f>
        <v>3</v>
      </c>
      <c r="AA7" s="107" t="n">
        <f aca="false">MATCH(AA6,Premissas!$C$5:$G$5,0)</f>
        <v>3</v>
      </c>
      <c r="AB7" s="107" t="n">
        <f aca="false">MATCH(AB6,Premissas!$C$5:$G$5,0)</f>
        <v>3</v>
      </c>
      <c r="AC7" s="107" t="n">
        <f aca="false">MATCH(AC6,Premissas!$C$5:$G$5,0)</f>
        <v>3</v>
      </c>
      <c r="AD7" s="107" t="n">
        <f aca="false">MATCH(AD6,Premissas!$C$5:$G$5,0)</f>
        <v>3</v>
      </c>
      <c r="AE7" s="107" t="n">
        <f aca="false">MATCH(AE6,Premissas!$C$5:$G$5,0)</f>
        <v>3</v>
      </c>
      <c r="AF7" s="107" t="n">
        <f aca="false">MATCH(AF6,Premissas!$C$5:$G$5,0)</f>
        <v>3</v>
      </c>
      <c r="AG7" s="107" t="n">
        <f aca="false">MATCH(AG6,Premissas!$C$5:$G$5,0)</f>
        <v>3</v>
      </c>
      <c r="AH7" s="107" t="n">
        <f aca="false">MATCH(AH6,Premissas!$C$5:$G$5,0)</f>
        <v>3</v>
      </c>
      <c r="AI7" s="107" t="n">
        <f aca="false">MATCH(AI6,Premissas!$C$5:$G$5,0)</f>
        <v>3</v>
      </c>
      <c r="AJ7" s="107" t="n">
        <f aca="false">MATCH(AJ6,Premissas!$C$5:$G$5,0)</f>
        <v>3</v>
      </c>
      <c r="AK7" s="107" t="n">
        <f aca="false">MATCH(AK6,Premissas!$C$5:$G$5,0)</f>
        <v>3</v>
      </c>
      <c r="AL7" s="107" t="n">
        <f aca="false">MATCH(AL6,Premissas!$C$5:$G$5,0)</f>
        <v>4</v>
      </c>
      <c r="AM7" s="107" t="n">
        <f aca="false">MATCH(AM6,Premissas!$C$5:$G$5,0)</f>
        <v>4</v>
      </c>
      <c r="AN7" s="107" t="n">
        <f aca="false">MATCH(AN6,Premissas!$C$5:$G$5,0)</f>
        <v>4</v>
      </c>
      <c r="AO7" s="107" t="n">
        <f aca="false">MATCH(AO6,Premissas!$C$5:$G$5,0)</f>
        <v>4</v>
      </c>
      <c r="AP7" s="107" t="n">
        <f aca="false">MATCH(AP6,Premissas!$C$5:$G$5,0)</f>
        <v>4</v>
      </c>
      <c r="AQ7" s="107" t="n">
        <f aca="false">MATCH(AQ6,Premissas!$C$5:$G$5,0)</f>
        <v>4</v>
      </c>
      <c r="AR7" s="107" t="n">
        <f aca="false">MATCH(AR6,Premissas!$C$5:$G$5,0)</f>
        <v>4</v>
      </c>
      <c r="AS7" s="107" t="n">
        <f aca="false">MATCH(AS6,Premissas!$C$5:$G$5,0)</f>
        <v>4</v>
      </c>
      <c r="AT7" s="107" t="n">
        <f aca="false">MATCH(AT6,Premissas!$C$5:$G$5,0)</f>
        <v>4</v>
      </c>
      <c r="AU7" s="107" t="n">
        <f aca="false">MATCH(AU6,Premissas!$C$5:$G$5,0)</f>
        <v>4</v>
      </c>
      <c r="AV7" s="107" t="n">
        <f aca="false">MATCH(AV6,Premissas!$C$5:$G$5,0)</f>
        <v>4</v>
      </c>
      <c r="AW7" s="107" t="n">
        <f aca="false">MATCH(AW6,Premissas!$C$5:$G$5,0)</f>
        <v>4</v>
      </c>
      <c r="AX7" s="107" t="n">
        <f aca="false">MATCH(AX6,Premissas!$C$5:$G$5,0)</f>
        <v>5</v>
      </c>
      <c r="AY7" s="107" t="n">
        <f aca="false">MATCH(AY6,Premissas!$C$5:$G$5,0)</f>
        <v>5</v>
      </c>
      <c r="AZ7" s="107" t="n">
        <f aca="false">MATCH(AZ6,Premissas!$C$5:$G$5,0)</f>
        <v>5</v>
      </c>
      <c r="BA7" s="107" t="n">
        <f aca="false">MATCH(BA6,Premissas!$C$5:$G$5,0)</f>
        <v>5</v>
      </c>
      <c r="BB7" s="107" t="n">
        <f aca="false">MATCH(BB6,Premissas!$C$5:$G$5,0)</f>
        <v>5</v>
      </c>
      <c r="BC7" s="107" t="n">
        <f aca="false">MATCH(BC6,Premissas!$C$5:$G$5,0)</f>
        <v>5</v>
      </c>
      <c r="BD7" s="107" t="n">
        <f aca="false">MATCH(BD6,Premissas!$C$5:$G$5,0)</f>
        <v>5</v>
      </c>
      <c r="BE7" s="107" t="n">
        <f aca="false">MATCH(BE6,Premissas!$C$5:$G$5,0)</f>
        <v>5</v>
      </c>
      <c r="BF7" s="107" t="n">
        <f aca="false">MATCH(BF6,Premissas!$C$5:$G$5,0)</f>
        <v>5</v>
      </c>
      <c r="BG7" s="107" t="n">
        <f aca="false">MATCH(BG6,Premissas!$C$5:$G$5,0)</f>
        <v>5</v>
      </c>
      <c r="BH7" s="107" t="n">
        <f aca="false">MATCH(BH6,Premissas!$C$5:$G$5,0)</f>
        <v>5</v>
      </c>
      <c r="BI7" s="107" t="n">
        <f aca="false">MATCH(BI6,Premissas!$C$5:$G$5,0)</f>
        <v>5</v>
      </c>
    </row>
    <row r="8" customFormat="false" ht="18" hidden="false" customHeight="true" outlineLevel="0" collapsed="false">
      <c r="A8" s="25" t="s">
        <v>415</v>
      </c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</row>
    <row r="9" customFormat="false" ht="15" hidden="false" customHeight="false" outlineLevel="0" collapsed="false">
      <c r="A9" s="112" t="s">
        <v>416</v>
      </c>
      <c r="B9" s="113" t="n">
        <f aca="false">CHOOSE(Premissas!$B$6,Cenários!B19,Cenários!B65,Cenários!B111)</f>
        <v>0</v>
      </c>
      <c r="C9" s="113" t="n">
        <f aca="false">CHOOSE(Premissas!$B$6,Cenários!C19,Cenários!C65,Cenários!C111)</f>
        <v>0</v>
      </c>
      <c r="D9" s="113" t="n">
        <f aca="false">CHOOSE(Premissas!$B$6,Cenários!D19,Cenários!D65,Cenários!D111)</f>
        <v>0</v>
      </c>
      <c r="E9" s="113" t="n">
        <f aca="false">CHOOSE(Premissas!$B$6,Cenários!E19,Cenários!E65,Cenários!E111)</f>
        <v>0</v>
      </c>
      <c r="F9" s="113" t="n">
        <f aca="false">CHOOSE(Premissas!$B$6,Cenários!F19,Cenários!F65,Cenários!F111)</f>
        <v>0</v>
      </c>
      <c r="G9" s="113" t="n">
        <f aca="false">CHOOSE(Premissas!$B$6,Cenários!G19,Cenários!G65,Cenários!G111)</f>
        <v>0</v>
      </c>
      <c r="H9" s="113" t="n">
        <f aca="false">CHOOSE(Premissas!$B$6,Cenários!H19,Cenários!H65,Cenários!H111)</f>
        <v>0</v>
      </c>
      <c r="I9" s="113" t="n">
        <f aca="false">CHOOSE(Premissas!$B$6,Cenários!I19,Cenários!I65,Cenários!I111)</f>
        <v>0</v>
      </c>
      <c r="J9" s="113" t="n">
        <f aca="false">CHOOSE(Premissas!$B$6,Cenários!J19,Cenários!J65,Cenários!J111)</f>
        <v>0</v>
      </c>
      <c r="K9" s="113" t="n">
        <f aca="false">CHOOSE(Premissas!$B$6,Cenários!K19,Cenários!K65,Cenários!K111)</f>
        <v>2248.7</v>
      </c>
      <c r="L9" s="113" t="n">
        <f aca="false">CHOOSE(Premissas!$B$6,Cenários!L19,Cenários!L65,Cenários!L111)</f>
        <v>8636.6</v>
      </c>
      <c r="M9" s="113" t="n">
        <f aca="false">CHOOSE(Premissas!$B$6,Cenários!M19,Cenários!M65,Cenários!M111)</f>
        <v>18686.1</v>
      </c>
      <c r="N9" s="113" t="n">
        <f aca="false">CHOOSE(Premissas!$B$6,Cenários!N19,Cenários!N65,Cenários!N111)</f>
        <v>39594.632</v>
      </c>
      <c r="O9" s="113" t="n">
        <f aca="false">CHOOSE(Premissas!$B$6,Cenários!O19,Cenários!O65,Cenários!O111)</f>
        <v>64070.9355</v>
      </c>
      <c r="P9" s="113" t="n">
        <f aca="false">CHOOSE(Premissas!$B$6,Cenários!P19,Cenários!P65,Cenários!P111)</f>
        <v>93039.067</v>
      </c>
      <c r="Q9" s="113" t="n">
        <f aca="false">CHOOSE(Premissas!$B$6,Cenários!Q19,Cenários!Q65,Cenários!Q111)</f>
        <v>107991.0315</v>
      </c>
      <c r="R9" s="113" t="n">
        <f aca="false">CHOOSE(Premissas!$B$6,Cenários!R19,Cenários!R65,Cenários!R111)</f>
        <v>121840.8345</v>
      </c>
      <c r="S9" s="113" t="n">
        <f aca="false">CHOOSE(Premissas!$B$6,Cenários!S19,Cenários!S65,Cenários!S111)</f>
        <v>134630.067</v>
      </c>
      <c r="T9" s="113" t="n">
        <f aca="false">CHOOSE(Premissas!$B$6,Cenários!T19,Cenários!T65,Cenários!T111)</f>
        <v>146441.911</v>
      </c>
      <c r="U9" s="113" t="n">
        <f aca="false">CHOOSE(Premissas!$B$6,Cenários!U19,Cenários!U65,Cenários!U111)</f>
        <v>157401.1395</v>
      </c>
      <c r="V9" s="113" t="n">
        <f aca="false">CHOOSE(Premissas!$B$6,Cenários!V19,Cenários!V65,Cenários!V111)</f>
        <v>167507.7525</v>
      </c>
      <c r="W9" s="113" t="n">
        <f aca="false">CHOOSE(Premissas!$B$6,Cenários!W19,Cenários!W65,Cenários!W111)</f>
        <v>176865.7275</v>
      </c>
      <c r="X9" s="113" t="n">
        <f aca="false">CHOOSE(Premissas!$B$6,Cenários!X19,Cenários!X65,Cenários!X111)</f>
        <v>185516.6555</v>
      </c>
      <c r="Y9" s="113" t="n">
        <f aca="false">CHOOSE(Premissas!$B$6,Cenários!Y19,Cenários!Y65,Cenários!Y111)</f>
        <v>193502.1275</v>
      </c>
      <c r="Z9" s="113" t="n">
        <f aca="false">CHOOSE(Premissas!$B$6,Cenários!Z19,Cenários!Z65,Cenários!Z111)</f>
        <v>226787.82071</v>
      </c>
      <c r="AA9" s="113" t="n">
        <f aca="false">CHOOSE(Premissas!$B$6,Cenários!AA19,Cenários!AA65,Cenários!AA111)</f>
        <v>245846.1686175</v>
      </c>
      <c r="AB9" s="113" t="n">
        <f aca="false">CHOOSE(Premissas!$B$6,Cenários!AB19,Cenários!AB65,Cenários!AB111)</f>
        <v>263557.17608</v>
      </c>
      <c r="AC9" s="113" t="n">
        <f aca="false">CHOOSE(Premissas!$B$6,Cenários!AC19,Cenários!AC65,Cenários!AC111)</f>
        <v>280029.499585</v>
      </c>
      <c r="AD9" s="113" t="n">
        <f aca="false">CHOOSE(Premissas!$B$6,Cenários!AD19,Cenários!AD65,Cenários!AD111)</f>
        <v>295328.333025</v>
      </c>
      <c r="AE9" s="113" t="n">
        <f aca="false">CHOOSE(Premissas!$B$6,Cenários!AE19,Cenários!AE65,Cenários!AE111)</f>
        <v>309562.3328875</v>
      </c>
      <c r="AF9" s="113" t="n">
        <f aca="false">CHOOSE(Premissas!$B$6,Cenários!AF19,Cenários!AF65,Cenários!AF111)</f>
        <v>322774.9617675</v>
      </c>
      <c r="AG9" s="113" t="n">
        <f aca="false">CHOOSE(Premissas!$B$6,Cenários!AG19,Cenários!AG65,Cenários!AG111)</f>
        <v>335053.144855</v>
      </c>
      <c r="AH9" s="113" t="n">
        <f aca="false">CHOOSE(Premissas!$B$6,Cenários!AH19,Cenários!AH65,Cenários!AH111)</f>
        <v>346462.0760425</v>
      </c>
      <c r="AI9" s="113" t="n">
        <f aca="false">CHOOSE(Premissas!$B$6,Cenários!AI19,Cenários!AI65,Cenários!AI111)</f>
        <v>357088.68052</v>
      </c>
      <c r="AJ9" s="113" t="n">
        <f aca="false">CHOOSE(Premissas!$B$6,Cenários!AJ19,Cenários!AJ65,Cenários!AJ111)</f>
        <v>366932.9582875</v>
      </c>
      <c r="AK9" s="113" t="n">
        <f aca="false">CHOOSE(Premissas!$B$6,Cenários!AK19,Cenários!AK65,Cenários!AK111)</f>
        <v>376081.834535</v>
      </c>
      <c r="AL9" s="113" t="n">
        <f aca="false">CHOOSE(Premissas!$B$6,Cenários!AL19,Cenários!AL65,Cenários!AL111)</f>
        <v>428863.353185437</v>
      </c>
      <c r="AM9" s="113" t="n">
        <f aca="false">CHOOSE(Premissas!$B$6,Cenários!AM19,Cenários!AM65,Cenários!AM111)</f>
        <v>456296.073897537</v>
      </c>
      <c r="AN9" s="113" t="n">
        <f aca="false">CHOOSE(Premissas!$B$6,Cenários!AN19,Cenários!AN65,Cenários!AN111)</f>
        <v>481889.34893275</v>
      </c>
      <c r="AO9" s="113" t="n">
        <f aca="false">CHOOSE(Premissas!$B$6,Cenários!AO19,Cenários!AO65,Cenários!AO111)</f>
        <v>505802.142732287</v>
      </c>
      <c r="AP9" s="113" t="n">
        <f aca="false">CHOOSE(Premissas!$B$6,Cenários!AP19,Cenários!AP65,Cenários!AP111)</f>
        <v>528102.582913812</v>
      </c>
      <c r="AQ9" s="113" t="n">
        <f aca="false">CHOOSE(Premissas!$B$6,Cenários!AQ19,Cenários!AQ65,Cenários!AQ111)</f>
        <v>548926.92471265</v>
      </c>
      <c r="AR9" s="113" t="n">
        <f aca="false">CHOOSE(Premissas!$B$6,Cenários!AR19,Cenários!AR65,Cenários!AR111)</f>
        <v>568366.00495235</v>
      </c>
      <c r="AS9" s="113" t="n">
        <f aca="false">CHOOSE(Premissas!$B$6,Cenários!AS19,Cenários!AS65,Cenários!AS111)</f>
        <v>586533.36966235</v>
      </c>
      <c r="AT9" s="113" t="n">
        <f aca="false">CHOOSE(Premissas!$B$6,Cenários!AT19,Cenários!AT65,Cenários!AT111)</f>
        <v>603474.437254425</v>
      </c>
      <c r="AU9" s="113" t="n">
        <f aca="false">CHOOSE(Premissas!$B$6,Cenários!AU19,Cenários!AU65,Cenários!AU111)</f>
        <v>619302.753758012</v>
      </c>
      <c r="AV9" s="113" t="n">
        <f aca="false">CHOOSE(Premissas!$B$6,Cenários!AV19,Cenários!AV65,Cenários!AV111)</f>
        <v>634063.737584887</v>
      </c>
      <c r="AW9" s="113" t="n">
        <f aca="false">CHOOSE(Premissas!$B$6,Cenários!AW19,Cenários!AW65,Cenários!AW111)</f>
        <v>647870.934764487</v>
      </c>
      <c r="AX9" s="113" t="n">
        <f aca="false">CHOOSE(Premissas!$B$6,Cenários!AX19,Cenários!AX65,Cenários!AX111)</f>
        <v>731416.854218276</v>
      </c>
      <c r="AY9" s="113" t="n">
        <f aca="false">CHOOSE(Premissas!$B$6,Cenários!AY19,Cenários!AY65,Cenários!AY111)</f>
        <v>774488.83729495</v>
      </c>
      <c r="AZ9" s="113" t="n">
        <f aca="false">CHOOSE(Premissas!$B$6,Cenários!AZ19,Cenários!AZ65,Cenários!AZ111)</f>
        <v>814855.472674246</v>
      </c>
      <c r="BA9" s="113" t="n">
        <f aca="false">CHOOSE(Premissas!$B$6,Cenários!BA19,Cenários!BA65,Cenários!BA111)</f>
        <v>852706.609317384</v>
      </c>
      <c r="BB9" s="113" t="n">
        <f aca="false">CHOOSE(Premissas!$B$6,Cenários!BB19,Cenários!BB65,Cenários!BB111)</f>
        <v>888208.365065431</v>
      </c>
      <c r="BC9" s="113" t="n">
        <f aca="false">CHOOSE(Premissas!$B$6,Cenários!BC19,Cenários!BC65,Cenários!BC111)</f>
        <v>921479.395519148</v>
      </c>
      <c r="BD9" s="113" t="n">
        <f aca="false">CHOOSE(Premissas!$B$6,Cenários!BD19,Cenários!BD65,Cenários!BD111)</f>
        <v>952685.818519603</v>
      </c>
      <c r="BE9" s="113" t="n">
        <f aca="false">CHOOSE(Premissas!$B$6,Cenários!BE19,Cenários!BE65,Cenários!BE111)</f>
        <v>981922.558547406</v>
      </c>
      <c r="BF9" s="113" t="n">
        <f aca="false">CHOOSE(Premissas!$B$6,Cenários!BF19,Cenários!BF65,Cenários!BF111)</f>
        <v>1009355.73344362</v>
      </c>
      <c r="BG9" s="113" t="n">
        <f aca="false">CHOOSE(Premissas!$B$6,Cenários!BG19,Cenários!BG65,Cenários!BG111)</f>
        <v>1035056.53656871</v>
      </c>
      <c r="BH9" s="113" t="n">
        <f aca="false">CHOOSE(Premissas!$B$6,Cenários!BH19,Cenários!BH65,Cenários!BH111)</f>
        <v>1059167.35464359</v>
      </c>
      <c r="BI9" s="113" t="n">
        <f aca="false">CHOOSE(Premissas!$B$6,Cenários!BI19,Cenários!BI65,Cenários!BI111)</f>
        <v>1081759.38102871</v>
      </c>
      <c r="BJ9" s="111" t="n">
        <f aca="false">SUM(B9:BI9)</f>
        <v>23056072.8491046</v>
      </c>
    </row>
    <row r="10" customFormat="false" ht="15" hidden="false" customHeight="false" outlineLevel="0" collapsed="false">
      <c r="A10" s="112" t="s">
        <v>417</v>
      </c>
      <c r="B10" s="113" t="n">
        <f aca="false">CHOOSE(Premissas!$B$6,Cenários!B20,Cenários!B66,Cenários!B112)</f>
        <v>0</v>
      </c>
      <c r="C10" s="113" t="n">
        <f aca="false">CHOOSE(Premissas!$B$6,Cenários!C20,Cenários!C66,Cenários!C112)</f>
        <v>0</v>
      </c>
      <c r="D10" s="113" t="n">
        <f aca="false">CHOOSE(Premissas!$B$6,Cenários!D20,Cenários!D66,Cenários!D112)</f>
        <v>0</v>
      </c>
      <c r="E10" s="113" t="n">
        <f aca="false">CHOOSE(Premissas!$B$6,Cenários!E20,Cenários!E66,Cenários!E112)</f>
        <v>0</v>
      </c>
      <c r="F10" s="113" t="n">
        <f aca="false">CHOOSE(Premissas!$B$6,Cenários!F20,Cenários!F66,Cenários!F112)</f>
        <v>0</v>
      </c>
      <c r="G10" s="113" t="n">
        <f aca="false">CHOOSE(Premissas!$B$6,Cenários!G20,Cenários!G66,Cenários!G112)</f>
        <v>0</v>
      </c>
      <c r="H10" s="113" t="n">
        <f aca="false">CHOOSE(Premissas!$B$6,Cenários!H20,Cenários!H66,Cenários!H112)</f>
        <v>0</v>
      </c>
      <c r="I10" s="113" t="n">
        <f aca="false">CHOOSE(Premissas!$B$6,Cenários!I20,Cenários!I66,Cenários!I112)</f>
        <v>0</v>
      </c>
      <c r="J10" s="113" t="n">
        <f aca="false">CHOOSE(Premissas!$B$6,Cenários!J20,Cenários!J66,Cenários!J112)</f>
        <v>0</v>
      </c>
      <c r="K10" s="113" t="n">
        <f aca="false">CHOOSE(Premissas!$B$6,Cenários!K20,Cenários!K66,Cenários!K112)</f>
        <v>1197</v>
      </c>
      <c r="L10" s="113" t="n">
        <f aca="false">CHOOSE(Premissas!$B$6,Cenários!L20,Cenários!L66,Cenários!L112)</f>
        <v>4628.4</v>
      </c>
      <c r="M10" s="113" t="n">
        <f aca="false">CHOOSE(Premissas!$B$6,Cenários!M20,Cenários!M66,Cenários!M112)</f>
        <v>9975</v>
      </c>
      <c r="N10" s="113" t="n">
        <f aca="false">CHOOSE(Premissas!$B$6,Cenários!N20,Cenários!N66,Cenários!N112)</f>
        <v>24266.781</v>
      </c>
      <c r="O10" s="113" t="n">
        <f aca="false">CHOOSE(Premissas!$B$6,Cenários!O20,Cenários!O66,Cenários!O112)</f>
        <v>39235.4655</v>
      </c>
      <c r="P10" s="113" t="n">
        <f aca="false">CHOOSE(Premissas!$B$6,Cenários!P20,Cenários!P66,Cenários!P112)</f>
        <v>56997.7485</v>
      </c>
      <c r="Q10" s="113" t="n">
        <f aca="false">CHOOSE(Premissas!$B$6,Cenários!Q20,Cenários!Q66,Cenários!Q112)</f>
        <v>66170.7585</v>
      </c>
      <c r="R10" s="113" t="n">
        <f aca="false">CHOOSE(Premissas!$B$6,Cenários!R20,Cenários!R66,Cenários!R112)</f>
        <v>74634.945</v>
      </c>
      <c r="S10" s="113" t="n">
        <f aca="false">CHOOSE(Premissas!$B$6,Cenários!S20,Cenários!S66,Cenários!S112)</f>
        <v>82473.699</v>
      </c>
      <c r="T10" s="113" t="n">
        <f aca="false">CHOOSE(Premissas!$B$6,Cenários!T20,Cenários!T66,Cenários!T112)</f>
        <v>89728.716</v>
      </c>
      <c r="U10" s="113" t="n">
        <f aca="false">CHOOSE(Premissas!$B$6,Cenários!U20,Cenários!U66,Cenários!U112)</f>
        <v>96441.6915</v>
      </c>
      <c r="V10" s="113" t="n">
        <f aca="false">CHOOSE(Premissas!$B$6,Cenários!V20,Cenários!V66,Cenários!V112)</f>
        <v>102612.6255</v>
      </c>
      <c r="W10" s="113" t="n">
        <f aca="false">CHOOSE(Premissas!$B$6,Cenários!W20,Cenários!W66,Cenários!W112)</f>
        <v>108366.6045</v>
      </c>
      <c r="X10" s="113" t="n">
        <f aca="false">CHOOSE(Premissas!$B$6,Cenários!X20,Cenários!X66,Cenários!X112)</f>
        <v>113661.933</v>
      </c>
      <c r="Y10" s="113" t="n">
        <f aca="false">CHOOSE(Premissas!$B$6,Cenários!Y20,Cenários!Y66,Cenários!Y112)</f>
        <v>118540.3065</v>
      </c>
      <c r="Z10" s="113" t="n">
        <f aca="false">CHOOSE(Premissas!$B$6,Cenários!Z20,Cenários!Z66,Cenários!Z112)</f>
        <v>160474.9301925</v>
      </c>
      <c r="AA10" s="113" t="n">
        <f aca="false">CHOOSE(Premissas!$B$6,Cenários!AA20,Cenários!AA66,Cenários!AA112)</f>
        <v>173982.1874175</v>
      </c>
      <c r="AB10" s="113" t="n">
        <f aca="false">CHOOSE(Premissas!$B$6,Cenários!AB20,Cenários!AB66,Cenários!AB112)</f>
        <v>186530.8650975</v>
      </c>
      <c r="AC10" s="113" t="n">
        <f aca="false">CHOOSE(Premissas!$B$6,Cenários!AC20,Cenários!AC66,Cenários!AC112)</f>
        <v>198164.53503</v>
      </c>
      <c r="AD10" s="113" t="n">
        <f aca="false">CHOOSE(Premissas!$B$6,Cenários!AD20,Cenários!AD66,Cenários!AD112)</f>
        <v>209013.9126075</v>
      </c>
      <c r="AE10" s="113" t="n">
        <f aca="false">CHOOSE(Premissas!$B$6,Cenários!AE20,Cenários!AE66,Cenários!AE112)</f>
        <v>219078.99783</v>
      </c>
      <c r="AF10" s="113" t="n">
        <f aca="false">CHOOSE(Premissas!$B$6,Cenários!AF20,Cenários!AF66,Cenários!AF112)</f>
        <v>228403.362495</v>
      </c>
      <c r="AG10" s="113" t="n">
        <f aca="false">CHOOSE(Premissas!$B$6,Cenários!AG20,Cenários!AG66,Cenários!AG112)</f>
        <v>237117.721995</v>
      </c>
      <c r="AH10" s="113" t="n">
        <f aca="false">CHOOSE(Premissas!$B$6,Cenários!AH20,Cenários!AH66,Cenários!AH112)</f>
        <v>245178.5045325</v>
      </c>
      <c r="AI10" s="113" t="n">
        <f aca="false">CHOOSE(Premissas!$B$6,Cenários!AI20,Cenários!AI66,Cenários!AI112)</f>
        <v>252672.8537025</v>
      </c>
      <c r="AJ10" s="113" t="n">
        <f aca="false">CHOOSE(Premissas!$B$6,Cenários!AJ20,Cenários!AJ66,Cenários!AJ112)</f>
        <v>259644.3413025</v>
      </c>
      <c r="AK10" s="113" t="n">
        <f aca="false">CHOOSE(Premissas!$B$6,Cenários!AK20,Cenários!AK66,Cenários!AK112)</f>
        <v>266136.53913</v>
      </c>
      <c r="AL10" s="113" t="n">
        <f aca="false">CHOOSE(Premissas!$B$6,Cenários!AL20,Cenários!AL66,Cenários!AL112)</f>
        <v>349325.5577889</v>
      </c>
      <c r="AM10" s="113" t="n">
        <f aca="false">CHOOSE(Premissas!$B$6,Cenários!AM20,Cenários!AM66,Cenários!AM112)</f>
        <v>371682.029227163</v>
      </c>
      <c r="AN10" s="113" t="n">
        <f aca="false">CHOOSE(Premissas!$B$6,Cenários!AN20,Cenários!AN66,Cenários!AN112)</f>
        <v>392535.927228637</v>
      </c>
      <c r="AO10" s="113" t="n">
        <f aca="false">CHOOSE(Premissas!$B$6,Cenários!AO20,Cenários!AO66,Cenários!AO112)</f>
        <v>411978.3168501</v>
      </c>
      <c r="AP10" s="113" t="n">
        <f aca="false">CHOOSE(Premissas!$B$6,Cenários!AP20,Cenários!AP66,Cenários!AP112)</f>
        <v>430145.795676712</v>
      </c>
      <c r="AQ10" s="113" t="n">
        <f aca="false">CHOOSE(Premissas!$B$6,Cenários!AQ20,Cenários!AQ66,Cenários!AQ112)</f>
        <v>447129.42876525</v>
      </c>
      <c r="AR10" s="113" t="n">
        <f aca="false">CHOOSE(Premissas!$B$6,Cenários!AR20,Cenários!AR66,Cenários!AR112)</f>
        <v>462974.7486441</v>
      </c>
      <c r="AS10" s="113" t="n">
        <f aca="false">CHOOSE(Premissas!$B$6,Cenários!AS20,Cenários!AS66,Cenários!AS112)</f>
        <v>477772.820370037</v>
      </c>
      <c r="AT10" s="113" t="n">
        <f aca="false">CHOOSE(Premissas!$B$6,Cenários!AT20,Cenários!AT66,Cenários!AT112)</f>
        <v>491569.17647145</v>
      </c>
      <c r="AU10" s="113" t="n">
        <f aca="false">CHOOSE(Premissas!$B$6,Cenários!AU20,Cenários!AU66,Cenários!AU112)</f>
        <v>504454.882005112</v>
      </c>
      <c r="AV10" s="113" t="n">
        <f aca="false">CHOOSE(Premissas!$B$6,Cenários!AV20,Cenários!AV66,Cenários!AV112)</f>
        <v>516475.469499412</v>
      </c>
      <c r="AW10" s="113" t="n">
        <f aca="false">CHOOSE(Premissas!$B$6,Cenários!AW20,Cenários!AW66,Cenários!AW112)</f>
        <v>527722.004011125</v>
      </c>
      <c r="AX10" s="113" t="n">
        <f aca="false">CHOOSE(Premissas!$B$6,Cenários!AX20,Cenários!AX66,Cenários!AX112)</f>
        <v>684364.601808296</v>
      </c>
      <c r="AY10" s="113" t="n">
        <f aca="false">CHOOSE(Premissas!$B$6,Cenários!AY20,Cenários!AY66,Cenários!AY112)</f>
        <v>724666.125671998</v>
      </c>
      <c r="AZ10" s="113" t="n">
        <f aca="false">CHOOSE(Premissas!$B$6,Cenários!AZ20,Cenários!AZ66,Cenários!AZ112)</f>
        <v>762445.830450958</v>
      </c>
      <c r="BA10" s="113" t="n">
        <f aca="false">CHOOSE(Premissas!$B$6,Cenários!BA20,Cenários!BA66,Cenários!BA112)</f>
        <v>797846.460621672</v>
      </c>
      <c r="BB10" s="113" t="n">
        <f aca="false">CHOOSE(Premissas!$B$6,Cenários!BB20,Cenários!BB66,Cenários!BB112)</f>
        <v>831058.342152798</v>
      </c>
      <c r="BC10" s="113" t="n">
        <f aca="false">CHOOSE(Premissas!$B$6,Cenários!BC20,Cenários!BC66,Cenários!BC112)</f>
        <v>862224.219520832</v>
      </c>
      <c r="BD10" s="113" t="n">
        <f aca="false">CHOOSE(Premissas!$B$6,Cenários!BD20,Cenários!BD66,Cenários!BD112)</f>
        <v>891391.674217939</v>
      </c>
      <c r="BE10" s="113" t="n">
        <f aca="false">CHOOSE(Premissas!$B$6,Cenários!BE20,Cenários!BE66,Cenários!BE112)</f>
        <v>918751.032212778</v>
      </c>
      <c r="BF10" s="113" t="n">
        <f aca="false">CHOOSE(Premissas!$B$6,Cenários!BF20,Cenários!BF66,Cenários!BF112)</f>
        <v>944445.037981844</v>
      </c>
      <c r="BG10" s="113" t="n">
        <f aca="false">CHOOSE(Premissas!$B$6,Cenários!BG20,Cenários!BG66,Cenários!BG112)</f>
        <v>968473.691525138</v>
      </c>
      <c r="BH10" s="113" t="n">
        <f aca="false">CHOOSE(Premissas!$B$6,Cenários!BH20,Cenários!BH66,Cenários!BH112)</f>
        <v>991027.318811318</v>
      </c>
      <c r="BI10" s="113" t="n">
        <f aca="false">CHOOSE(Premissas!$B$6,Cenários!BI20,Cenários!BI66,Cenários!BI112)</f>
        <v>1012153.50133255</v>
      </c>
      <c r="BJ10" s="111" t="n">
        <f aca="false">SUM(B10:BI10)</f>
        <v>19397944.4186786</v>
      </c>
    </row>
    <row r="11" customFormat="false" ht="15" hidden="false" customHeight="false" outlineLevel="0" collapsed="false">
      <c r="A11" s="112" t="s">
        <v>418</v>
      </c>
      <c r="B11" s="113" t="n">
        <f aca="false">CHOOSE(Premissas!$B$6,Cenários!B21,Cenários!B67,Cenários!B113)</f>
        <v>0</v>
      </c>
      <c r="C11" s="113" t="n">
        <f aca="false">CHOOSE(Premissas!$B$6,Cenários!C21,Cenários!C67,Cenários!C113)</f>
        <v>0</v>
      </c>
      <c r="D11" s="113" t="n">
        <f aca="false">CHOOSE(Premissas!$B$6,Cenários!D21,Cenários!D67,Cenários!D113)</f>
        <v>0</v>
      </c>
      <c r="E11" s="113" t="n">
        <f aca="false">CHOOSE(Premissas!$B$6,Cenários!E21,Cenários!E67,Cenários!E113)</f>
        <v>0</v>
      </c>
      <c r="F11" s="113" t="n">
        <f aca="false">CHOOSE(Premissas!$B$6,Cenários!F21,Cenários!F67,Cenários!F113)</f>
        <v>0</v>
      </c>
      <c r="G11" s="113" t="n">
        <f aca="false">CHOOSE(Premissas!$B$6,Cenários!G21,Cenários!G67,Cenários!G113)</f>
        <v>0</v>
      </c>
      <c r="H11" s="113" t="n">
        <f aca="false">CHOOSE(Premissas!$B$6,Cenários!H21,Cenários!H67,Cenários!H113)</f>
        <v>0</v>
      </c>
      <c r="I11" s="113" t="n">
        <f aca="false">CHOOSE(Premissas!$B$6,Cenários!I21,Cenários!I67,Cenários!I113)</f>
        <v>0</v>
      </c>
      <c r="J11" s="113" t="n">
        <f aca="false">CHOOSE(Premissas!$B$6,Cenários!J21,Cenários!J67,Cenários!J113)</f>
        <v>0</v>
      </c>
      <c r="K11" s="113" t="n">
        <f aca="false">CHOOSE(Premissas!$B$6,Cenários!K21,Cenários!K67,Cenários!K113)</f>
        <v>639.2</v>
      </c>
      <c r="L11" s="113" t="n">
        <f aca="false">CHOOSE(Premissas!$B$6,Cenários!L21,Cenários!L67,Cenários!L113)</f>
        <v>2317.1</v>
      </c>
      <c r="M11" s="113" t="n">
        <f aca="false">CHOOSE(Premissas!$B$6,Cenários!M21,Cenários!M67,Cenários!M113)</f>
        <v>5033.7</v>
      </c>
      <c r="N11" s="113" t="n">
        <f aca="false">CHOOSE(Premissas!$B$6,Cenários!N21,Cenários!N67,Cenários!N113)</f>
        <v>13192.289</v>
      </c>
      <c r="O11" s="113" t="n">
        <f aca="false">CHOOSE(Premissas!$B$6,Cenários!O21,Cenários!O67,Cenários!O113)</f>
        <v>21458.3435</v>
      </c>
      <c r="P11" s="113" t="n">
        <f aca="false">CHOOSE(Premissas!$B$6,Cenários!P21,Cenários!P67,Cenários!P113)</f>
        <v>31143.8215</v>
      </c>
      <c r="Q11" s="113" t="n">
        <f aca="false">CHOOSE(Premissas!$B$6,Cenários!Q21,Cenários!Q67,Cenários!Q113)</f>
        <v>36153.5515</v>
      </c>
      <c r="R11" s="113" t="n">
        <f aca="false">CHOOSE(Premissas!$B$6,Cenários!R21,Cenários!R67,Cenários!R113)</f>
        <v>40745.804</v>
      </c>
      <c r="S11" s="113" t="n">
        <f aca="false">CHOOSE(Premissas!$B$6,Cenários!S21,Cenários!S67,Cenários!S113)</f>
        <v>45004.0745</v>
      </c>
      <c r="T11" s="113" t="n">
        <f aca="false">CHOOSE(Premissas!$B$6,Cenários!T21,Cenários!T67,Cenários!T113)</f>
        <v>49011.8585</v>
      </c>
      <c r="U11" s="113" t="n">
        <f aca="false">CHOOSE(Premissas!$B$6,Cenários!U21,Cenários!U67,Cenários!U113)</f>
        <v>52602.165</v>
      </c>
      <c r="V11" s="113" t="n">
        <f aca="false">CHOOSE(Premissas!$B$6,Cenários!V21,Cenários!V67,Cenários!V113)</f>
        <v>56025.4805</v>
      </c>
      <c r="W11" s="113" t="n">
        <f aca="false">CHOOSE(Premissas!$B$6,Cenários!W21,Cenários!W67,Cenários!W113)</f>
        <v>59114.814</v>
      </c>
      <c r="X11" s="113" t="n">
        <f aca="false">CHOOSE(Premissas!$B$6,Cenários!X21,Cenários!X67,Cenários!X113)</f>
        <v>62037.1565</v>
      </c>
      <c r="Y11" s="113" t="n">
        <f aca="false">CHOOSE(Premissas!$B$6,Cenários!Y21,Cenários!Y67,Cenários!Y113)</f>
        <v>64792.508</v>
      </c>
      <c r="Z11" s="113" t="n">
        <f aca="false">CHOOSE(Premissas!$B$6,Cenários!Z21,Cenários!Z67,Cenários!Z113)</f>
        <v>107146.43533</v>
      </c>
      <c r="AA11" s="113" t="n">
        <f aca="false">CHOOSE(Premissas!$B$6,Cenários!AA21,Cenários!AA67,Cenários!AA113)</f>
        <v>116133.4734725</v>
      </c>
      <c r="AB11" s="113" t="n">
        <f aca="false">CHOOSE(Premissas!$B$6,Cenários!AB21,Cenários!AB67,Cenários!AB113)</f>
        <v>124509.7420325</v>
      </c>
      <c r="AC11" s="113" t="n">
        <f aca="false">CHOOSE(Premissas!$B$6,Cenários!AC21,Cenários!AC67,Cenários!AC113)</f>
        <v>132275.24101</v>
      </c>
      <c r="AD11" s="113" t="n">
        <f aca="false">CHOOSE(Premissas!$B$6,Cenários!AD21,Cenários!AD67,Cenários!AD113)</f>
        <v>139517.2232025</v>
      </c>
      <c r="AE11" s="113" t="n">
        <f aca="false">CHOOSE(Premissas!$B$6,Cenários!AE21,Cenários!AE67,Cenários!AE113)</f>
        <v>146148.4358125</v>
      </c>
      <c r="AF11" s="113" t="n">
        <f aca="false">CHOOSE(Premissas!$B$6,Cenários!AF21,Cenários!AF67,Cenários!AF113)</f>
        <v>152430.6372325</v>
      </c>
      <c r="AG11" s="113" t="n">
        <f aca="false">CHOOSE(Premissas!$B$6,Cenários!AG21,Cenários!AG67,Cenários!AG113)</f>
        <v>158189.3218675</v>
      </c>
      <c r="AH11" s="113" t="n">
        <f aca="false">CHOOSE(Premissas!$B$6,Cenários!AH21,Cenários!AH67,Cenários!AH113)</f>
        <v>163686.24811</v>
      </c>
      <c r="AI11" s="113" t="n">
        <f aca="false">CHOOSE(Premissas!$B$6,Cenários!AI21,Cenários!AI67,Cenários!AI113)</f>
        <v>168659.6575675</v>
      </c>
      <c r="AJ11" s="113" t="n">
        <f aca="false">CHOOSE(Premissas!$B$6,Cenários!AJ21,Cenários!AJ67,Cenários!AJ113)</f>
        <v>173371.3086325</v>
      </c>
      <c r="AK11" s="113" t="n">
        <f aca="false">CHOOSE(Premissas!$B$6,Cenários!AK21,Cenários!AK67,Cenários!AK113)</f>
        <v>177646.69571</v>
      </c>
      <c r="AL11" s="113" t="n">
        <f aca="false">CHOOSE(Premissas!$B$6,Cenários!AL21,Cenários!AL67,Cenários!AL113)</f>
        <v>269069.740666512</v>
      </c>
      <c r="AM11" s="113" t="n">
        <f aca="false">CHOOSE(Premissas!$B$6,Cenários!AM21,Cenários!AM67,Cenários!AM113)</f>
        <v>286211.425263363</v>
      </c>
      <c r="AN11" s="113" t="n">
        <f aca="false">CHOOSE(Premissas!$B$6,Cenários!AN21,Cenários!AN67,Cenários!AN113)</f>
        <v>302258.959779562</v>
      </c>
      <c r="AO11" s="113" t="n">
        <f aca="false">CHOOSE(Premissas!$B$6,Cenários!AO21,Cenários!AO67,Cenários!AO113)</f>
        <v>317303.5233885</v>
      </c>
      <c r="AP11" s="113" t="n">
        <f aca="false">CHOOSE(Premissas!$B$6,Cenários!AP21,Cenários!AP67,Cenários!AP113)</f>
        <v>331345.116090175</v>
      </c>
      <c r="AQ11" s="113" t="n">
        <f aca="false">CHOOSE(Premissas!$B$6,Cenários!AQ21,Cenários!AQ67,Cenários!AQ113)</f>
        <v>344383.737884588</v>
      </c>
      <c r="AR11" s="113" t="n">
        <f aca="false">CHOOSE(Premissas!$B$6,Cenários!AR21,Cenários!AR67,Cenários!AR113)</f>
        <v>356601.747118512</v>
      </c>
      <c r="AS11" s="113" t="n">
        <f aca="false">CHOOSE(Premissas!$B$6,Cenários!AS21,Cenários!AS67,Cenários!AS113)</f>
        <v>367907.964618562</v>
      </c>
      <c r="AT11" s="113" t="n">
        <f aca="false">CHOOSE(Premissas!$B$6,Cenários!AT21,Cenários!AT67,Cenários!AT113)</f>
        <v>378575.9279049</v>
      </c>
      <c r="AU11" s="113" t="n">
        <f aca="false">CHOOSE(Premissas!$B$6,Cenários!AU21,Cenários!AU67,Cenários!AU113)</f>
        <v>388514.457804137</v>
      </c>
      <c r="AV11" s="113" t="n">
        <f aca="false">CHOOSE(Premissas!$B$6,Cenários!AV21,Cenários!AV67,Cenários!AV113)</f>
        <v>397814.733489662</v>
      </c>
      <c r="AW11" s="113" t="n">
        <f aca="false">CHOOSE(Premissas!$B$6,Cenários!AW21,Cenários!AW67,Cenários!AW113)</f>
        <v>406385.575788088</v>
      </c>
      <c r="AX11" s="113" t="n">
        <f aca="false">CHOOSE(Premissas!$B$6,Cenários!AX21,Cenários!AX67,Cenários!AX113)</f>
        <v>587319.703874775</v>
      </c>
      <c r="AY11" s="113" t="n">
        <f aca="false">CHOOSE(Premissas!$B$6,Cenários!AY21,Cenários!AY67,Cenários!AY113)</f>
        <v>621907.155611722</v>
      </c>
      <c r="AZ11" s="113" t="n">
        <f aca="false">CHOOSE(Premissas!$B$6,Cenários!AZ21,Cenários!AZ67,Cenários!AZ113)</f>
        <v>654398.398152491</v>
      </c>
      <c r="BA11" s="113" t="n">
        <f aca="false">CHOOSE(Premissas!$B$6,Cenários!BA21,Cenários!BA67,Cenários!BA113)</f>
        <v>684793.431497081</v>
      </c>
      <c r="BB11" s="113" t="n">
        <f aca="false">CHOOSE(Premissas!$B$6,Cenários!BB21,Cenários!BB67,Cenários!BB113)</f>
        <v>713282.820117872</v>
      </c>
      <c r="BC11" s="113" t="n">
        <f aca="false">CHOOSE(Premissas!$B$6,Cenários!BC21,Cenários!BC67,Cenários!BC113)</f>
        <v>739961.846251054</v>
      </c>
      <c r="BD11" s="113" t="n">
        <f aca="false">CHOOSE(Premissas!$B$6,Cenários!BD21,Cenários!BD67,Cenários!BD113)</f>
        <v>765021.074369008</v>
      </c>
      <c r="BE11" s="113" t="n">
        <f aca="false">CHOOSE(Premissas!$B$6,Cenários!BE21,Cenários!BE67,Cenários!BE113)</f>
        <v>788555.786707923</v>
      </c>
      <c r="BF11" s="113" t="n">
        <f aca="false">CHOOSE(Premissas!$B$6,Cenários!BF21,Cenários!BF67,Cenários!BF113)</f>
        <v>810470.701031608</v>
      </c>
      <c r="BG11" s="113" t="n">
        <f aca="false">CHOOSE(Premissas!$B$6,Cenários!BG21,Cenários!BG67,Cenários!BG113)</f>
        <v>831146.946284825</v>
      </c>
      <c r="BH11" s="113" t="n">
        <f aca="false">CHOOSE(Premissas!$B$6,Cenários!BH21,Cenários!BH67,Cenários!BH113)</f>
        <v>850489.240231382</v>
      </c>
      <c r="BI11" s="113" t="n">
        <f aca="false">CHOOSE(Premissas!$B$6,Cenários!BI21,Cenários!BI67,Cenários!BI113)</f>
        <v>868688.14734366</v>
      </c>
      <c r="BJ11" s="111" t="n">
        <f aca="false">SUM(B11:BI11)</f>
        <v>15361394.44775</v>
      </c>
    </row>
    <row r="12" customFormat="false" ht="15" hidden="false" customHeight="false" outlineLevel="0" collapsed="false">
      <c r="A12" s="112" t="s">
        <v>419</v>
      </c>
      <c r="B12" s="113" t="n">
        <f aca="false">CHOOSE(Premissas!$B$6,Cenários!B23,Cenários!B69,Cenários!B115)</f>
        <v>0</v>
      </c>
      <c r="C12" s="113" t="n">
        <f aca="false">CHOOSE(Premissas!$B$6,Cenários!C23,Cenários!C69,Cenários!C115)</f>
        <v>0</v>
      </c>
      <c r="D12" s="113" t="n">
        <f aca="false">CHOOSE(Premissas!$B$6,Cenários!D23,Cenários!D69,Cenários!D115)</f>
        <v>0</v>
      </c>
      <c r="E12" s="113" t="n">
        <f aca="false">CHOOSE(Premissas!$B$6,Cenários!E23,Cenários!E69,Cenários!E115)</f>
        <v>0</v>
      </c>
      <c r="F12" s="113" t="n">
        <f aca="false">CHOOSE(Premissas!$B$6,Cenários!F23,Cenários!F69,Cenários!F115)</f>
        <v>0</v>
      </c>
      <c r="G12" s="113" t="n">
        <f aca="false">CHOOSE(Premissas!$B$6,Cenários!G23,Cenários!G69,Cenários!G115)</f>
        <v>0</v>
      </c>
      <c r="H12" s="113" t="n">
        <f aca="false">CHOOSE(Premissas!$B$6,Cenários!H23,Cenários!H69,Cenários!H115)</f>
        <v>0</v>
      </c>
      <c r="I12" s="113" t="n">
        <f aca="false">CHOOSE(Premissas!$B$6,Cenários!I23,Cenários!I69,Cenários!I115)</f>
        <v>0</v>
      </c>
      <c r="J12" s="113" t="n">
        <f aca="false">CHOOSE(Premissas!$B$6,Cenários!J23,Cenários!J69,Cenários!J115)</f>
        <v>0</v>
      </c>
      <c r="K12" s="113" t="n">
        <f aca="false">CHOOSE(Premissas!$B$6,Cenários!K23,Cenários!K69,Cenários!K115)</f>
        <v>0</v>
      </c>
      <c r="L12" s="113" t="n">
        <f aca="false">CHOOSE(Premissas!$B$6,Cenários!L23,Cenários!L69,Cenários!L115)</f>
        <v>0</v>
      </c>
      <c r="M12" s="113" t="n">
        <f aca="false">CHOOSE(Premissas!$B$6,Cenários!M23,Cenários!M69,Cenários!M115)</f>
        <v>0</v>
      </c>
      <c r="N12" s="113" t="n">
        <f aca="false">CHOOSE(Premissas!$B$6,Cenários!N23,Cenários!N69,Cenários!N115)</f>
        <v>3856.46297568</v>
      </c>
      <c r="O12" s="113" t="n">
        <f aca="false">CHOOSE(Premissas!$B$6,Cenários!O23,Cenários!O69,Cenários!O115)</f>
        <v>4991.83195990886</v>
      </c>
      <c r="P12" s="113" t="n">
        <f aca="false">CHOOSE(Premissas!$B$6,Cenários!P23,Cenários!P69,Cenários!P115)</f>
        <v>6041.82119652372</v>
      </c>
      <c r="Q12" s="113" t="n">
        <f aca="false">CHOOSE(Premissas!$B$6,Cenários!Q23,Cenários!Q69,Cenários!Q115)</f>
        <v>7012.85124254513</v>
      </c>
      <c r="R12" s="113" t="n">
        <f aca="false">CHOOSE(Premissas!$B$6,Cenários!R23,Cenários!R69,Cenários!R115)</f>
        <v>7910.85982910574</v>
      </c>
      <c r="S12" s="113" t="n">
        <f aca="false">CHOOSE(Premissas!$B$6,Cenários!S23,Cenários!S69,Cenários!S115)</f>
        <v>8741.33816995699</v>
      </c>
      <c r="T12" s="113" t="n">
        <f aca="false">CHOOSE(Premissas!$B$6,Cenários!T23,Cenários!T69,Cenários!T115)</f>
        <v>9509.36453957622</v>
      </c>
      <c r="U12" s="113" t="n">
        <f aca="false">CHOOSE(Premissas!$B$6,Cenários!U23,Cenários!U69,Cenários!U115)</f>
        <v>10219.6353262001</v>
      </c>
      <c r="V12" s="113" t="n">
        <f aca="false">CHOOSE(Premissas!$B$6,Cenários!V23,Cenários!V69,Cenários!V115)</f>
        <v>10876.4937496698</v>
      </c>
      <c r="W12" s="113" t="n">
        <f aca="false">CHOOSE(Premissas!$B$6,Cenários!W23,Cenários!W69,Cenários!W115)</f>
        <v>11483.9564196947</v>
      </c>
      <c r="X12" s="113" t="n">
        <f aca="false">CHOOSE(Premissas!$B$6,Cenários!X23,Cenários!X69,Cenários!X115)</f>
        <v>12045.7378969336</v>
      </c>
      <c r="Y12" s="113" t="n">
        <f aca="false">CHOOSE(Premissas!$B$6,Cenários!Y23,Cenários!Y69,Cenários!Y115)</f>
        <v>12565.2734070842</v>
      </c>
      <c r="Z12" s="113" t="n">
        <f aca="false">CHOOSE(Premissas!$B$6,Cenários!Z23,Cenários!Z69,Cenários!Z115)</f>
        <v>23025.2031008071</v>
      </c>
      <c r="AA12" s="113" t="n">
        <f aca="false">CHOOSE(Premissas!$B$6,Cenários!AA23,Cenários!AA69,Cenários!AA115)</f>
        <v>24961.0350440172</v>
      </c>
      <c r="AB12" s="113" t="n">
        <f aca="false">CHOOSE(Premissas!$B$6,Cenários!AB23,Cenários!AB69,Cenários!AB115)</f>
        <v>26760.0268988258</v>
      </c>
      <c r="AC12" s="113" t="n">
        <f aca="false">CHOOSE(Premissas!$B$6,Cenários!AC23,Cenários!AC69,Cenários!AC115)</f>
        <v>28431.8516174016</v>
      </c>
      <c r="AD12" s="113" t="n">
        <f aca="false">CHOOSE(Premissas!$B$6,Cenários!AD23,Cenários!AD69,Cenários!AD115)</f>
        <v>29985.4983902707</v>
      </c>
      <c r="AE12" s="113" t="n">
        <f aca="false">CHOOSE(Premissas!$B$6,Cenários!AE23,Cenários!AE69,Cenários!AE115)</f>
        <v>31429.3209800592</v>
      </c>
      <c r="AF12" s="113" t="n">
        <f aca="false">CHOOSE(Premissas!$B$6,Cenários!AF23,Cenários!AF69,Cenários!AF115)</f>
        <v>32771.0826386208</v>
      </c>
      <c r="AG12" s="113" t="n">
        <f aca="false">CHOOSE(Premissas!$B$6,Cenários!AG23,Cenários!AG69,Cenários!AG115)</f>
        <v>34017.997849062</v>
      </c>
      <c r="AH12" s="113" t="n">
        <f aca="false">CHOOSE(Premissas!$B$6,Cenários!AH23,Cenários!AH69,Cenários!AH115)</f>
        <v>35176.7711171075</v>
      </c>
      <c r="AI12" s="113" t="n">
        <f aca="false">CHOOSE(Premissas!$B$6,Cenários!AI23,Cenários!AI69,Cenários!AI115)</f>
        <v>36253.6330203814</v>
      </c>
      <c r="AJ12" s="113" t="n">
        <f aca="false">CHOOSE(Premissas!$B$6,Cenários!AJ23,Cenários!AJ69,Cenários!AJ115)</f>
        <v>37254.3737094367</v>
      </c>
      <c r="AK12" s="113" t="n">
        <f aca="false">CHOOSE(Premissas!$B$6,Cenários!AK23,Cenários!AK69,Cenários!AK115)</f>
        <v>38184.374040664</v>
      </c>
      <c r="AL12" s="113" t="n">
        <f aca="false">CHOOSE(Premissas!$B$6,Cenários!AL23,Cenários!AL69,Cenários!AL115)</f>
        <v>65587.686208654</v>
      </c>
      <c r="AM12" s="113" t="n">
        <f aca="false">CHOOSE(Premissas!$B$6,Cenários!AM23,Cenários!AM69,Cenários!AM115)</f>
        <v>69781.8495876997</v>
      </c>
      <c r="AN12" s="113" t="n">
        <f aca="false">CHOOSE(Premissas!$B$6,Cenários!AN23,Cenários!AN69,Cenários!AN115)</f>
        <v>73697.3245670637</v>
      </c>
      <c r="AO12" s="113" t="n">
        <f aca="false">CHOOSE(Premissas!$B$6,Cenários!AO23,Cenários!AO69,Cenários!AO115)</f>
        <v>77352.6290768069</v>
      </c>
      <c r="AP12" s="113" t="n">
        <f aca="false">CHOOSE(Premissas!$B$6,Cenários!AP23,Cenários!AP69,Cenários!AP115)</f>
        <v>80765.0505912764</v>
      </c>
      <c r="AQ12" s="113" t="n">
        <f aca="false">CHOOSE(Premissas!$B$6,Cenários!AQ23,Cenários!AQ69,Cenários!AQ115)</f>
        <v>83950.7278888521</v>
      </c>
      <c r="AR12" s="113" t="n">
        <f aca="false">CHOOSE(Premissas!$B$6,Cenários!AR23,Cenários!AR69,Cenários!AR115)</f>
        <v>86924.7273790253</v>
      </c>
      <c r="AS12" s="113" t="n">
        <f aca="false">CHOOSE(Premissas!$B$6,Cenários!AS23,Cenários!AS69,Cenários!AS115)</f>
        <v>89701.1143577949</v>
      </c>
      <c r="AT12" s="113" t="n">
        <f aca="false">CHOOSE(Premissas!$B$6,Cenários!AT23,Cenários!AT69,Cenários!AT115)</f>
        <v>92293.0195283745</v>
      </c>
      <c r="AU12" s="113" t="n">
        <f aca="false">CHOOSE(Premissas!$B$6,Cenários!AU23,Cenários!AU69,Cenários!AU115)</f>
        <v>94712.7011018181</v>
      </c>
      <c r="AV12" s="113" t="n">
        <f aca="false">CHOOSE(Premissas!$B$6,Cenários!AV23,Cenários!AV69,Cenários!AV115)</f>
        <v>96971.6027712619</v>
      </c>
      <c r="AW12" s="113" t="n">
        <f aca="false">CHOOSE(Premissas!$B$6,Cenários!AW23,Cenários!AW69,Cenários!AW115)</f>
        <v>99080.4078339686</v>
      </c>
      <c r="AX12" s="113" t="n">
        <f aca="false">CHOOSE(Premissas!$B$6,Cenários!AX23,Cenários!AX69,Cenários!AX115)</f>
        <v>132150.286005186</v>
      </c>
      <c r="AY12" s="113" t="n">
        <f aca="false">CHOOSE(Premissas!$B$6,Cenários!AY23,Cenários!AY69,Cenários!AY115)</f>
        <v>139931.658886206</v>
      </c>
      <c r="AZ12" s="113" t="n">
        <f aca="false">CHOOSE(Premissas!$B$6,Cenários!AZ23,Cenários!AZ69,Cenários!AZ115)</f>
        <v>147227.007864488</v>
      </c>
      <c r="BA12" s="113" t="n">
        <f aca="false">CHOOSE(Premissas!$B$6,Cenários!BA23,Cenários!BA69,Cenários!BA115)</f>
        <v>154066.689952559</v>
      </c>
      <c r="BB12" s="113" t="n">
        <f aca="false">CHOOSE(Premissas!$B$6,Cenários!BB23,Cenários!BB69,Cenários!BB115)</f>
        <v>160479.166066471</v>
      </c>
      <c r="BC12" s="113" t="n">
        <f aca="false">CHOOSE(Premissas!$B$6,Cenários!BC23,Cenários!BC69,Cenários!BC115)</f>
        <v>166491.119455825</v>
      </c>
      <c r="BD12" s="113" t="n">
        <f aca="false">CHOOSE(Premissas!$B$6,Cenários!BD23,Cenários!BD69,Cenários!BD115)</f>
        <v>172127.566736676</v>
      </c>
      <c r="BE12" s="113" t="n">
        <f aca="false">CHOOSE(Premissas!$B$6,Cenários!BE23,Cenários!BE69,Cenários!BE115)</f>
        <v>177411.961989316</v>
      </c>
      <c r="BF12" s="113" t="n">
        <f aca="false">CHOOSE(Premissas!$B$6,Cenários!BF23,Cenários!BF69,Cenários!BF115)</f>
        <v>182366.294354139</v>
      </c>
      <c r="BG12" s="113" t="n">
        <f aca="false">CHOOSE(Premissas!$B$6,Cenários!BG23,Cenários!BG69,Cenários!BG115)</f>
        <v>187011.179531655</v>
      </c>
      <c r="BH12" s="113" t="n">
        <f aca="false">CHOOSE(Premissas!$B$6,Cenários!BH23,Cenários!BH69,Cenários!BH115)</f>
        <v>191365.945567438</v>
      </c>
      <c r="BI12" s="113" t="n">
        <f aca="false">CHOOSE(Premissas!$B$6,Cenários!BI23,Cenários!BI69,Cenários!BI115)</f>
        <v>195448.713278943</v>
      </c>
      <c r="BJ12" s="111" t="n">
        <f aca="false">SUM(B12:BI12)</f>
        <v>3500403.22570103</v>
      </c>
    </row>
    <row r="13" customFormat="false" ht="15" hidden="false" customHeight="false" outlineLevel="0" collapsed="false">
      <c r="A13" s="112" t="s">
        <v>420</v>
      </c>
      <c r="B13" s="113" t="n">
        <f aca="false">CHOOSE(Premissas!$B$6,Cenários!B24,Cenários!B70,Cenários!B116)</f>
        <v>0</v>
      </c>
      <c r="C13" s="113" t="n">
        <f aca="false">CHOOSE(Premissas!$B$6,Cenários!C24,Cenários!C70,Cenários!C116)</f>
        <v>0</v>
      </c>
      <c r="D13" s="113" t="n">
        <f aca="false">CHOOSE(Premissas!$B$6,Cenários!D24,Cenários!D70,Cenários!D116)</f>
        <v>0</v>
      </c>
      <c r="E13" s="113" t="n">
        <f aca="false">CHOOSE(Premissas!$B$6,Cenários!E24,Cenários!E70,Cenários!E116)</f>
        <v>0</v>
      </c>
      <c r="F13" s="113" t="n">
        <f aca="false">CHOOSE(Premissas!$B$6,Cenários!F24,Cenários!F70,Cenários!F116)</f>
        <v>0</v>
      </c>
      <c r="G13" s="113" t="n">
        <f aca="false">CHOOSE(Premissas!$B$6,Cenários!G24,Cenários!G70,Cenários!G116)</f>
        <v>0</v>
      </c>
      <c r="H13" s="113" t="n">
        <f aca="false">CHOOSE(Premissas!$B$6,Cenários!H24,Cenários!H70,Cenários!H116)</f>
        <v>0</v>
      </c>
      <c r="I13" s="113" t="n">
        <f aca="false">CHOOSE(Premissas!$B$6,Cenários!I24,Cenários!I70,Cenários!I116)</f>
        <v>0</v>
      </c>
      <c r="J13" s="113" t="n">
        <f aca="false">CHOOSE(Premissas!$B$6,Cenários!J24,Cenários!J70,Cenários!J116)</f>
        <v>0</v>
      </c>
      <c r="K13" s="113" t="n">
        <f aca="false">CHOOSE(Premissas!$B$6,Cenários!K24,Cenários!K70,Cenários!K116)</f>
        <v>0</v>
      </c>
      <c r="L13" s="113" t="n">
        <f aca="false">CHOOSE(Premissas!$B$6,Cenários!L24,Cenários!L70,Cenários!L116)</f>
        <v>0</v>
      </c>
      <c r="M13" s="113" t="n">
        <f aca="false">CHOOSE(Premissas!$B$6,Cenários!M24,Cenários!M70,Cenários!M116)</f>
        <v>0</v>
      </c>
      <c r="N13" s="113" t="n">
        <f aca="false">CHOOSE(Premissas!$B$6,Cenários!N24,Cenários!N70,Cenários!N116)</f>
        <v>0</v>
      </c>
      <c r="O13" s="113" t="n">
        <f aca="false">CHOOSE(Premissas!$B$6,Cenários!O24,Cenários!O70,Cenários!O116)</f>
        <v>0</v>
      </c>
      <c r="P13" s="113" t="n">
        <f aca="false">CHOOSE(Premissas!$B$6,Cenários!P24,Cenários!P70,Cenários!P116)</f>
        <v>0</v>
      </c>
      <c r="Q13" s="113" t="n">
        <f aca="false">CHOOSE(Premissas!$B$6,Cenários!Q24,Cenários!Q70,Cenários!Q116)</f>
        <v>0</v>
      </c>
      <c r="R13" s="113" t="n">
        <f aca="false">CHOOSE(Premissas!$B$6,Cenários!R24,Cenários!R70,Cenários!R116)</f>
        <v>0</v>
      </c>
      <c r="S13" s="113" t="n">
        <f aca="false">CHOOSE(Premissas!$B$6,Cenários!S24,Cenários!S70,Cenários!S116)</f>
        <v>0</v>
      </c>
      <c r="T13" s="113" t="n">
        <f aca="false">CHOOSE(Premissas!$B$6,Cenários!T24,Cenários!T70,Cenários!T116)</f>
        <v>0</v>
      </c>
      <c r="U13" s="113" t="n">
        <f aca="false">CHOOSE(Premissas!$B$6,Cenários!U24,Cenários!U70,Cenários!U116)</f>
        <v>0</v>
      </c>
      <c r="V13" s="113" t="n">
        <f aca="false">CHOOSE(Premissas!$B$6,Cenários!V24,Cenários!V70,Cenários!V116)</f>
        <v>0</v>
      </c>
      <c r="W13" s="113" t="n">
        <f aca="false">CHOOSE(Premissas!$B$6,Cenários!W24,Cenários!W70,Cenários!W116)</f>
        <v>0</v>
      </c>
      <c r="X13" s="113" t="n">
        <f aca="false">CHOOSE(Premissas!$B$6,Cenários!X24,Cenários!X70,Cenários!X116)</f>
        <v>0</v>
      </c>
      <c r="Y13" s="113" t="n">
        <f aca="false">CHOOSE(Premissas!$B$6,Cenários!Y24,Cenários!Y70,Cenários!Y116)</f>
        <v>0</v>
      </c>
      <c r="Z13" s="113" t="n">
        <f aca="false">CHOOSE(Premissas!$B$6,Cenários!Z24,Cenários!Z70,Cenários!Z116)</f>
        <v>0</v>
      </c>
      <c r="AA13" s="113" t="n">
        <f aca="false">CHOOSE(Premissas!$B$6,Cenários!AA24,Cenários!AA70,Cenários!AA116)</f>
        <v>0</v>
      </c>
      <c r="AB13" s="113" t="n">
        <f aca="false">CHOOSE(Premissas!$B$6,Cenários!AB24,Cenários!AB70,Cenários!AB116)</f>
        <v>0</v>
      </c>
      <c r="AC13" s="113" t="n">
        <f aca="false">CHOOSE(Premissas!$B$6,Cenários!AC24,Cenários!AC70,Cenários!AC116)</f>
        <v>0</v>
      </c>
      <c r="AD13" s="113" t="n">
        <f aca="false">CHOOSE(Premissas!$B$6,Cenários!AD24,Cenários!AD70,Cenários!AD116)</f>
        <v>0</v>
      </c>
      <c r="AE13" s="113" t="n">
        <f aca="false">CHOOSE(Premissas!$B$6,Cenários!AE24,Cenários!AE70,Cenários!AE116)</f>
        <v>0</v>
      </c>
      <c r="AF13" s="113" t="n">
        <f aca="false">CHOOSE(Premissas!$B$6,Cenários!AF24,Cenários!AF70,Cenários!AF116)</f>
        <v>0</v>
      </c>
      <c r="AG13" s="113" t="n">
        <f aca="false">CHOOSE(Premissas!$B$6,Cenários!AG24,Cenários!AG70,Cenários!AG116)</f>
        <v>0</v>
      </c>
      <c r="AH13" s="113" t="n">
        <f aca="false">CHOOSE(Premissas!$B$6,Cenários!AH24,Cenários!AH70,Cenários!AH116)</f>
        <v>0</v>
      </c>
      <c r="AI13" s="113" t="n">
        <f aca="false">CHOOSE(Premissas!$B$6,Cenários!AI24,Cenários!AI70,Cenários!AI116)</f>
        <v>0</v>
      </c>
      <c r="AJ13" s="113" t="n">
        <f aca="false">CHOOSE(Premissas!$B$6,Cenários!AJ24,Cenários!AJ70,Cenários!AJ116)</f>
        <v>0</v>
      </c>
      <c r="AK13" s="113" t="n">
        <f aca="false">CHOOSE(Premissas!$B$6,Cenários!AK24,Cenários!AK70,Cenários!AK116)</f>
        <v>0</v>
      </c>
      <c r="AL13" s="113" t="n">
        <f aca="false">CHOOSE(Premissas!$B$6,Cenários!AL24,Cenários!AL70,Cenários!AL116)</f>
        <v>0</v>
      </c>
      <c r="AM13" s="113" t="n">
        <f aca="false">CHOOSE(Premissas!$B$6,Cenários!AM24,Cenários!AM70,Cenários!AM116)</f>
        <v>0</v>
      </c>
      <c r="AN13" s="113" t="n">
        <f aca="false">CHOOSE(Premissas!$B$6,Cenários!AN24,Cenários!AN70,Cenários!AN116)</f>
        <v>0</v>
      </c>
      <c r="AO13" s="113" t="n">
        <f aca="false">CHOOSE(Premissas!$B$6,Cenários!AO24,Cenários!AO70,Cenários!AO116)</f>
        <v>0</v>
      </c>
      <c r="AP13" s="113" t="n">
        <f aca="false">CHOOSE(Premissas!$B$6,Cenários!AP24,Cenários!AP70,Cenários!AP116)</f>
        <v>0</v>
      </c>
      <c r="AQ13" s="113" t="n">
        <f aca="false">CHOOSE(Premissas!$B$6,Cenários!AQ24,Cenários!AQ70,Cenários!AQ116)</f>
        <v>0</v>
      </c>
      <c r="AR13" s="113" t="n">
        <f aca="false">CHOOSE(Premissas!$B$6,Cenários!AR24,Cenários!AR70,Cenários!AR116)</f>
        <v>0</v>
      </c>
      <c r="AS13" s="113" t="n">
        <f aca="false">CHOOSE(Premissas!$B$6,Cenários!AS24,Cenários!AS70,Cenários!AS116)</f>
        <v>0</v>
      </c>
      <c r="AT13" s="113" t="n">
        <f aca="false">CHOOSE(Premissas!$B$6,Cenários!AT24,Cenários!AT70,Cenários!AT116)</f>
        <v>0</v>
      </c>
      <c r="AU13" s="113" t="n">
        <f aca="false">CHOOSE(Premissas!$B$6,Cenários!AU24,Cenários!AU70,Cenários!AU116)</f>
        <v>0</v>
      </c>
      <c r="AV13" s="113" t="n">
        <f aca="false">CHOOSE(Premissas!$B$6,Cenários!AV24,Cenários!AV70,Cenários!AV116)</f>
        <v>0</v>
      </c>
      <c r="AW13" s="113" t="n">
        <f aca="false">CHOOSE(Premissas!$B$6,Cenários!AW24,Cenários!AW70,Cenários!AW116)</f>
        <v>0</v>
      </c>
      <c r="AX13" s="113" t="n">
        <f aca="false">CHOOSE(Premissas!$B$6,Cenários!AX24,Cenários!AX70,Cenários!AX116)</f>
        <v>0</v>
      </c>
      <c r="AY13" s="113" t="n">
        <f aca="false">CHOOSE(Premissas!$B$6,Cenários!AY24,Cenários!AY70,Cenários!AY116)</f>
        <v>0</v>
      </c>
      <c r="AZ13" s="113" t="n">
        <f aca="false">CHOOSE(Premissas!$B$6,Cenários!AZ24,Cenários!AZ70,Cenários!AZ116)</f>
        <v>0</v>
      </c>
      <c r="BA13" s="113" t="n">
        <f aca="false">CHOOSE(Premissas!$B$6,Cenários!BA24,Cenários!BA70,Cenários!BA116)</f>
        <v>0</v>
      </c>
      <c r="BB13" s="113" t="n">
        <f aca="false">CHOOSE(Premissas!$B$6,Cenários!BB24,Cenários!BB70,Cenários!BB116)</f>
        <v>0</v>
      </c>
      <c r="BC13" s="113" t="n">
        <f aca="false">CHOOSE(Premissas!$B$6,Cenários!BC24,Cenários!BC70,Cenários!BC116)</f>
        <v>0</v>
      </c>
      <c r="BD13" s="113" t="n">
        <f aca="false">CHOOSE(Premissas!$B$6,Cenários!BD24,Cenários!BD70,Cenários!BD116)</f>
        <v>0</v>
      </c>
      <c r="BE13" s="113" t="n">
        <f aca="false">CHOOSE(Premissas!$B$6,Cenários!BE24,Cenários!BE70,Cenários!BE116)</f>
        <v>0</v>
      </c>
      <c r="BF13" s="113" t="n">
        <f aca="false">CHOOSE(Premissas!$B$6,Cenários!BF24,Cenários!BF70,Cenários!BF116)</f>
        <v>0</v>
      </c>
      <c r="BG13" s="113" t="n">
        <f aca="false">CHOOSE(Premissas!$B$6,Cenários!BG24,Cenários!BG70,Cenários!BG116)</f>
        <v>0</v>
      </c>
      <c r="BH13" s="113" t="n">
        <f aca="false">CHOOSE(Premissas!$B$6,Cenários!BH24,Cenários!BH70,Cenários!BH116)</f>
        <v>0</v>
      </c>
      <c r="BI13" s="113" t="n">
        <f aca="false">CHOOSE(Premissas!$B$6,Cenários!BI24,Cenários!BI70,Cenários!BI116)</f>
        <v>0</v>
      </c>
      <c r="BJ13" s="111" t="n">
        <f aca="false">SUM(B13:BI13)</f>
        <v>0</v>
      </c>
    </row>
    <row r="14" customFormat="false" ht="15" hidden="false" customHeight="false" outlineLevel="0" collapsed="false">
      <c r="A14" s="51" t="s">
        <v>421</v>
      </c>
      <c r="B14" s="111" t="n">
        <f aca="false">SUM(B9:B13)</f>
        <v>0</v>
      </c>
      <c r="C14" s="111" t="n">
        <f aca="false">SUM(C9:C13)</f>
        <v>0</v>
      </c>
      <c r="D14" s="111" t="n">
        <f aca="false">SUM(D9:D13)</f>
        <v>0</v>
      </c>
      <c r="E14" s="111" t="n">
        <f aca="false">SUM(E9:E13)</f>
        <v>0</v>
      </c>
      <c r="F14" s="111" t="n">
        <f aca="false">SUM(F9:F13)</f>
        <v>0</v>
      </c>
      <c r="G14" s="111" t="n">
        <f aca="false">SUM(G9:G13)</f>
        <v>0</v>
      </c>
      <c r="H14" s="111" t="n">
        <f aca="false">SUM(H9:H13)</f>
        <v>0</v>
      </c>
      <c r="I14" s="111" t="n">
        <f aca="false">SUM(I9:I13)</f>
        <v>0</v>
      </c>
      <c r="J14" s="111" t="n">
        <f aca="false">SUM(J9:J13)</f>
        <v>0</v>
      </c>
      <c r="K14" s="111" t="n">
        <f aca="false">SUM(K9:K13)</f>
        <v>4084.9</v>
      </c>
      <c r="L14" s="111" t="n">
        <f aca="false">SUM(L9:L13)</f>
        <v>15582.1</v>
      </c>
      <c r="M14" s="111" t="n">
        <f aca="false">SUM(M9:M13)</f>
        <v>33694.8</v>
      </c>
      <c r="N14" s="111" t="n">
        <f aca="false">SUM(N9:N13)</f>
        <v>80910.16497568</v>
      </c>
      <c r="O14" s="111" t="n">
        <f aca="false">SUM(O9:O13)</f>
        <v>129756.576459909</v>
      </c>
      <c r="P14" s="111" t="n">
        <f aca="false">SUM(P9:P13)</f>
        <v>187222.458196524</v>
      </c>
      <c r="Q14" s="111" t="n">
        <f aca="false">SUM(Q9:Q13)</f>
        <v>217328.192742545</v>
      </c>
      <c r="R14" s="111" t="n">
        <f aca="false">SUM(R9:R13)</f>
        <v>245132.443329106</v>
      </c>
      <c r="S14" s="111" t="n">
        <f aca="false">SUM(S9:S13)</f>
        <v>270849.178669957</v>
      </c>
      <c r="T14" s="111" t="n">
        <f aca="false">SUM(T9:T13)</f>
        <v>294691.850039576</v>
      </c>
      <c r="U14" s="111" t="n">
        <f aca="false">SUM(U9:U13)</f>
        <v>316664.6313262</v>
      </c>
      <c r="V14" s="111" t="n">
        <f aca="false">SUM(V9:V13)</f>
        <v>337022.35224967</v>
      </c>
      <c r="W14" s="111" t="n">
        <f aca="false">SUM(W9:W13)</f>
        <v>355831.102419695</v>
      </c>
      <c r="X14" s="111" t="n">
        <f aca="false">SUM(X9:X13)</f>
        <v>373261.482896934</v>
      </c>
      <c r="Y14" s="111" t="n">
        <f aca="false">SUM(Y9:Y13)</f>
        <v>389400.215407084</v>
      </c>
      <c r="Z14" s="111" t="n">
        <f aca="false">SUM(Z9:Z13)</f>
        <v>517434.389333307</v>
      </c>
      <c r="AA14" s="111" t="n">
        <f aca="false">SUM(AA9:AA13)</f>
        <v>560922.864551517</v>
      </c>
      <c r="AB14" s="111" t="n">
        <f aca="false">SUM(AB9:AB13)</f>
        <v>601357.810108826</v>
      </c>
      <c r="AC14" s="111" t="n">
        <f aca="false">SUM(AC9:AC13)</f>
        <v>638901.127242402</v>
      </c>
      <c r="AD14" s="111" t="n">
        <f aca="false">SUM(AD9:AD13)</f>
        <v>673844.967225271</v>
      </c>
      <c r="AE14" s="111" t="n">
        <f aca="false">SUM(AE9:AE13)</f>
        <v>706219.087510059</v>
      </c>
      <c r="AF14" s="111" t="n">
        <f aca="false">SUM(AF9:AF13)</f>
        <v>736380.044133621</v>
      </c>
      <c r="AG14" s="111" t="n">
        <f aca="false">SUM(AG9:AG13)</f>
        <v>764378.186566562</v>
      </c>
      <c r="AH14" s="111" t="n">
        <f aca="false">SUM(AH9:AH13)</f>
        <v>790503.599802107</v>
      </c>
      <c r="AI14" s="111" t="n">
        <f aca="false">SUM(AI9:AI13)</f>
        <v>814674.824810381</v>
      </c>
      <c r="AJ14" s="111" t="n">
        <f aca="false">SUM(AJ9:AJ13)</f>
        <v>837202.981931937</v>
      </c>
      <c r="AK14" s="111" t="n">
        <f aca="false">SUM(AK9:AK13)</f>
        <v>858049.443415664</v>
      </c>
      <c r="AL14" s="111" t="n">
        <f aca="false">SUM(AL9:AL13)</f>
        <v>1112846.3378495</v>
      </c>
      <c r="AM14" s="111" t="n">
        <f aca="false">SUM(AM9:AM13)</f>
        <v>1183971.37797576</v>
      </c>
      <c r="AN14" s="111" t="n">
        <f aca="false">SUM(AN9:AN13)</f>
        <v>1250381.56050801</v>
      </c>
      <c r="AO14" s="111" t="n">
        <f aca="false">SUM(AO9:AO13)</f>
        <v>1312436.61204769</v>
      </c>
      <c r="AP14" s="111" t="n">
        <f aca="false">SUM(AP9:AP13)</f>
        <v>1370358.54527198</v>
      </c>
      <c r="AQ14" s="111" t="n">
        <f aca="false">SUM(AQ9:AQ13)</f>
        <v>1424390.81925134</v>
      </c>
      <c r="AR14" s="111" t="n">
        <f aca="false">SUM(AR9:AR13)</f>
        <v>1474867.22809399</v>
      </c>
      <c r="AS14" s="111" t="n">
        <f aca="false">SUM(AS9:AS13)</f>
        <v>1521915.26900874</v>
      </c>
      <c r="AT14" s="111" t="n">
        <f aca="false">SUM(AT9:AT13)</f>
        <v>1565912.56115915</v>
      </c>
      <c r="AU14" s="111" t="n">
        <f aca="false">SUM(AU9:AU13)</f>
        <v>1606984.79466908</v>
      </c>
      <c r="AV14" s="111" t="n">
        <f aca="false">SUM(AV9:AV13)</f>
        <v>1645325.54334522</v>
      </c>
      <c r="AW14" s="111" t="n">
        <f aca="false">SUM(AW9:AW13)</f>
        <v>1681058.92239767</v>
      </c>
      <c r="AX14" s="111" t="n">
        <f aca="false">SUM(AX9:AX13)</f>
        <v>2135251.44590653</v>
      </c>
      <c r="AY14" s="111" t="n">
        <f aca="false">SUM(AY9:AY13)</f>
        <v>2260993.77746488</v>
      </c>
      <c r="AZ14" s="111" t="n">
        <f aca="false">SUM(AZ9:AZ13)</f>
        <v>2378926.70914218</v>
      </c>
      <c r="BA14" s="111" t="n">
        <f aca="false">SUM(BA9:BA13)</f>
        <v>2489413.1913887</v>
      </c>
      <c r="BB14" s="111" t="n">
        <f aca="false">SUM(BB9:BB13)</f>
        <v>2593028.69340257</v>
      </c>
      <c r="BC14" s="111" t="n">
        <f aca="false">SUM(BC9:BC13)</f>
        <v>2690156.58074686</v>
      </c>
      <c r="BD14" s="111" t="n">
        <f aca="false">SUM(BD9:BD13)</f>
        <v>2781226.13384323</v>
      </c>
      <c r="BE14" s="111" t="n">
        <f aca="false">SUM(BE9:BE13)</f>
        <v>2866641.33945742</v>
      </c>
      <c r="BF14" s="111" t="n">
        <f aca="false">SUM(BF9:BF13)</f>
        <v>2946637.76681122</v>
      </c>
      <c r="BG14" s="111" t="n">
        <f aca="false">SUM(BG9:BG13)</f>
        <v>3021688.35391033</v>
      </c>
      <c r="BH14" s="111" t="n">
        <f aca="false">SUM(BH9:BH13)</f>
        <v>3092049.85925373</v>
      </c>
      <c r="BI14" s="111" t="n">
        <f aca="false">SUM(BI9:BI13)</f>
        <v>3158049.74298386</v>
      </c>
      <c r="BJ14" s="111" t="n">
        <f aca="false">SUM(B14:BI14)</f>
        <v>61315814.9412342</v>
      </c>
    </row>
    <row r="16" customFormat="false" ht="18" hidden="false" customHeight="true" outlineLevel="0" collapsed="false">
      <c r="A16" s="25" t="s">
        <v>422</v>
      </c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</row>
    <row r="17" customFormat="false" ht="15" hidden="false" customHeight="false" outlineLevel="0" collapsed="false">
      <c r="A17" s="112" t="s">
        <v>423</v>
      </c>
      <c r="B17" s="113" t="n">
        <f aca="false">CHOOSE(Premissas!$B$6,Cenários!B28,Cenários!B74,Cenários!B120)</f>
        <v>-0</v>
      </c>
      <c r="C17" s="113" t="n">
        <f aca="false">CHOOSE(Premissas!$B$6,Cenários!C28,Cenários!C74,Cenários!C120)</f>
        <v>-0</v>
      </c>
      <c r="D17" s="113" t="n">
        <f aca="false">CHOOSE(Premissas!$B$6,Cenários!D28,Cenários!D74,Cenários!D120)</f>
        <v>-0</v>
      </c>
      <c r="E17" s="113" t="n">
        <f aca="false">CHOOSE(Premissas!$B$6,Cenários!E28,Cenários!E74,Cenários!E120)</f>
        <v>-0</v>
      </c>
      <c r="F17" s="113" t="n">
        <f aca="false">CHOOSE(Premissas!$B$6,Cenários!F28,Cenários!F74,Cenários!F120)</f>
        <v>-0</v>
      </c>
      <c r="G17" s="113" t="n">
        <f aca="false">CHOOSE(Premissas!$B$6,Cenários!G28,Cenários!G74,Cenários!G120)</f>
        <v>-0</v>
      </c>
      <c r="H17" s="113" t="n">
        <f aca="false">CHOOSE(Premissas!$B$6,Cenários!H28,Cenários!H74,Cenários!H120)</f>
        <v>-0</v>
      </c>
      <c r="I17" s="113" t="n">
        <f aca="false">CHOOSE(Premissas!$B$6,Cenários!I28,Cenários!I74,Cenários!I120)</f>
        <v>-0</v>
      </c>
      <c r="J17" s="113" t="n">
        <f aca="false">CHOOSE(Premissas!$B$6,Cenários!J28,Cenários!J74,Cenários!J120)</f>
        <v>-0</v>
      </c>
      <c r="K17" s="113" t="n">
        <f aca="false">CHOOSE(Premissas!$B$6,Cenários!K28,Cenários!K74,Cenários!K120)</f>
        <v>-633.1595</v>
      </c>
      <c r="L17" s="113" t="n">
        <f aca="false">CHOOSE(Premissas!$B$6,Cenários!L28,Cenários!L74,Cenários!L120)</f>
        <v>-2415.2255</v>
      </c>
      <c r="M17" s="113" t="n">
        <f aca="false">CHOOSE(Premissas!$B$6,Cenários!M28,Cenários!M74,Cenários!M120)</f>
        <v>-5222.694</v>
      </c>
      <c r="N17" s="113" t="n">
        <f aca="false">CHOOSE(Premissas!$B$6,Cenários!N28,Cenários!N74,Cenários!N120)</f>
        <v>-12541.0755712304</v>
      </c>
      <c r="O17" s="113" t="n">
        <f aca="false">CHOOSE(Premissas!$B$6,Cenários!O28,Cenários!O74,Cenários!O120)</f>
        <v>-20112.2693512859</v>
      </c>
      <c r="P17" s="113" t="n">
        <f aca="false">CHOOSE(Premissas!$B$6,Cenários!P28,Cenários!P74,Cenários!P120)</f>
        <v>-30509.0955523505</v>
      </c>
      <c r="Q17" s="113" t="n">
        <f aca="false">CHOOSE(Premissas!$B$6,Cenários!Q28,Cenários!Q74,Cenários!Q120)</f>
        <v>-37611.0322840983</v>
      </c>
      <c r="R17" s="113" t="n">
        <f aca="false">CHOOSE(Premissas!$B$6,Cenários!R28,Cenários!R74,Cenários!R120)</f>
        <v>-44171.0228049153</v>
      </c>
      <c r="S17" s="113" t="n">
        <f aca="false">CHOOSE(Premissas!$B$6,Cenários!S28,Cenários!S74,Cenários!S120)</f>
        <v>-50455.1728225529</v>
      </c>
      <c r="T17" s="113" t="n">
        <f aca="false">CHOOSE(Premissas!$B$6,Cenários!T28,Cenários!T74,Cenários!T120)</f>
        <v>-56157.7372988573</v>
      </c>
      <c r="U17" s="113" t="n">
        <f aca="false">CHOOSE(Premissas!$B$6,Cenários!U28,Cenários!U74,Cenários!U120)</f>
        <v>-61255.6407064385</v>
      </c>
      <c r="V17" s="113" t="n">
        <f aca="false">CHOOSE(Premissas!$B$6,Cenários!V28,Cenários!V74,Cenários!V120)</f>
        <v>-65880.591331067</v>
      </c>
      <c r="W17" s="113" t="n">
        <f aca="false">CHOOSE(Premissas!$B$6,Cenários!W28,Cenários!W74,Cenários!W120)</f>
        <v>-71481.2207374764</v>
      </c>
      <c r="X17" s="113" t="n">
        <f aca="false">CHOOSE(Premissas!$B$6,Cenários!X28,Cenários!X74,Cenários!X120)</f>
        <v>-76521.1797877149</v>
      </c>
      <c r="Y17" s="113" t="n">
        <f aca="false">CHOOSE(Premissas!$B$6,Cenários!Y28,Cenários!Y74,Cenários!Y120)</f>
        <v>-81054.4330369866</v>
      </c>
      <c r="Z17" s="113" t="n">
        <f aca="false">CHOOSE(Premissas!$B$6,Cenários!Z28,Cenários!Z74,Cenários!Z120)</f>
        <v>-108962.390555631</v>
      </c>
      <c r="AA17" s="113" t="n">
        <f aca="false">CHOOSE(Premissas!$B$6,Cenários!AA28,Cenários!AA74,Cenários!AA120)</f>
        <v>-87743.8920771071</v>
      </c>
      <c r="AB17" s="113" t="n">
        <f aca="false">CHOOSE(Premissas!$B$6,Cenários!AB28,Cenários!AB74,Cenários!AB120)</f>
        <v>-103543.917236153</v>
      </c>
      <c r="AC17" s="113" t="n">
        <f aca="false">CHOOSE(Premissas!$B$6,Cenários!AC28,Cenários!AC74,Cenários!AC120)</f>
        <v>-117852.661115871</v>
      </c>
      <c r="AD17" s="113" t="n">
        <f aca="false">CHOOSE(Premissas!$B$6,Cenários!AD28,Cenários!AD74,Cenários!AD120)</f>
        <v>-110038.883147887</v>
      </c>
      <c r="AE17" s="113" t="n">
        <f aca="false">CHOOSE(Premissas!$B$6,Cenários!AE28,Cenários!AE74,Cenários!AE120)</f>
        <v>-115325.576990393</v>
      </c>
      <c r="AF17" s="113" t="n">
        <f aca="false">CHOOSE(Premissas!$B$6,Cenários!AF28,Cenários!AF74,Cenários!AF120)</f>
        <v>-120250.86120702</v>
      </c>
      <c r="AG17" s="113" t="n">
        <f aca="false">CHOOSE(Premissas!$B$6,Cenários!AG28,Cenários!AG74,Cenários!AG120)</f>
        <v>-124822.95786632</v>
      </c>
      <c r="AH17" s="113" t="n">
        <f aca="false">CHOOSE(Premissas!$B$6,Cenários!AH28,Cenários!AH74,Cenários!AH120)</f>
        <v>-129089.237847684</v>
      </c>
      <c r="AI17" s="113" t="n">
        <f aca="false">CHOOSE(Premissas!$B$6,Cenários!AI28,Cenários!AI74,Cenários!AI120)</f>
        <v>-133036.398891535</v>
      </c>
      <c r="AJ17" s="113" t="n">
        <f aca="false">CHOOSE(Premissas!$B$6,Cenários!AJ28,Cenários!AJ74,Cenários!AJ120)</f>
        <v>-136715.246949485</v>
      </c>
      <c r="AK17" s="113" t="n">
        <f aca="false">CHOOSE(Premissas!$B$6,Cenários!AK28,Cenários!AK74,Cenários!AK120)</f>
        <v>-140119.474109778</v>
      </c>
      <c r="AL17" s="113" t="n">
        <f aca="false">CHOOSE(Premissas!$B$6,Cenários!AL28,Cenários!AL74,Cenários!AL120)</f>
        <v>-181727.806970824</v>
      </c>
      <c r="AM17" s="113" t="n">
        <f aca="false">CHOOSE(Premissas!$B$6,Cenários!AM28,Cenários!AM74,Cenários!AM120)</f>
        <v>-193342.526023442</v>
      </c>
      <c r="AN17" s="113" t="n">
        <f aca="false">CHOOSE(Premissas!$B$6,Cenários!AN28,Cenários!AN74,Cenários!AN120)</f>
        <v>-204187.308830959</v>
      </c>
      <c r="AO17" s="113" t="n">
        <f aca="false">CHOOSE(Premissas!$B$6,Cenários!AO28,Cenários!AO74,Cenários!AO120)</f>
        <v>-214320.898747388</v>
      </c>
      <c r="AP17" s="113" t="n">
        <f aca="false">CHOOSE(Premissas!$B$6,Cenários!AP28,Cenários!AP74,Cenários!AP120)</f>
        <v>-223779.550442914</v>
      </c>
      <c r="AQ17" s="113" t="n">
        <f aca="false">CHOOSE(Premissas!$B$6,Cenários!AQ28,Cenários!AQ74,Cenários!AQ120)</f>
        <v>-232603.020783744</v>
      </c>
      <c r="AR17" s="113" t="n">
        <f aca="false">CHOOSE(Premissas!$B$6,Cenários!AR28,Cenários!AR74,Cenários!AR120)</f>
        <v>-240845.818347748</v>
      </c>
      <c r="AS17" s="113" t="n">
        <f aca="false">CHOOSE(Premissas!$B$6,Cenários!AS28,Cenários!AS74,Cenários!AS120)</f>
        <v>-248528.763429128</v>
      </c>
      <c r="AT17" s="113" t="n">
        <f aca="false">CHOOSE(Premissas!$B$6,Cenários!AT28,Cenários!AT74,Cenários!AT120)</f>
        <v>-255713.521237289</v>
      </c>
      <c r="AU17" s="113" t="n">
        <f aca="false">CHOOSE(Premissas!$B$6,Cenários!AU28,Cenários!AU74,Cenários!AU120)</f>
        <v>-262420.616969461</v>
      </c>
      <c r="AV17" s="113" t="n">
        <f aca="false">CHOOSE(Premissas!$B$6,Cenários!AV28,Cenários!AV74,Cenários!AV120)</f>
        <v>-268681.661228275</v>
      </c>
      <c r="AW17" s="113" t="n">
        <f aca="false">CHOOSE(Premissas!$B$6,Cenários!AW28,Cenários!AW74,Cenários!AW120)</f>
        <v>-274516.922027539</v>
      </c>
      <c r="AX17" s="113" t="n">
        <f aca="false">CHOOSE(Premissas!$B$6,Cenários!AX28,Cenários!AX74,Cenários!AX120)</f>
        <v>-348686.561116537</v>
      </c>
      <c r="AY17" s="113" t="n">
        <f aca="false">CHOOSE(Premissas!$B$6,Cenários!AY28,Cenários!AY74,Cenários!AY120)</f>
        <v>-369220.283860014</v>
      </c>
      <c r="AZ17" s="113" t="n">
        <f aca="false">CHOOSE(Premissas!$B$6,Cenários!AZ28,Cenários!AZ74,Cenários!AZ120)</f>
        <v>-388478.731602918</v>
      </c>
      <c r="BA17" s="113" t="n">
        <f aca="false">CHOOSE(Premissas!$B$6,Cenários!BA28,Cenários!BA74,Cenários!BA120)</f>
        <v>-406521.174153774</v>
      </c>
      <c r="BB17" s="113" t="n">
        <f aca="false">CHOOSE(Premissas!$B$6,Cenários!BB28,Cenários!BB74,Cenários!BB120)</f>
        <v>-423441.58563264</v>
      </c>
      <c r="BC17" s="113" t="n">
        <f aca="false">CHOOSE(Premissas!$B$6,Cenários!BC28,Cenários!BC74,Cenários!BC120)</f>
        <v>-439302.569635962</v>
      </c>
      <c r="BD17" s="113" t="n">
        <f aca="false">CHOOSE(Premissas!$B$6,Cenários!BD28,Cenários!BD74,Cenários!BD120)</f>
        <v>-454174.227656599</v>
      </c>
      <c r="BE17" s="113" t="n">
        <f aca="false">CHOOSE(Premissas!$B$6,Cenários!BE28,Cenários!BE74,Cenários!BE120)</f>
        <v>-468122.530733397</v>
      </c>
      <c r="BF17" s="113" t="n">
        <f aca="false">CHOOSE(Premissas!$B$6,Cenários!BF28,Cenários!BF74,Cenários!BF120)</f>
        <v>-481185.947320271</v>
      </c>
      <c r="BG17" s="113" t="n">
        <f aca="false">CHOOSE(Premissas!$B$6,Cenários!BG28,Cenários!BG74,Cenários!BG120)</f>
        <v>-493441.708193557</v>
      </c>
      <c r="BH17" s="113" t="n">
        <f aca="false">CHOOSE(Premissas!$B$6,Cenários!BH28,Cenários!BH74,Cenários!BH120)</f>
        <v>-504931.742016134</v>
      </c>
      <c r="BI17" s="113" t="n">
        <f aca="false">CHOOSE(Premissas!$B$6,Cenários!BI28,Cenários!BI74,Cenários!BI120)</f>
        <v>-515709.523029265</v>
      </c>
      <c r="BJ17" s="111" t="n">
        <f aca="false">SUM(B17:BI17)</f>
        <v>-10137408.0482696</v>
      </c>
      <c r="BK17" s="141" t="n">
        <f aca="false">IFERROR(BJ17/BJ$14,0)</f>
        <v>-0.165331049713446</v>
      </c>
    </row>
    <row r="18" customFormat="false" ht="15" hidden="false" customHeight="false" outlineLevel="0" collapsed="false">
      <c r="A18" s="112" t="s">
        <v>424</v>
      </c>
      <c r="B18" s="113" t="n">
        <f aca="false">CHOOSE(Premissas!$B$6,Cenários!B29,Cenários!B75,Cenários!B121)</f>
        <v>-0</v>
      </c>
      <c r="C18" s="113" t="n">
        <f aca="false">CHOOSE(Premissas!$B$6,Cenários!C29,Cenários!C75,Cenários!C121)</f>
        <v>-0</v>
      </c>
      <c r="D18" s="113" t="n">
        <f aca="false">CHOOSE(Premissas!$B$6,Cenários!D29,Cenários!D75,Cenários!D121)</f>
        <v>-0</v>
      </c>
      <c r="E18" s="113" t="n">
        <f aca="false">CHOOSE(Premissas!$B$6,Cenários!E29,Cenários!E75,Cenários!E121)</f>
        <v>-0</v>
      </c>
      <c r="F18" s="113" t="n">
        <f aca="false">CHOOSE(Premissas!$B$6,Cenários!F29,Cenários!F75,Cenários!F121)</f>
        <v>-0</v>
      </c>
      <c r="G18" s="113" t="n">
        <f aca="false">CHOOSE(Premissas!$B$6,Cenários!G29,Cenários!G75,Cenários!G121)</f>
        <v>-0</v>
      </c>
      <c r="H18" s="113" t="n">
        <f aca="false">CHOOSE(Premissas!$B$6,Cenários!H29,Cenários!H75,Cenários!H121)</f>
        <v>-0</v>
      </c>
      <c r="I18" s="113" t="n">
        <f aca="false">CHOOSE(Premissas!$B$6,Cenários!I29,Cenários!I75,Cenários!I121)</f>
        <v>-0</v>
      </c>
      <c r="J18" s="113" t="n">
        <f aca="false">CHOOSE(Premissas!$B$6,Cenários!J29,Cenários!J75,Cenários!J121)</f>
        <v>-0</v>
      </c>
      <c r="K18" s="113" t="n">
        <f aca="false">CHOOSE(Premissas!$B$6,Cenários!K29,Cenários!K75,Cenários!K121)</f>
        <v>-520.82475</v>
      </c>
      <c r="L18" s="113" t="n">
        <f aca="false">CHOOSE(Premissas!$B$6,Cenários!L29,Cenários!L75,Cenários!L121)</f>
        <v>-1986.71775</v>
      </c>
      <c r="M18" s="113" t="n">
        <f aca="false">CHOOSE(Premissas!$B$6,Cenários!M29,Cenários!M75,Cenários!M121)</f>
        <v>-4296.087</v>
      </c>
      <c r="N18" s="113" t="n">
        <f aca="false">CHOOSE(Premissas!$B$6,Cenários!N29,Cenários!N75,Cenários!N121)</f>
        <v>-9246.44424</v>
      </c>
      <c r="O18" s="113" t="n">
        <f aca="false">CHOOSE(Premissas!$B$6,Cenários!O29,Cenários!O75,Cenários!O121)</f>
        <v>-14971.76934</v>
      </c>
      <c r="P18" s="113" t="n">
        <f aca="false">CHOOSE(Premissas!$B$6,Cenários!P29,Cenários!P75,Cenários!P121)</f>
        <v>-21741.67644</v>
      </c>
      <c r="Q18" s="113" t="n">
        <f aca="false">CHOOSE(Premissas!$B$6,Cenários!Q29,Cenários!Q75,Cenários!Q121)</f>
        <v>-25237.84098</v>
      </c>
      <c r="R18" s="113" t="n">
        <f aca="false">CHOOSE(Premissas!$B$6,Cenários!R29,Cenários!R75,Cenários!R121)</f>
        <v>-28466.59002</v>
      </c>
      <c r="S18" s="113" t="n">
        <f aca="false">CHOOSE(Premissas!$B$6,Cenários!S29,Cenários!S75,Cenários!S121)</f>
        <v>-31452.94086</v>
      </c>
      <c r="T18" s="113" t="n">
        <f aca="false">CHOOSE(Premissas!$B$6,Cenários!T29,Cenários!T75,Cenários!T121)</f>
        <v>-34221.89826</v>
      </c>
      <c r="U18" s="113" t="n">
        <f aca="false">CHOOSE(Premissas!$B$6,Cenários!U29,Cenários!U75,Cenários!U121)</f>
        <v>-36773.39952</v>
      </c>
      <c r="V18" s="113" t="n">
        <f aca="false">CHOOSE(Premissas!$B$6,Cenários!V29,Cenários!V75,Cenários!V121)</f>
        <v>-39137.50302</v>
      </c>
      <c r="W18" s="113" t="n">
        <f aca="false">CHOOSE(Premissas!$B$6,Cenários!W29,Cenários!W75,Cenários!W121)</f>
        <v>-41321.65752</v>
      </c>
      <c r="X18" s="113" t="n">
        <f aca="false">CHOOSE(Premissas!$B$6,Cenários!X29,Cenários!X75,Cenários!X121)</f>
        <v>-43345.8894</v>
      </c>
      <c r="Y18" s="113" t="n">
        <f aca="false">CHOOSE(Premissas!$B$6,Cenários!Y29,Cenários!Y75,Cenários!Y121)</f>
        <v>-45220.19304</v>
      </c>
      <c r="Z18" s="113" t="n">
        <f aca="false">CHOOSE(Premissas!$B$6,Cenários!Z29,Cenários!Z75,Cenários!Z121)</f>
        <v>-55621.0334511562</v>
      </c>
      <c r="AA18" s="113" t="n">
        <f aca="false">CHOOSE(Premissas!$B$6,Cenários!AA29,Cenários!AA75,Cenários!AA121)</f>
        <v>-60295.7058195937</v>
      </c>
      <c r="AB18" s="113" t="n">
        <f aca="false">CHOOSE(Premissas!$B$6,Cenários!AB29,Cenários!AB75,Cenários!AB121)</f>
        <v>-64642.250611125</v>
      </c>
      <c r="AC18" s="113" t="n">
        <f aca="false">CHOOSE(Premissas!$B$6,Cenários!AC29,Cenários!AC75,Cenários!AC121)</f>
        <v>-68677.7935078125</v>
      </c>
      <c r="AD18" s="113" t="n">
        <f aca="false">CHOOSE(Premissas!$B$6,Cenários!AD29,Cenários!AD75,Cenários!AD121)</f>
        <v>-72434.1902439375</v>
      </c>
      <c r="AE18" s="113" t="n">
        <f aca="false">CHOOSE(Premissas!$B$6,Cenários!AE29,Cenários!AE75,Cenários!AE121)</f>
        <v>-75913.848734625</v>
      </c>
      <c r="AF18" s="113" t="n">
        <f aca="false">CHOOSE(Premissas!$B$6,Cenários!AF29,Cenários!AF75,Cenários!AF121)</f>
        <v>-79156.0081681875</v>
      </c>
      <c r="AG18" s="113" t="n">
        <f aca="false">CHOOSE(Premissas!$B$6,Cenários!AG29,Cenários!AG75,Cenários!AG121)</f>
        <v>-82165.5212307187</v>
      </c>
      <c r="AH18" s="113" t="n">
        <f aca="false">CHOOSE(Premissas!$B$6,Cenários!AH29,Cenários!AH75,Cenários!AH121)</f>
        <v>-84974.2682270625</v>
      </c>
      <c r="AI18" s="113" t="n">
        <f aca="false">CHOOSE(Premissas!$B$6,Cenários!AI29,Cenários!AI75,Cenários!AI121)</f>
        <v>-87572.384076375</v>
      </c>
      <c r="AJ18" s="113" t="n">
        <f aca="false">CHOOSE(Premissas!$B$6,Cenários!AJ29,Cenários!AJ75,Cenários!AJ121)</f>
        <v>-89994.2184250312</v>
      </c>
      <c r="AK18" s="113" t="n">
        <f aca="false">CHOOSE(Premissas!$B$6,Cenários!AK29,Cenários!AK75,Cenários!AK121)</f>
        <v>-92234.8203046875</v>
      </c>
      <c r="AL18" s="113" t="n">
        <f aca="false">CHOOSE(Premissas!$B$6,Cenários!AL29,Cenários!AL75,Cenários!AL121)</f>
        <v>-113103.934377212</v>
      </c>
      <c r="AM18" s="113" t="n">
        <f aca="false">CHOOSE(Premissas!$B$6,Cenários!AM29,Cenários!AM75,Cenários!AM121)</f>
        <v>-120332.469065911</v>
      </c>
      <c r="AN18" s="113" t="n">
        <f aca="false">CHOOSE(Premissas!$B$6,Cenários!AN29,Cenários!AN75,Cenários!AN121)</f>
        <v>-127081.897481623</v>
      </c>
      <c r="AO18" s="113" t="n">
        <f aca="false">CHOOSE(Premissas!$B$6,Cenários!AO29,Cenários!AO75,Cenários!AO121)</f>
        <v>-133389.070160856</v>
      </c>
      <c r="AP18" s="113" t="n">
        <f aca="false">CHOOSE(Premissas!$B$6,Cenários!AP29,Cenários!AP75,Cenários!AP121)</f>
        <v>-139276.097425516</v>
      </c>
      <c r="AQ18" s="113" t="n">
        <f aca="false">CHOOSE(Premissas!$B$6,Cenários!AQ29,Cenários!AQ75,Cenários!AQ121)</f>
        <v>-144767.529867149</v>
      </c>
      <c r="AR18" s="113" t="n">
        <f aca="false">CHOOSE(Premissas!$B$6,Cenários!AR29,Cenários!AR75,Cenários!AR121)</f>
        <v>-149897.790077216</v>
      </c>
      <c r="AS18" s="113" t="n">
        <f aca="false">CHOOSE(Premissas!$B$6,Cenários!AS29,Cenários!AS75,Cenários!AS121)</f>
        <v>-154679.128702303</v>
      </c>
      <c r="AT18" s="113" t="n">
        <f aca="false">CHOOSE(Premissas!$B$6,Cenários!AT29,Cenários!AT75,Cenários!AT121)</f>
        <v>-159150.910496124</v>
      </c>
      <c r="AU18" s="113" t="n">
        <f aca="false">CHOOSE(Premissas!$B$6,Cenários!AU29,Cenários!AU75,Cenários!AU121)</f>
        <v>-163325.386105264</v>
      </c>
      <c r="AV18" s="113" t="n">
        <f aca="false">CHOOSE(Premissas!$B$6,Cenários!AV29,Cenários!AV75,Cenários!AV121)</f>
        <v>-167222.225581988</v>
      </c>
      <c r="AW18" s="113" t="n">
        <f aca="false">CHOOSE(Premissas!$B$6,Cenários!AW29,Cenários!AW75,Cenários!AW121)</f>
        <v>-170853.67957288</v>
      </c>
      <c r="AX18" s="113" t="n">
        <f aca="false">CHOOSE(Premissas!$B$6,Cenários!AX29,Cenários!AX75,Cenários!AX121)</f>
        <v>-210325.621789641</v>
      </c>
      <c r="AY18" s="113" t="n">
        <f aca="false">CHOOSE(Premissas!$B$6,Cenários!AY29,Cenários!AY75,Cenários!AY121)</f>
        <v>-222711.52245076</v>
      </c>
      <c r="AZ18" s="113" t="n">
        <f aca="false">CHOOSE(Premissas!$B$6,Cenários!AZ29,Cenários!AZ75,Cenários!AZ121)</f>
        <v>-234328.468634158</v>
      </c>
      <c r="BA18" s="113" t="n">
        <f aca="false">CHOOSE(Premissas!$B$6,Cenários!BA29,Cenários!BA75,Cenários!BA121)</f>
        <v>-245211.382650794</v>
      </c>
      <c r="BB18" s="113" t="n">
        <f aca="false">CHOOSE(Premissas!$B$6,Cenários!BB29,Cenários!BB75,Cenários!BB121)</f>
        <v>-255417.700370291</v>
      </c>
      <c r="BC18" s="113" t="n">
        <f aca="false">CHOOSE(Premissas!$B$6,Cenários!BC29,Cenários!BC75,Cenários!BC121)</f>
        <v>-264984.873435559</v>
      </c>
      <c r="BD18" s="113" t="n">
        <f aca="false">CHOOSE(Premissas!$B$6,Cenários!BD29,Cenários!BD75,Cenários!BD121)</f>
        <v>-273955.349546188</v>
      </c>
      <c r="BE18" s="113" t="n">
        <f aca="false">CHOOSE(Premissas!$B$6,Cenários!BE29,Cenários!BE75,Cenários!BE121)</f>
        <v>-282369.084634151</v>
      </c>
      <c r="BF18" s="113" t="n">
        <f aca="false">CHOOSE(Premissas!$B$6,Cenários!BF29,Cenários!BF75,Cenários!BF121)</f>
        <v>-290248.504607993</v>
      </c>
      <c r="BG18" s="113" t="n">
        <f aca="false">CHOOSE(Premissas!$B$6,Cenários!BG29,Cenários!BG75,Cenários!BG121)</f>
        <v>-297641.103309761</v>
      </c>
      <c r="BH18" s="113" t="n">
        <f aca="false">CHOOSE(Premissas!$B$6,Cenários!BH29,Cenários!BH75,Cenários!BH121)</f>
        <v>-304571.81093706</v>
      </c>
      <c r="BI18" s="113" t="n">
        <f aca="false">CHOOSE(Premissas!$B$6,Cenários!BI29,Cenários!BI75,Cenários!BI121)</f>
        <v>-311073.108119017</v>
      </c>
      <c r="BJ18" s="111" t="n">
        <f aca="false">SUM(B18:BI18)</f>
        <v>-6227542.12433972</v>
      </c>
      <c r="BK18" s="142" t="s">
        <v>425</v>
      </c>
    </row>
    <row r="19" customFormat="false" ht="15" hidden="false" customHeight="false" outlineLevel="0" collapsed="false">
      <c r="A19" s="112" t="s">
        <v>426</v>
      </c>
      <c r="B19" s="113" t="n">
        <f aca="false">CHOOSE(Premissas!$B$6,Cenários!B30,Cenários!B76,Cenários!B122)</f>
        <v>-0</v>
      </c>
      <c r="C19" s="113" t="n">
        <f aca="false">CHOOSE(Premissas!$B$6,Cenários!C30,Cenários!C76,Cenários!C122)</f>
        <v>-0</v>
      </c>
      <c r="D19" s="113" t="n">
        <f aca="false">CHOOSE(Premissas!$B$6,Cenários!D30,Cenários!D76,Cenários!D122)</f>
        <v>-0</v>
      </c>
      <c r="E19" s="113" t="n">
        <f aca="false">CHOOSE(Premissas!$B$6,Cenários!E30,Cenários!E76,Cenários!E122)</f>
        <v>-0</v>
      </c>
      <c r="F19" s="113" t="n">
        <f aca="false">CHOOSE(Premissas!$B$6,Cenários!F30,Cenários!F76,Cenários!F122)</f>
        <v>-0</v>
      </c>
      <c r="G19" s="113" t="n">
        <f aca="false">CHOOSE(Premissas!$B$6,Cenários!G30,Cenários!G76,Cenários!G122)</f>
        <v>-0</v>
      </c>
      <c r="H19" s="113" t="n">
        <f aca="false">CHOOSE(Premissas!$B$6,Cenários!H30,Cenários!H76,Cenários!H122)</f>
        <v>-0</v>
      </c>
      <c r="I19" s="113" t="n">
        <f aca="false">CHOOSE(Premissas!$B$6,Cenários!I30,Cenários!I76,Cenários!I122)</f>
        <v>-0</v>
      </c>
      <c r="J19" s="113" t="n">
        <f aca="false">CHOOSE(Premissas!$B$6,Cenários!J30,Cenários!J76,Cenários!J122)</f>
        <v>-0</v>
      </c>
      <c r="K19" s="113" t="n">
        <f aca="false">CHOOSE(Premissas!$B$6,Cenários!K30,Cenários!K76,Cenários!K122)</f>
        <v>-27.573075</v>
      </c>
      <c r="L19" s="113" t="n">
        <f aca="false">CHOOSE(Premissas!$B$6,Cenários!L30,Cenários!L76,Cenários!L122)</f>
        <v>-105.179175</v>
      </c>
      <c r="M19" s="113" t="n">
        <f aca="false">CHOOSE(Premissas!$B$6,Cenários!M30,Cenários!M76,Cenários!M122)</f>
        <v>-227.4399</v>
      </c>
      <c r="N19" s="113" t="n">
        <f aca="false">CHOOSE(Premissas!$B$6,Cenários!N30,Cenários!N76,Cenários!N122)</f>
        <v>-867.0241519056</v>
      </c>
      <c r="O19" s="113" t="n">
        <f aca="false">CHOOSE(Premissas!$B$6,Cenários!O30,Cenários!O76,Cenários!O122)</f>
        <v>-1347.5151386959</v>
      </c>
      <c r="P19" s="113" t="n">
        <f aca="false">CHOOSE(Premissas!$B$6,Cenários!P30,Cenários!P76,Cenários!P122)</f>
        <v>-1902.50768684357</v>
      </c>
      <c r="Q19" s="113" t="n">
        <f aca="false">CHOOSE(Premissas!$B$6,Cenários!Q30,Cenários!Q76,Cenários!Q122)</f>
        <v>-2208.41637941453</v>
      </c>
      <c r="R19" s="113" t="n">
        <f aca="false">CHOOSE(Premissas!$B$6,Cenários!R30,Cenários!R76,Cenários!R122)</f>
        <v>-2490.98294380976</v>
      </c>
      <c r="S19" s="113" t="n">
        <f aca="false">CHOOSE(Premissas!$B$6,Cenários!S30,Cenários!S76,Cenários!S122)</f>
        <v>-2752.33078214806</v>
      </c>
      <c r="T19" s="113" t="n">
        <f aca="false">CHOOSE(Premissas!$B$6,Cenários!T30,Cenários!T76,Cenários!T122)</f>
        <v>-2994.56377378093</v>
      </c>
      <c r="U19" s="113" t="n">
        <f aca="false">CHOOSE(Premissas!$B$6,Cenários!U30,Cenários!U76,Cenários!U122)</f>
        <v>-3217.888553679</v>
      </c>
      <c r="V19" s="113" t="n">
        <f aca="false">CHOOSE(Premissas!$B$6,Cenários!V30,Cenários!V76,Cenários!V122)</f>
        <v>-3424.75494523514</v>
      </c>
      <c r="W19" s="113" t="n">
        <f aca="false">CHOOSE(Premissas!$B$6,Cenários!W30,Cenários!W76,Cenários!W122)</f>
        <v>-3615.90235288626</v>
      </c>
      <c r="X19" s="113" t="n">
        <f aca="false">CHOOSE(Premissas!$B$6,Cenários!X30,Cenários!X76,Cenários!X122)</f>
        <v>-3792.99991036201</v>
      </c>
      <c r="Y19" s="113" t="n">
        <f aca="false">CHOOSE(Premissas!$B$6,Cenários!Y30,Cenários!Y76,Cenários!Y122)</f>
        <v>-3956.95178131879</v>
      </c>
      <c r="Z19" s="113" t="n">
        <f aca="false">CHOOSE(Premissas!$B$6,Cenários!Z30,Cenários!Z76,Cenários!Z122)</f>
        <v>-6598.23748465194</v>
      </c>
      <c r="AA19" s="113" t="n">
        <f aca="false">CHOOSE(Premissas!$B$6,Cenários!AA30,Cenários!AA76,Cenários!AA122)</f>
        <v>-7152.81715894015</v>
      </c>
      <c r="AB19" s="113" t="n">
        <f aca="false">CHOOSE(Premissas!$B$6,Cenários!AB30,Cenários!AB76,Cenários!AB122)</f>
        <v>-7668.42627155966</v>
      </c>
      <c r="AC19" s="113" t="n">
        <f aca="false">CHOOSE(Premissas!$B$6,Cenários!AC30,Cenários!AC76,Cenários!AC122)</f>
        <v>-8147.21267356432</v>
      </c>
      <c r="AD19" s="113" t="n">
        <f aca="false">CHOOSE(Premissas!$B$6,Cenários!AD30,Cenários!AD76,Cenários!AD122)</f>
        <v>-8592.76645195593</v>
      </c>
      <c r="AE19" s="113" t="n">
        <f aca="false">CHOOSE(Premissas!$B$6,Cenários!AE30,Cenários!AE76,Cenários!AE122)</f>
        <v>-9005.70431756516</v>
      </c>
      <c r="AF19" s="113" t="n">
        <f aca="false">CHOOSE(Premissas!$B$6,Cenários!AF30,Cenários!AF76,Cenários!AF122)</f>
        <v>-9390.29953555668</v>
      </c>
      <c r="AG19" s="113" t="n">
        <f aca="false">CHOOSE(Premissas!$B$6,Cenários!AG30,Cenários!AG76,Cenários!AG122)</f>
        <v>-9747.36202627966</v>
      </c>
      <c r="AH19" s="113" t="n">
        <f aca="false">CHOOSE(Premissas!$B$6,Cenários!AH30,Cenários!AH76,Cenários!AH122)</f>
        <v>-10080.3815229761</v>
      </c>
      <c r="AI19" s="113" t="n">
        <f aca="false">CHOOSE(Premissas!$B$6,Cenários!AI30,Cenários!AI76,Cenários!AI122)</f>
        <v>-10388.6518935547</v>
      </c>
      <c r="AJ19" s="113" t="n">
        <f aca="false">CHOOSE(Premissas!$B$6,Cenários!AJ30,Cenários!AJ76,Cenários!AJ122)</f>
        <v>-10675.8686594278</v>
      </c>
      <c r="AK19" s="113" t="n">
        <f aca="false">CHOOSE(Premissas!$B$6,Cenários!AK30,Cenários!AK76,Cenários!AK122)</f>
        <v>-10941.7788622986</v>
      </c>
      <c r="AL19" s="113" t="n">
        <f aca="false">CHOOSE(Premissas!$B$6,Cenários!AL30,Cenários!AL76,Cenários!AL122)</f>
        <v>-16146.9048900641</v>
      </c>
      <c r="AM19" s="113" t="n">
        <f aca="false">CHOOSE(Premissas!$B$6,Cenários!AM30,Cenários!AM76,Cenários!AM122)</f>
        <v>-17178.9712891361</v>
      </c>
      <c r="AN19" s="113" t="n">
        <f aca="false">CHOOSE(Premissas!$B$6,Cenários!AN30,Cenários!AN76,Cenários!AN122)</f>
        <v>-18142.6009783738</v>
      </c>
      <c r="AO19" s="113" t="n">
        <f aca="false">CHOOSE(Premissas!$B$6,Cenários!AO30,Cenários!AO76,Cenários!AO122)</f>
        <v>-19042.9264938895</v>
      </c>
      <c r="AP19" s="113" t="n">
        <f aca="false">CHOOSE(Premissas!$B$6,Cenários!AP30,Cenários!AP76,Cenários!AP122)</f>
        <v>-19883.3053095843</v>
      </c>
      <c r="AQ19" s="113" t="n">
        <f aca="false">CHOOSE(Premissas!$B$6,Cenários!AQ30,Cenários!AQ76,Cenários!AQ122)</f>
        <v>-20667.3279061657</v>
      </c>
      <c r="AR19" s="113" t="n">
        <f aca="false">CHOOSE(Premissas!$B$6,Cenários!AR30,Cenários!AR76,Cenários!AR122)</f>
        <v>-21399.6882410647</v>
      </c>
      <c r="AS19" s="113" t="n">
        <f aca="false">CHOOSE(Premissas!$B$6,Cenários!AS30,Cenários!AS76,Cenários!AS122)</f>
        <v>-22082.4484947027</v>
      </c>
      <c r="AT19" s="113" t="n">
        <f aca="false">CHOOSE(Premissas!$B$6,Cenários!AT30,Cenários!AT76,Cenários!AT122)</f>
        <v>-22720.7921033246</v>
      </c>
      <c r="AU19" s="113" t="n">
        <f aca="false">CHOOSE(Premissas!$B$6,Cenários!AU30,Cenários!AU76,Cenários!AU122)</f>
        <v>-23316.6999285293</v>
      </c>
      <c r="AV19" s="113" t="n">
        <f aca="false">CHOOSE(Premissas!$B$6,Cenários!AV30,Cenários!AV76,Cenários!AV122)</f>
        <v>-23872.9817759387</v>
      </c>
      <c r="AW19" s="113" t="n">
        <f aca="false">CHOOSE(Premissas!$B$6,Cenários!AW30,Cenários!AW76,Cenários!AW122)</f>
        <v>-24391.5476360312</v>
      </c>
      <c r="AX19" s="113" t="n">
        <f aca="false">CHOOSE(Premissas!$B$6,Cenários!AX30,Cenários!AX76,Cenários!AX122)</f>
        <v>-32988.6285289016</v>
      </c>
      <c r="AY19" s="113" t="n">
        <f aca="false">CHOOSE(Premissas!$B$6,Cenários!AY30,Cenários!AY76,Cenários!AY122)</f>
        <v>-34931.2632506913</v>
      </c>
      <c r="AZ19" s="113" t="n">
        <f aca="false">CHOOSE(Premissas!$B$6,Cenários!AZ30,Cenários!AZ76,Cenários!AZ122)</f>
        <v>-36753.1613211508</v>
      </c>
      <c r="BA19" s="113" t="n">
        <f aca="false">CHOOSE(Premissas!$B$6,Cenários!BA30,Cenários!BA76,Cenários!BA122)</f>
        <v>-38460.178817253</v>
      </c>
      <c r="BB19" s="113" t="n">
        <f aca="false">CHOOSE(Premissas!$B$6,Cenários!BB30,Cenários!BB76,Cenários!BB122)</f>
        <v>-40060.9810920285</v>
      </c>
      <c r="BC19" s="113" t="n">
        <f aca="false">CHOOSE(Premissas!$B$6,Cenários!BC30,Cenários!BC76,Cenários!BC122)</f>
        <v>-41561.5841029411</v>
      </c>
      <c r="BD19" s="113" t="n">
        <f aca="false">CHOOSE(Premissas!$B$6,Cenários!BD30,Cenários!BD76,Cenários!BD122)</f>
        <v>-42968.5711590888</v>
      </c>
      <c r="BE19" s="113" t="n">
        <f aca="false">CHOOSE(Premissas!$B$6,Cenários!BE30,Cenários!BE76,Cenários!BE122)</f>
        <v>-44288.1348853387</v>
      </c>
      <c r="BF19" s="113" t="n">
        <f aca="false">CHOOSE(Premissas!$B$6,Cenários!BF30,Cenários!BF76,Cenários!BF122)</f>
        <v>-45524.1481241068</v>
      </c>
      <c r="BG19" s="113" t="n">
        <f aca="false">CHOOSE(Premissas!$B$6,Cenários!BG30,Cenários!BG76,Cenários!BG122)</f>
        <v>-46683.6449330366</v>
      </c>
      <c r="BH19" s="113" t="n">
        <f aca="false">CHOOSE(Premissas!$B$6,Cenários!BH30,Cenários!BH76,Cenários!BH122)</f>
        <v>-47770.7003852996</v>
      </c>
      <c r="BI19" s="113" t="n">
        <f aca="false">CHOOSE(Premissas!$B$6,Cenários!BI30,Cenários!BI76,Cenários!BI122)</f>
        <v>-48790.3059985689</v>
      </c>
      <c r="BJ19" s="111" t="n">
        <f aca="false">SUM(B19:BI19)</f>
        <v>-890949.035053621</v>
      </c>
      <c r="BK19" s="141" t="n">
        <f aca="false">IFERROR(BJ19/BJ$14,0)</f>
        <v>-0.0145304932488872</v>
      </c>
    </row>
    <row r="20" customFormat="false" ht="15" hidden="false" customHeight="false" outlineLevel="0" collapsed="false">
      <c r="A20" s="51" t="s">
        <v>427</v>
      </c>
      <c r="B20" s="111" t="n">
        <f aca="false">B14+SUM(B17:B19)</f>
        <v>0</v>
      </c>
      <c r="C20" s="111" t="n">
        <f aca="false">C14+SUM(C17:C19)</f>
        <v>0</v>
      </c>
      <c r="D20" s="111" t="n">
        <f aca="false">D14+SUM(D17:D19)</f>
        <v>0</v>
      </c>
      <c r="E20" s="111" t="n">
        <f aca="false">E14+SUM(E17:E19)</f>
        <v>0</v>
      </c>
      <c r="F20" s="111" t="n">
        <f aca="false">F14+SUM(F17:F19)</f>
        <v>0</v>
      </c>
      <c r="G20" s="111" t="n">
        <f aca="false">G14+SUM(G17:G19)</f>
        <v>0</v>
      </c>
      <c r="H20" s="111" t="n">
        <f aca="false">H14+SUM(H17:H19)</f>
        <v>0</v>
      </c>
      <c r="I20" s="111" t="n">
        <f aca="false">I14+SUM(I17:I19)</f>
        <v>0</v>
      </c>
      <c r="J20" s="111" t="n">
        <f aca="false">J14+SUM(J17:J19)</f>
        <v>0</v>
      </c>
      <c r="K20" s="111" t="n">
        <f aca="false">K14+SUM(K17:K19)</f>
        <v>2903.342675</v>
      </c>
      <c r="L20" s="111" t="n">
        <f aca="false">L14+SUM(L17:L19)</f>
        <v>11074.977575</v>
      </c>
      <c r="M20" s="111" t="n">
        <f aca="false">M14+SUM(M17:M19)</f>
        <v>23948.5791</v>
      </c>
      <c r="N20" s="111" t="n">
        <f aca="false">N14+SUM(N17:N19)</f>
        <v>58255.621012544</v>
      </c>
      <c r="O20" s="111" t="n">
        <f aca="false">O14+SUM(O17:O19)</f>
        <v>93325.0226299271</v>
      </c>
      <c r="P20" s="111" t="n">
        <f aca="false">P14+SUM(P17:P19)</f>
        <v>133069.17851733</v>
      </c>
      <c r="Q20" s="111" t="n">
        <f aca="false">Q14+SUM(Q17:Q19)</f>
        <v>152270.903099032</v>
      </c>
      <c r="R20" s="111" t="n">
        <f aca="false">R14+SUM(R17:R19)</f>
        <v>170003.847560381</v>
      </c>
      <c r="S20" s="111" t="n">
        <f aca="false">S14+SUM(S17:S19)</f>
        <v>186188.734205256</v>
      </c>
      <c r="T20" s="111" t="n">
        <f aca="false">T14+SUM(T17:T19)</f>
        <v>201317.650706938</v>
      </c>
      <c r="U20" s="111" t="n">
        <f aca="false">U14+SUM(U17:U19)</f>
        <v>215417.702546083</v>
      </c>
      <c r="V20" s="111" t="n">
        <f aca="false">V14+SUM(V17:V19)</f>
        <v>228579.502953368</v>
      </c>
      <c r="W20" s="111" t="n">
        <f aca="false">W14+SUM(W17:W19)</f>
        <v>239412.321809332</v>
      </c>
      <c r="X20" s="111" t="n">
        <f aca="false">X14+SUM(X17:X19)</f>
        <v>249601.413798857</v>
      </c>
      <c r="Y20" s="111" t="n">
        <f aca="false">Y14+SUM(Y17:Y19)</f>
        <v>259168.637548779</v>
      </c>
      <c r="Z20" s="111" t="n">
        <f aca="false">Z14+SUM(Z17:Z19)</f>
        <v>346252.727841868</v>
      </c>
      <c r="AA20" s="111" t="n">
        <f aca="false">AA14+SUM(AA17:AA19)</f>
        <v>405730.449495876</v>
      </c>
      <c r="AB20" s="111" t="n">
        <f aca="false">AB14+SUM(AB17:AB19)</f>
        <v>425503.215989989</v>
      </c>
      <c r="AC20" s="111" t="n">
        <f aca="false">AC14+SUM(AC17:AC19)</f>
        <v>444223.459945154</v>
      </c>
      <c r="AD20" s="111" t="n">
        <f aca="false">AD14+SUM(AD17:AD19)</f>
        <v>482779.12738149</v>
      </c>
      <c r="AE20" s="111" t="n">
        <f aca="false">AE14+SUM(AE17:AE19)</f>
        <v>505973.957467476</v>
      </c>
      <c r="AF20" s="111" t="n">
        <f aca="false">AF14+SUM(AF17:AF19)</f>
        <v>527582.875222856</v>
      </c>
      <c r="AG20" s="111" t="n">
        <f aca="false">AG14+SUM(AG17:AG19)</f>
        <v>547642.345443244</v>
      </c>
      <c r="AH20" s="111" t="n">
        <f aca="false">AH14+SUM(AH17:AH19)</f>
        <v>566359.712204385</v>
      </c>
      <c r="AI20" s="111" t="n">
        <f aca="false">AI14+SUM(AI17:AI19)</f>
        <v>583677.389948916</v>
      </c>
      <c r="AJ20" s="111" t="n">
        <f aca="false">AJ14+SUM(AJ17:AJ19)</f>
        <v>599817.647897992</v>
      </c>
      <c r="AK20" s="111" t="n">
        <f aca="false">AK14+SUM(AK17:AK19)</f>
        <v>614753.3701389</v>
      </c>
      <c r="AL20" s="111" t="n">
        <f aca="false">AL14+SUM(AL17:AL19)</f>
        <v>801867.691611404</v>
      </c>
      <c r="AM20" s="111" t="n">
        <f aca="false">AM14+SUM(AM17:AM19)</f>
        <v>853117.411597273</v>
      </c>
      <c r="AN20" s="111" t="n">
        <f aca="false">AN14+SUM(AN17:AN19)</f>
        <v>900969.753217058</v>
      </c>
      <c r="AO20" s="111" t="n">
        <f aca="false">AO14+SUM(AO17:AO19)</f>
        <v>945683.716645561</v>
      </c>
      <c r="AP20" s="111" t="n">
        <f aca="false">AP14+SUM(AP17:AP19)</f>
        <v>987419.592093963</v>
      </c>
      <c r="AQ20" s="111" t="n">
        <f aca="false">AQ14+SUM(AQ17:AQ19)</f>
        <v>1026352.94069428</v>
      </c>
      <c r="AR20" s="111" t="n">
        <f aca="false">AR14+SUM(AR17:AR19)</f>
        <v>1062723.93142796</v>
      </c>
      <c r="AS20" s="111" t="n">
        <f aca="false">AS14+SUM(AS17:AS19)</f>
        <v>1096624.92838261</v>
      </c>
      <c r="AT20" s="111" t="n">
        <f aca="false">AT14+SUM(AT17:AT19)</f>
        <v>1128327.33732241</v>
      </c>
      <c r="AU20" s="111" t="n">
        <f aca="false">AU14+SUM(AU17:AU19)</f>
        <v>1157922.09166583</v>
      </c>
      <c r="AV20" s="111" t="n">
        <f aca="false">AV14+SUM(AV17:AV19)</f>
        <v>1185548.67475902</v>
      </c>
      <c r="AW20" s="111" t="n">
        <f aca="false">AW14+SUM(AW17:AW19)</f>
        <v>1211296.77316122</v>
      </c>
      <c r="AX20" s="111" t="n">
        <f aca="false">AX14+SUM(AX17:AX19)</f>
        <v>1543250.63447145</v>
      </c>
      <c r="AY20" s="111" t="n">
        <f aca="false">AY14+SUM(AY17:AY19)</f>
        <v>1634130.70790341</v>
      </c>
      <c r="AZ20" s="111" t="n">
        <f aca="false">AZ14+SUM(AZ17:AZ19)</f>
        <v>1719366.34758396</v>
      </c>
      <c r="BA20" s="111" t="n">
        <f aca="false">BA14+SUM(BA17:BA19)</f>
        <v>1799220.45576687</v>
      </c>
      <c r="BB20" s="111" t="n">
        <f aca="false">BB14+SUM(BB17:BB19)</f>
        <v>1874108.42630761</v>
      </c>
      <c r="BC20" s="111" t="n">
        <f aca="false">BC14+SUM(BC17:BC19)</f>
        <v>1944307.5535724</v>
      </c>
      <c r="BD20" s="111" t="n">
        <f aca="false">BD14+SUM(BD17:BD19)</f>
        <v>2010127.98548135</v>
      </c>
      <c r="BE20" s="111" t="n">
        <f aca="false">BE14+SUM(BE17:BE19)</f>
        <v>2071861.58920454</v>
      </c>
      <c r="BF20" s="111" t="n">
        <f aca="false">BF14+SUM(BF17:BF19)</f>
        <v>2129679.16675884</v>
      </c>
      <c r="BG20" s="111" t="n">
        <f aca="false">BG14+SUM(BG17:BG19)</f>
        <v>2183921.89747398</v>
      </c>
      <c r="BH20" s="111" t="n">
        <f aca="false">BH14+SUM(BH17:BH19)</f>
        <v>2234775.60591523</v>
      </c>
      <c r="BI20" s="111" t="n">
        <f aca="false">BI14+SUM(BI17:BI19)</f>
        <v>2282476.80583701</v>
      </c>
      <c r="BJ20" s="111" t="n">
        <f aca="false">SUM(B20:BI20)</f>
        <v>44059915.7335712</v>
      </c>
      <c r="BK20" s="141" t="n">
        <f aca="false">IFERROR(BJ20/BJ$14,0)</f>
        <v>0.718573434533958</v>
      </c>
    </row>
    <row r="22" customFormat="false" ht="18" hidden="false" customHeight="true" outlineLevel="0" collapsed="false">
      <c r="A22" s="25" t="s">
        <v>428</v>
      </c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</row>
    <row r="23" customFormat="false" ht="15" hidden="false" customHeight="false" outlineLevel="0" collapsed="false">
      <c r="A23" s="112" t="s">
        <v>429</v>
      </c>
      <c r="B23" s="113" t="n">
        <f aca="false">CHOOSE(Premissas!$B$6,Cenários!B32,Cenários!B78,Cenários!B124)</f>
        <v>-0</v>
      </c>
      <c r="C23" s="113" t="n">
        <f aca="false">CHOOSE(Premissas!$B$6,Cenários!C32,Cenários!C78,Cenários!C124)</f>
        <v>-0</v>
      </c>
      <c r="D23" s="113" t="n">
        <f aca="false">CHOOSE(Premissas!$B$6,Cenários!D32,Cenários!D78,Cenários!D124)</f>
        <v>-0</v>
      </c>
      <c r="E23" s="113" t="n">
        <f aca="false">CHOOSE(Premissas!$B$6,Cenários!E32,Cenários!E78,Cenários!E124)</f>
        <v>-0</v>
      </c>
      <c r="F23" s="113" t="n">
        <f aca="false">CHOOSE(Premissas!$B$6,Cenários!F32,Cenários!F78,Cenários!F124)</f>
        <v>-600</v>
      </c>
      <c r="G23" s="113" t="n">
        <f aca="false">CHOOSE(Premissas!$B$6,Cenários!G32,Cenários!G78,Cenários!G124)</f>
        <v>-600</v>
      </c>
      <c r="H23" s="113" t="n">
        <f aca="false">CHOOSE(Premissas!$B$6,Cenários!H32,Cenários!H78,Cenários!H124)</f>
        <v>-600</v>
      </c>
      <c r="I23" s="113" t="n">
        <f aca="false">CHOOSE(Premissas!$B$6,Cenários!I32,Cenários!I78,Cenários!I124)</f>
        <v>-600</v>
      </c>
      <c r="J23" s="113" t="n">
        <f aca="false">CHOOSE(Premissas!$B$6,Cenários!J32,Cenários!J78,Cenários!J124)</f>
        <v>-600</v>
      </c>
      <c r="K23" s="113" t="n">
        <f aca="false">CHOOSE(Premissas!$B$6,Cenários!K32,Cenários!K78,Cenários!K124)</f>
        <v>-1185.48</v>
      </c>
      <c r="L23" s="113" t="n">
        <f aca="false">CHOOSE(Premissas!$B$6,Cenários!L32,Cenários!L78,Cenários!L124)</f>
        <v>-2151.96</v>
      </c>
      <c r="M23" s="113" t="n">
        <f aca="false">CHOOSE(Premissas!$B$6,Cenários!M32,Cenários!M78,Cenários!M124)</f>
        <v>-3454.3968</v>
      </c>
      <c r="N23" s="113" t="n">
        <f aca="false">CHOOSE(Premissas!$B$6,Cenários!N32,Cenários!N78,Cenários!N124)</f>
        <v>-7485.64875264</v>
      </c>
      <c r="O23" s="113" t="n">
        <f aca="false">CHOOSE(Premissas!$B$6,Cenários!O32,Cenários!O78,Cenários!O124)</f>
        <v>-10092.7202704415</v>
      </c>
      <c r="P23" s="113" t="n">
        <f aca="false">CHOOSE(Premissas!$B$6,Cenários!P32,Cenários!P78,Cenários!P124)</f>
        <v>-13066.2661701043</v>
      </c>
      <c r="Q23" s="113" t="n">
        <f aca="false">CHOOSE(Premissas!$B$6,Cenários!Q32,Cenários!Q78,Cenários!Q124)</f>
        <v>-14764.8523781124</v>
      </c>
      <c r="R23" s="113" t="n">
        <f aca="false">CHOOSE(Premissas!$B$6,Cenários!R32,Cenários!R78,Cenários!R124)</f>
        <v>-16335.8708872784</v>
      </c>
      <c r="S23" s="113" t="n">
        <f aca="false">CHOOSE(Premissas!$B$6,Cenários!S32,Cenários!S78,Cenários!S124)</f>
        <v>-17788.063588555</v>
      </c>
      <c r="T23" s="113" t="n">
        <f aca="false">CHOOSE(Premissas!$B$6,Cenários!T32,Cenários!T78,Cenários!T124)</f>
        <v>-19131.3450626957</v>
      </c>
      <c r="U23" s="113" t="n">
        <f aca="false">CHOOSE(Premissas!$B$6,Cenários!U32,Cenários!U78,Cenários!U124)</f>
        <v>-20374.154409981</v>
      </c>
      <c r="V23" s="113" t="n">
        <f aca="false">CHOOSE(Premissas!$B$6,Cenários!V32,Cenários!V78,Cenários!V124)</f>
        <v>-21522.1361903504</v>
      </c>
      <c r="W23" s="113" t="n">
        <f aca="false">CHOOSE(Premissas!$B$6,Cenários!W32,Cenários!W78,Cenários!W124)</f>
        <v>-22584.8005408361</v>
      </c>
      <c r="X23" s="113" t="n">
        <f aca="false">CHOOSE(Premissas!$B$6,Cenários!X32,Cenários!X78,Cenários!X124)</f>
        <v>-23567.5525321652</v>
      </c>
      <c r="Y23" s="113" t="n">
        <f aca="false">CHOOSE(Premissas!$B$6,Cenários!Y32,Cenários!Y78,Cenários!Y124)</f>
        <v>-24475.6908217464</v>
      </c>
      <c r="Z23" s="113" t="n">
        <f aca="false">CHOOSE(Premissas!$B$6,Cenários!Z32,Cenários!Z78,Cenários!Z124)</f>
        <v>-30109.4172093089</v>
      </c>
      <c r="AA23" s="113" t="n">
        <f aca="false">CHOOSE(Premissas!$B$6,Cenários!AA32,Cenários!AA78,Cenários!AA124)</f>
        <v>-31967.9254947693</v>
      </c>
      <c r="AB23" s="113" t="n">
        <f aca="false">CHOOSE(Premissas!$B$6,Cenários!AB32,Cenários!AB78,Cenários!AB124)</f>
        <v>-33695.271819187</v>
      </c>
      <c r="AC23" s="113" t="n">
        <f aca="false">CHOOSE(Premissas!$B$6,Cenários!AC32,Cenários!AC78,Cenários!AC124)</f>
        <v>-35300.2380470083</v>
      </c>
      <c r="AD23" s="113" t="n">
        <f aca="false">CHOOSE(Premissas!$B$6,Cenários!AD32,Cenários!AD78,Cenários!AD124)</f>
        <v>-36792.5973831414</v>
      </c>
      <c r="AE23" s="113" t="n">
        <f aca="false">CHOOSE(Premissas!$B$6,Cenários!AE32,Cenários!AE78,Cenários!AE124)</f>
        <v>-38178.5963158979</v>
      </c>
      <c r="AF23" s="113" t="n">
        <f aca="false">CHOOSE(Premissas!$B$6,Cenários!AF32,Cenários!AF78,Cenários!AF124)</f>
        <v>-39466.6238570877</v>
      </c>
      <c r="AG23" s="113" t="n">
        <f aca="false">CHOOSE(Premissas!$B$6,Cenários!AG32,Cenários!AG78,Cenários!AG124)</f>
        <v>-40663.8241289499</v>
      </c>
      <c r="AH23" s="113" t="n">
        <f aca="false">CHOOSE(Premissas!$B$6,Cenários!AH32,Cenários!AH78,Cenários!AH124)</f>
        <v>-41777.2363440907</v>
      </c>
      <c r="AI23" s="113" t="n">
        <f aca="false">CHOOSE(Premissas!$B$6,Cenários!AI32,Cenários!AI78,Cenários!AI124)</f>
        <v>-42811.5382213356</v>
      </c>
      <c r="AJ23" s="113" t="n">
        <f aca="false">CHOOSE(Premissas!$B$6,Cenários!AJ32,Cenários!AJ78,Cenários!AJ124)</f>
        <v>-43772.4488773698</v>
      </c>
      <c r="AK23" s="113" t="n">
        <f aca="false">CHOOSE(Premissas!$B$6,Cenários!AK32,Cenários!AK78,Cenários!AK124)</f>
        <v>-44664.4712312223</v>
      </c>
      <c r="AL23" s="113" t="n">
        <f aca="false">CHOOSE(Premissas!$B$6,Cenários!AL32,Cenários!AL78,Cenários!AL124)</f>
        <v>-54092.6320937844</v>
      </c>
      <c r="AM23" s="113" t="n">
        <f aca="false">CHOOSE(Premissas!$B$6,Cenários!AM32,Cenários!AM78,Cenários!AM124)</f>
        <v>-56400.7017415393</v>
      </c>
      <c r="AN23" s="113" t="n">
        <f aca="false">CHOOSE(Premissas!$B$6,Cenários!AN32,Cenários!AN78,Cenários!AN124)</f>
        <v>-58554.8019178997</v>
      </c>
      <c r="AO23" s="113" t="n">
        <f aca="false">CHOOSE(Premissas!$B$6,Cenários!AO32,Cenários!AO78,Cenários!AO124)</f>
        <v>-60566.7666868007</v>
      </c>
      <c r="AP23" s="113" t="n">
        <f aca="false">CHOOSE(Premissas!$B$6,Cenários!AP32,Cenários!AP78,Cenários!AP124)</f>
        <v>-62444.3582776368</v>
      </c>
      <c r="AQ23" s="113" t="n">
        <f aca="false">CHOOSE(Premissas!$B$6,Cenários!AQ32,Cenários!AQ78,Cenários!AQ124)</f>
        <v>-64197.1858452342</v>
      </c>
      <c r="AR23" s="113" t="n">
        <f aca="false">CHOOSE(Premissas!$B$6,Cenários!AR32,Cenários!AR78,Cenários!AR124)</f>
        <v>-65833.7586477527</v>
      </c>
      <c r="AS23" s="113" t="n">
        <f aca="false">CHOOSE(Premissas!$B$6,Cenários!AS32,Cenários!AS78,Cenários!AS124)</f>
        <v>-67361.4936811923</v>
      </c>
      <c r="AT23" s="113" t="n">
        <f aca="false">CHOOSE(Premissas!$B$6,Cenários!AT32,Cenários!AT78,Cenários!AT124)</f>
        <v>-68787.7078066116</v>
      </c>
      <c r="AU23" s="113" t="n">
        <f aca="false">CHOOSE(Premissas!$B$6,Cenários!AU32,Cenários!AU78,Cenários!AU124)</f>
        <v>-70119.6244037662</v>
      </c>
      <c r="AV23" s="113" t="n">
        <f aca="false">CHOOSE(Premissas!$B$6,Cenários!AV32,Cenários!AV78,Cenários!AV124)</f>
        <v>-71362.4095826352</v>
      </c>
      <c r="AW23" s="113" t="n">
        <f aca="false">CHOOSE(Premissas!$B$6,Cenários!AW32,Cenários!AW78,Cenários!AW124)</f>
        <v>-72523.1179822109</v>
      </c>
      <c r="AX23" s="113" t="n">
        <f aca="false">CHOOSE(Premissas!$B$6,Cenários!AX32,Cenários!AX78,Cenários!AX124)</f>
        <v>-86787.8473718731</v>
      </c>
      <c r="AY23" s="113" t="n">
        <f aca="false">CHOOSE(Premissas!$B$6,Cenários!AY32,Cenários!AY78,Cenários!AY124)</f>
        <v>-90131.9471902462</v>
      </c>
      <c r="AZ23" s="113" t="n">
        <f aca="false">CHOOSE(Premissas!$B$6,Cenários!AZ32,Cenários!AZ78,Cenários!AZ124)</f>
        <v>-93267.1228169561</v>
      </c>
      <c r="BA23" s="113" t="n">
        <f aca="false">CHOOSE(Premissas!$B$6,Cenários!BA32,Cenários!BA78,Cenários!BA124)</f>
        <v>-96205.7112816479</v>
      </c>
      <c r="BB23" s="113" t="n">
        <f aca="false">CHOOSE(Premissas!$B$6,Cenários!BB32,Cenários!BB78,Cenários!BB124)</f>
        <v>-98961.6570914118</v>
      </c>
      <c r="BC23" s="113" t="n">
        <f aca="false">CHOOSE(Premissas!$B$6,Cenários!BC32,Cenários!BC78,Cenários!BC124)</f>
        <v>-101545.212381928</v>
      </c>
      <c r="BD23" s="113" t="n">
        <f aca="false">CHOOSE(Premissas!$B$6,Cenários!BD32,Cenários!BD78,Cenários!BD124)</f>
        <v>-103967.371434572</v>
      </c>
      <c r="BE23" s="113" t="n">
        <f aca="false">CHOOSE(Premissas!$B$6,Cenários!BE32,Cenários!BE78,Cenários!BE124)</f>
        <v>-106238.109599084</v>
      </c>
      <c r="BF23" s="113" t="n">
        <f aca="false">CHOOSE(Premissas!$B$6,Cenários!BF32,Cenários!BF78,Cenários!BF124)</f>
        <v>-108367.276658926</v>
      </c>
      <c r="BG23" s="113" t="n">
        <f aca="false">CHOOSE(Premissas!$B$6,Cenários!BG32,Cenários!BG78,Cenários!BG124)</f>
        <v>-110362.834674142</v>
      </c>
      <c r="BH23" s="113" t="n">
        <f aca="false">CHOOSE(Premissas!$B$6,Cenários!BH32,Cenários!BH78,Cenários!BH124)</f>
        <v>-112234.405334352</v>
      </c>
      <c r="BI23" s="113" t="n">
        <f aca="false">CHOOSE(Premissas!$B$6,Cenários!BI32,Cenários!BI78,Cenários!BI124)</f>
        <v>-113988.851852481</v>
      </c>
      <c r="BJ23" s="111" t="n">
        <f aca="false">SUM(B23:BI23)</f>
        <v>-2674484.03368896</v>
      </c>
      <c r="BK23" s="141" t="n">
        <f aca="false">IFERROR(BJ23/BJ$14,0)</f>
        <v>-0.0436181764240142</v>
      </c>
    </row>
    <row r="24" customFormat="false" ht="15" hidden="false" customHeight="false" outlineLevel="0" collapsed="false">
      <c r="A24" s="112" t="s">
        <v>430</v>
      </c>
      <c r="B24" s="113" t="n">
        <f aca="false">CHOOSE(Premissas!$B$6,Cenários!B33,Cenários!B79,Cenários!B125)</f>
        <v>-0</v>
      </c>
      <c r="C24" s="113" t="n">
        <f aca="false">CHOOSE(Premissas!$B$6,Cenários!C33,Cenários!C79,Cenários!C125)</f>
        <v>-0</v>
      </c>
      <c r="D24" s="113" t="n">
        <f aca="false">CHOOSE(Premissas!$B$6,Cenários!D33,Cenários!D79,Cenários!D125)</f>
        <v>-0</v>
      </c>
      <c r="E24" s="113" t="n">
        <f aca="false">CHOOSE(Premissas!$B$6,Cenários!E33,Cenários!E79,Cenários!E125)</f>
        <v>-0</v>
      </c>
      <c r="F24" s="113" t="n">
        <f aca="false">CHOOSE(Premissas!$B$6,Cenários!F33,Cenários!F79,Cenários!F125)</f>
        <v>-0</v>
      </c>
      <c r="G24" s="113" t="n">
        <f aca="false">CHOOSE(Premissas!$B$6,Cenários!G33,Cenários!G79,Cenários!G125)</f>
        <v>-0</v>
      </c>
      <c r="H24" s="113" t="n">
        <f aca="false">CHOOSE(Premissas!$B$6,Cenários!H33,Cenários!H79,Cenários!H125)</f>
        <v>-0</v>
      </c>
      <c r="I24" s="113" t="n">
        <f aca="false">CHOOSE(Premissas!$B$6,Cenários!I33,Cenários!I79,Cenários!I125)</f>
        <v>-0</v>
      </c>
      <c r="J24" s="113" t="n">
        <f aca="false">CHOOSE(Premissas!$B$6,Cenários!J33,Cenários!J79,Cenários!J125)</f>
        <v>-0</v>
      </c>
      <c r="K24" s="113" t="n">
        <f aca="false">CHOOSE(Premissas!$B$6,Cenários!K33,Cenários!K79,Cenários!K125)</f>
        <v>-52.85</v>
      </c>
      <c r="L24" s="113" t="n">
        <f aca="false">CHOOSE(Premissas!$B$6,Cenários!L33,Cenários!L79,Cenários!L125)</f>
        <v>-202.65</v>
      </c>
      <c r="M24" s="113" t="n">
        <f aca="false">CHOOSE(Premissas!$B$6,Cenários!M33,Cenários!M79,Cenários!M125)</f>
        <v>-438.2</v>
      </c>
      <c r="N24" s="113" t="n">
        <f aca="false">CHOOSE(Premissas!$B$6,Cenários!N33,Cenários!N79,Cenários!N125)</f>
        <v>-925.4</v>
      </c>
      <c r="O24" s="113" t="n">
        <f aca="false">CHOOSE(Premissas!$B$6,Cenários!O33,Cenários!O79,Cenários!O125)</f>
        <v>-1497.65</v>
      </c>
      <c r="P24" s="113" t="n">
        <f aca="false">CHOOSE(Premissas!$B$6,Cenários!P33,Cenários!P79,Cenários!P125)</f>
        <v>-2174.9</v>
      </c>
      <c r="Q24" s="113" t="n">
        <f aca="false">CHOOSE(Premissas!$B$6,Cenários!Q33,Cenários!Q79,Cenários!Q125)</f>
        <v>-2524.55</v>
      </c>
      <c r="R24" s="113" t="n">
        <f aca="false">CHOOSE(Premissas!$B$6,Cenários!R33,Cenários!R79,Cenários!R125)</f>
        <v>-2847.95</v>
      </c>
      <c r="S24" s="113" t="n">
        <f aca="false">CHOOSE(Premissas!$B$6,Cenários!S33,Cenários!S79,Cenários!S125)</f>
        <v>-3146.85</v>
      </c>
      <c r="T24" s="113" t="n">
        <f aca="false">CHOOSE(Premissas!$B$6,Cenários!T33,Cenários!T79,Cenários!T125)</f>
        <v>-3423.35</v>
      </c>
      <c r="U24" s="113" t="n">
        <f aca="false">CHOOSE(Premissas!$B$6,Cenários!U33,Cenários!U79,Cenários!U125)</f>
        <v>-3679.2</v>
      </c>
      <c r="V24" s="113" t="n">
        <f aca="false">CHOOSE(Premissas!$B$6,Cenários!V33,Cenários!V79,Cenários!V125)</f>
        <v>-3915.45</v>
      </c>
      <c r="W24" s="113" t="n">
        <f aca="false">CHOOSE(Premissas!$B$6,Cenários!W33,Cenários!W79,Cenários!W125)</f>
        <v>-4134.2</v>
      </c>
      <c r="X24" s="113" t="n">
        <f aca="false">CHOOSE(Premissas!$B$6,Cenários!X33,Cenários!X79,Cenários!X125)</f>
        <v>-4336.5</v>
      </c>
      <c r="Y24" s="113" t="n">
        <f aca="false">CHOOSE(Premissas!$B$6,Cenários!Y33,Cenários!Y79,Cenários!Y125)</f>
        <v>-4523.4</v>
      </c>
      <c r="Z24" s="113" t="n">
        <f aca="false">CHOOSE(Premissas!$B$6,Cenários!Z33,Cenários!Z79,Cenários!Z125)</f>
        <v>-4604.1</v>
      </c>
      <c r="AA24" s="113" t="n">
        <f aca="false">CHOOSE(Premissas!$B$6,Cenários!AA33,Cenários!AA79,Cenários!AA125)</f>
        <v>-4991.1</v>
      </c>
      <c r="AB24" s="113" t="n">
        <f aca="false">CHOOSE(Premissas!$B$6,Cenários!AB33,Cenários!AB79,Cenários!AB125)</f>
        <v>-5350.8</v>
      </c>
      <c r="AC24" s="113" t="n">
        <f aca="false">CHOOSE(Premissas!$B$6,Cenários!AC33,Cenários!AC79,Cenários!AC125)</f>
        <v>-5685</v>
      </c>
      <c r="AD24" s="113" t="n">
        <f aca="false">CHOOSE(Premissas!$B$6,Cenários!AD33,Cenários!AD79,Cenários!AD125)</f>
        <v>-5995.8</v>
      </c>
      <c r="AE24" s="113" t="n">
        <f aca="false">CHOOSE(Premissas!$B$6,Cenários!AE33,Cenários!AE79,Cenários!AE125)</f>
        <v>-6284.4</v>
      </c>
      <c r="AF24" s="113" t="n">
        <f aca="false">CHOOSE(Premissas!$B$6,Cenários!AF33,Cenários!AF79,Cenários!AF125)</f>
        <v>-6552.6</v>
      </c>
      <c r="AG24" s="113" t="n">
        <f aca="false">CHOOSE(Premissas!$B$6,Cenários!AG33,Cenários!AG79,Cenários!AG125)</f>
        <v>-6801.9</v>
      </c>
      <c r="AH24" s="113" t="n">
        <f aca="false">CHOOSE(Premissas!$B$6,Cenários!AH33,Cenários!AH79,Cenários!AH125)</f>
        <v>-7033.8</v>
      </c>
      <c r="AI24" s="113" t="n">
        <f aca="false">CHOOSE(Premissas!$B$6,Cenários!AI33,Cenários!AI79,Cenários!AI125)</f>
        <v>-7249.2</v>
      </c>
      <c r="AJ24" s="113" t="n">
        <f aca="false">CHOOSE(Premissas!$B$6,Cenários!AJ33,Cenários!AJ79,Cenários!AJ125)</f>
        <v>-7449.3</v>
      </c>
      <c r="AK24" s="113" t="n">
        <f aca="false">CHOOSE(Premissas!$B$6,Cenários!AK33,Cenários!AK79,Cenários!AK125)</f>
        <v>-7635</v>
      </c>
      <c r="AL24" s="113" t="n">
        <f aca="false">CHOOSE(Premissas!$B$6,Cenários!AL33,Cenários!AL79,Cenários!AL125)</f>
        <v>-8262.24</v>
      </c>
      <c r="AM24" s="113" t="n">
        <f aca="false">CHOOSE(Premissas!$B$6,Cenários!AM33,Cenários!AM79,Cenários!AM125)</f>
        <v>-8790.6</v>
      </c>
      <c r="AN24" s="113" t="n">
        <f aca="false">CHOOSE(Premissas!$B$6,Cenários!AN33,Cenários!AN79,Cenários!AN125)</f>
        <v>-9283.68</v>
      </c>
      <c r="AO24" s="113" t="n">
        <f aca="false">CHOOSE(Premissas!$B$6,Cenários!AO33,Cenários!AO79,Cenários!AO125)</f>
        <v>-9744.28</v>
      </c>
      <c r="AP24" s="113" t="n">
        <f aca="false">CHOOSE(Premissas!$B$6,Cenários!AP33,Cenários!AP79,Cenários!AP125)</f>
        <v>-10174.08</v>
      </c>
      <c r="AQ24" s="113" t="n">
        <f aca="false">CHOOSE(Premissas!$B$6,Cenários!AQ33,Cenários!AQ79,Cenários!AQ125)</f>
        <v>-10575.32</v>
      </c>
      <c r="AR24" s="113" t="n">
        <f aca="false">CHOOSE(Premissas!$B$6,Cenários!AR33,Cenários!AR79,Cenários!AR125)</f>
        <v>-10949.96</v>
      </c>
      <c r="AS24" s="113" t="n">
        <f aca="false">CHOOSE(Premissas!$B$6,Cenários!AS33,Cenários!AS79,Cenários!AS125)</f>
        <v>-11299.68</v>
      </c>
      <c r="AT24" s="113" t="n">
        <f aca="false">CHOOSE(Premissas!$B$6,Cenários!AT33,Cenários!AT79,Cenários!AT125)</f>
        <v>-11626.16</v>
      </c>
      <c r="AU24" s="113" t="n">
        <f aca="false">CHOOSE(Premissas!$B$6,Cenários!AU33,Cenários!AU79,Cenários!AU125)</f>
        <v>-11931.08</v>
      </c>
      <c r="AV24" s="113" t="n">
        <f aca="false">CHOOSE(Premissas!$B$6,Cenários!AV33,Cenários!AV79,Cenários!AV125)</f>
        <v>-12215.56</v>
      </c>
      <c r="AW24" s="113" t="n">
        <f aca="false">CHOOSE(Premissas!$B$6,Cenários!AW33,Cenários!AW79,Cenários!AW125)</f>
        <v>-12481.28</v>
      </c>
      <c r="AX24" s="113" t="n">
        <f aca="false">CHOOSE(Premissas!$B$6,Cenários!AX33,Cenários!AX79,Cenários!AX125)</f>
        <v>-12842</v>
      </c>
      <c r="AY24" s="113" t="n">
        <f aca="false">CHOOSE(Premissas!$B$6,Cenários!AY33,Cenários!AY79,Cenários!AY125)</f>
        <v>-13598.25</v>
      </c>
      <c r="AZ24" s="113" t="n">
        <f aca="false">CHOOSE(Premissas!$B$6,Cenários!AZ33,Cenários!AZ79,Cenários!AZ125)</f>
        <v>-14307.25</v>
      </c>
      <c r="BA24" s="113" t="n">
        <f aca="false">CHOOSE(Premissas!$B$6,Cenários!BA33,Cenários!BA79,Cenários!BA125)</f>
        <v>-14971.75</v>
      </c>
      <c r="BB24" s="113" t="n">
        <f aca="false">CHOOSE(Premissas!$B$6,Cenários!BB33,Cenários!BB79,Cenários!BB125)</f>
        <v>-15595</v>
      </c>
      <c r="BC24" s="113" t="n">
        <f aca="false">CHOOSE(Premissas!$B$6,Cenários!BC33,Cenários!BC79,Cenários!BC125)</f>
        <v>-16179.25</v>
      </c>
      <c r="BD24" s="113" t="n">
        <f aca="false">CHOOSE(Premissas!$B$6,Cenários!BD33,Cenários!BD79,Cenários!BD125)</f>
        <v>-16727</v>
      </c>
      <c r="BE24" s="113" t="n">
        <f aca="false">CHOOSE(Premissas!$B$6,Cenários!BE33,Cenários!BE79,Cenários!BE125)</f>
        <v>-17240.5</v>
      </c>
      <c r="BF24" s="113" t="n">
        <f aca="false">CHOOSE(Premissas!$B$6,Cenários!BF33,Cenários!BF79,Cenários!BF125)</f>
        <v>-17722</v>
      </c>
      <c r="BG24" s="113" t="n">
        <f aca="false">CHOOSE(Premissas!$B$6,Cenários!BG33,Cenários!BG79,Cenários!BG125)</f>
        <v>-18173.25</v>
      </c>
      <c r="BH24" s="113" t="n">
        <f aca="false">CHOOSE(Premissas!$B$6,Cenários!BH33,Cenários!BH79,Cenários!BH125)</f>
        <v>-18596.5</v>
      </c>
      <c r="BI24" s="113" t="n">
        <f aca="false">CHOOSE(Premissas!$B$6,Cenários!BI33,Cenários!BI79,Cenários!BI125)</f>
        <v>-18993.25</v>
      </c>
      <c r="BJ24" s="111" t="n">
        <f aca="false">SUM(B24:BI24)</f>
        <v>-435736.02</v>
      </c>
      <c r="BK24" s="141" t="n">
        <f aca="false">IFERROR(BJ24/BJ$14,0)</f>
        <v>-0.00710642140885862</v>
      </c>
    </row>
    <row r="25" customFormat="false" ht="15" hidden="false" customHeight="false" outlineLevel="0" collapsed="false">
      <c r="A25" s="51" t="s">
        <v>431</v>
      </c>
      <c r="B25" s="111" t="n">
        <f aca="false">B20+B23+B24</f>
        <v>0</v>
      </c>
      <c r="C25" s="111" t="n">
        <f aca="false">C20+C23+C24</f>
        <v>0</v>
      </c>
      <c r="D25" s="111" t="n">
        <f aca="false">D20+D23+D24</f>
        <v>0</v>
      </c>
      <c r="E25" s="111" t="n">
        <f aca="false">E20+E23+E24</f>
        <v>0</v>
      </c>
      <c r="F25" s="111" t="n">
        <f aca="false">F20+F23+F24</f>
        <v>-600</v>
      </c>
      <c r="G25" s="111" t="n">
        <f aca="false">G20+G23+G24</f>
        <v>-600</v>
      </c>
      <c r="H25" s="111" t="n">
        <f aca="false">H20+H23+H24</f>
        <v>-600</v>
      </c>
      <c r="I25" s="111" t="n">
        <f aca="false">I20+I23+I24</f>
        <v>-600</v>
      </c>
      <c r="J25" s="111" t="n">
        <f aca="false">J20+J23+J24</f>
        <v>-600</v>
      </c>
      <c r="K25" s="111" t="n">
        <f aca="false">K20+K23+K24</f>
        <v>1665.012675</v>
      </c>
      <c r="L25" s="111" t="n">
        <f aca="false">L20+L23+L24</f>
        <v>8720.367575</v>
      </c>
      <c r="M25" s="111" t="n">
        <f aca="false">M20+M23+M24</f>
        <v>20055.9823</v>
      </c>
      <c r="N25" s="111" t="n">
        <f aca="false">N20+N23+N24</f>
        <v>49844.572259904</v>
      </c>
      <c r="O25" s="111" t="n">
        <f aca="false">O20+O23+O24</f>
        <v>81734.6523594856</v>
      </c>
      <c r="P25" s="111" t="n">
        <f aca="false">P20+P23+P24</f>
        <v>117828.012347225</v>
      </c>
      <c r="Q25" s="111" t="n">
        <f aca="false">Q20+Q23+Q24</f>
        <v>134981.50072092</v>
      </c>
      <c r="R25" s="111" t="n">
        <f aca="false">R20+R23+R24</f>
        <v>150820.026673102</v>
      </c>
      <c r="S25" s="111" t="n">
        <f aca="false">S20+S23+S24</f>
        <v>165253.820616701</v>
      </c>
      <c r="T25" s="111" t="n">
        <f aca="false">T20+T23+T24</f>
        <v>178762.955644242</v>
      </c>
      <c r="U25" s="111" t="n">
        <f aca="false">U20+U23+U24</f>
        <v>191364.348136102</v>
      </c>
      <c r="V25" s="111" t="n">
        <f aca="false">V20+V23+V24</f>
        <v>203141.916763017</v>
      </c>
      <c r="W25" s="111" t="n">
        <f aca="false">W20+W23+W24</f>
        <v>212693.321268496</v>
      </c>
      <c r="X25" s="111" t="n">
        <f aca="false">X20+X23+X24</f>
        <v>221697.361266692</v>
      </c>
      <c r="Y25" s="111" t="n">
        <f aca="false">Y20+Y23+Y24</f>
        <v>230169.546727033</v>
      </c>
      <c r="Z25" s="111" t="n">
        <f aca="false">Z20+Z23+Z24</f>
        <v>311539.210632559</v>
      </c>
      <c r="AA25" s="111" t="n">
        <f aca="false">AA20+AA23+AA24</f>
        <v>368771.424001107</v>
      </c>
      <c r="AB25" s="111" t="n">
        <f aca="false">AB20+AB23+AB24</f>
        <v>386457.144170801</v>
      </c>
      <c r="AC25" s="111" t="n">
        <f aca="false">AC20+AC23+AC24</f>
        <v>403238.221898146</v>
      </c>
      <c r="AD25" s="111" t="n">
        <f aca="false">AD20+AD23+AD24</f>
        <v>439990.729998349</v>
      </c>
      <c r="AE25" s="111" t="n">
        <f aca="false">AE20+AE23+AE24</f>
        <v>461510.961151578</v>
      </c>
      <c r="AF25" s="111" t="n">
        <f aca="false">AF20+AF23+AF24</f>
        <v>481563.651365769</v>
      </c>
      <c r="AG25" s="111" t="n">
        <f aca="false">AG20+AG23+AG24</f>
        <v>500176.621314294</v>
      </c>
      <c r="AH25" s="111" t="n">
        <f aca="false">AH20+AH23+AH24</f>
        <v>517548.675860294</v>
      </c>
      <c r="AI25" s="111" t="n">
        <f aca="false">AI20+AI23+AI24</f>
        <v>533616.651727581</v>
      </c>
      <c r="AJ25" s="111" t="n">
        <f aca="false">AJ20+AJ23+AJ24</f>
        <v>548595.899020622</v>
      </c>
      <c r="AK25" s="111" t="n">
        <f aca="false">AK20+AK23+AK24</f>
        <v>562453.898907678</v>
      </c>
      <c r="AL25" s="111" t="n">
        <f aca="false">AL20+AL23+AL24</f>
        <v>739512.81951762</v>
      </c>
      <c r="AM25" s="111" t="n">
        <f aca="false">AM20+AM23+AM24</f>
        <v>787926.109855734</v>
      </c>
      <c r="AN25" s="111" t="n">
        <f aca="false">AN20+AN23+AN24</f>
        <v>833131.271299159</v>
      </c>
      <c r="AO25" s="111" t="n">
        <f aca="false">AO20+AO23+AO24</f>
        <v>875372.66995876</v>
      </c>
      <c r="AP25" s="111" t="n">
        <f aca="false">AP20+AP23+AP24</f>
        <v>914801.153816326</v>
      </c>
      <c r="AQ25" s="111" t="n">
        <f aca="false">AQ20+AQ23+AQ24</f>
        <v>951580.434849047</v>
      </c>
      <c r="AR25" s="111" t="n">
        <f aca="false">AR20+AR23+AR24</f>
        <v>985940.212780206</v>
      </c>
      <c r="AS25" s="111" t="n">
        <f aca="false">AS20+AS23+AS24</f>
        <v>1017963.75470142</v>
      </c>
      <c r="AT25" s="111" t="n">
        <f aca="false">AT20+AT23+AT24</f>
        <v>1047913.4695158</v>
      </c>
      <c r="AU25" s="111" t="n">
        <f aca="false">AU20+AU23+AU24</f>
        <v>1075871.38726206</v>
      </c>
      <c r="AV25" s="111" t="n">
        <f aca="false">AV20+AV23+AV24</f>
        <v>1101970.70517639</v>
      </c>
      <c r="AW25" s="111" t="n">
        <f aca="false">AW20+AW23+AW24</f>
        <v>1126292.37517901</v>
      </c>
      <c r="AX25" s="111" t="n">
        <f aca="false">AX20+AX23+AX24</f>
        <v>1443620.78709958</v>
      </c>
      <c r="AY25" s="111" t="n">
        <f aca="false">AY20+AY23+AY24</f>
        <v>1530400.51071316</v>
      </c>
      <c r="AZ25" s="111" t="n">
        <f aca="false">AZ20+AZ23+AZ24</f>
        <v>1611791.974767</v>
      </c>
      <c r="BA25" s="111" t="n">
        <f aca="false">BA20+BA23+BA24</f>
        <v>1688042.99448523</v>
      </c>
      <c r="BB25" s="111" t="n">
        <f aca="false">BB20+BB23+BB24</f>
        <v>1759551.7692162</v>
      </c>
      <c r="BC25" s="111" t="n">
        <f aca="false">BC20+BC23+BC24</f>
        <v>1826583.09119047</v>
      </c>
      <c r="BD25" s="111" t="n">
        <f aca="false">BD20+BD23+BD24</f>
        <v>1889433.61404678</v>
      </c>
      <c r="BE25" s="111" t="n">
        <f aca="false">BE20+BE23+BE24</f>
        <v>1948382.97960545</v>
      </c>
      <c r="BF25" s="111" t="n">
        <f aca="false">BF20+BF23+BF24</f>
        <v>2003589.89009992</v>
      </c>
      <c r="BG25" s="111" t="n">
        <f aca="false">BG20+BG23+BG24</f>
        <v>2055385.81279983</v>
      </c>
      <c r="BH25" s="111" t="n">
        <f aca="false">BH20+BH23+BH24</f>
        <v>2103944.70058088</v>
      </c>
      <c r="BI25" s="111" t="n">
        <f aca="false">BI20+BI23+BI24</f>
        <v>2149494.70398453</v>
      </c>
      <c r="BJ25" s="111" t="n">
        <f aca="false">SUM(B25:BI25)</f>
        <v>40949695.6798823</v>
      </c>
    </row>
    <row r="26" customFormat="false" ht="15" hidden="false" customHeight="false" outlineLevel="0" collapsed="false">
      <c r="A26" s="68" t="s">
        <v>432</v>
      </c>
      <c r="B26" s="141" t="n">
        <f aca="false">IFERROR(B25/B20,0)</f>
        <v>0</v>
      </c>
      <c r="C26" s="141" t="n">
        <f aca="false">IFERROR(C25/C20,0)</f>
        <v>0</v>
      </c>
      <c r="D26" s="141" t="n">
        <f aca="false">IFERROR(D25/D20,0)</f>
        <v>0</v>
      </c>
      <c r="E26" s="141" t="n">
        <f aca="false">IFERROR(E25/E20,0)</f>
        <v>0</v>
      </c>
      <c r="F26" s="141" t="n">
        <f aca="false">IFERROR(F25/F20,0)</f>
        <v>0</v>
      </c>
      <c r="G26" s="141" t="n">
        <f aca="false">IFERROR(G25/G20,0)</f>
        <v>0</v>
      </c>
      <c r="H26" s="141" t="n">
        <f aca="false">IFERROR(H25/H20,0)</f>
        <v>0</v>
      </c>
      <c r="I26" s="141" t="n">
        <f aca="false">IFERROR(I25/I20,0)</f>
        <v>0</v>
      </c>
      <c r="J26" s="141" t="n">
        <f aca="false">IFERROR(J25/J20,0)</f>
        <v>0</v>
      </c>
      <c r="K26" s="141" t="n">
        <f aca="false">IFERROR(K25/K20,0)</f>
        <v>0.573481280503687</v>
      </c>
      <c r="L26" s="141" t="n">
        <f aca="false">IFERROR(L25/L20,0)</f>
        <v>0.787393700433746</v>
      </c>
      <c r="M26" s="141" t="n">
        <f aca="false">IFERROR(M25/M20,0)</f>
        <v>0.837460219090827</v>
      </c>
      <c r="N26" s="141" t="n">
        <f aca="false">IFERROR(N25/N20,0)</f>
        <v>0.855618245819938</v>
      </c>
      <c r="O26" s="141" t="n">
        <f aca="false">IFERROR(O25/O20,0)</f>
        <v>0.875806402786505</v>
      </c>
      <c r="P26" s="141" t="n">
        <f aca="false">IFERROR(P25/P20,0)</f>
        <v>0.885464340128023</v>
      </c>
      <c r="Q26" s="141" t="n">
        <f aca="false">IFERROR(Q25/Q20,0)</f>
        <v>0.886456295810711</v>
      </c>
      <c r="R26" s="141" t="n">
        <f aca="false">IFERROR(R25/R20,0)</f>
        <v>0.887156548733611</v>
      </c>
      <c r="S26" s="141" t="n">
        <f aca="false">IFERROR(S25/S20,0)</f>
        <v>0.887560793203115</v>
      </c>
      <c r="T26" s="141" t="n">
        <f aca="false">IFERROR(T25/T20,0)</f>
        <v>0.88796464202968</v>
      </c>
      <c r="U26" s="141" t="n">
        <f aca="false">IFERROR(U25/U20,0)</f>
        <v>0.888340864628637</v>
      </c>
      <c r="V26" s="141" t="n">
        <f aca="false">IFERROR(V25/V20,0)</f>
        <v>0.88871449162465</v>
      </c>
      <c r="W26" s="141" t="n">
        <f aca="false">IFERROR(W25/W20,0)</f>
        <v>0.888397554733565</v>
      </c>
      <c r="X26" s="141" t="n">
        <f aca="false">IFERROR(X25/X20,0)</f>
        <v>0.888205550972352</v>
      </c>
      <c r="Y26" s="141" t="n">
        <f aca="false">IFERROR(Y25/Y20,0)</f>
        <v>0.888107252883604</v>
      </c>
      <c r="Z26" s="141" t="n">
        <f aca="false">IFERROR(Z25/Z20,0)</f>
        <v>0.899745144462335</v>
      </c>
      <c r="AA26" s="141" t="n">
        <f aca="false">IFERROR(AA25/AA20,0)</f>
        <v>0.908907439555766</v>
      </c>
      <c r="AB26" s="141" t="n">
        <f aca="false">IFERROR(AB25/AB20,0)</f>
        <v>0.908235542407497</v>
      </c>
      <c r="AC26" s="141" t="n">
        <f aca="false">IFERROR(AC25/AC20,0)</f>
        <v>0.907737340004356</v>
      </c>
      <c r="AD26" s="141" t="n">
        <f aca="false">IFERROR(AD25/AD20,0)</f>
        <v>0.91137065594526</v>
      </c>
      <c r="AE26" s="141" t="n">
        <f aca="false">IFERROR(AE25/AE20,0)</f>
        <v>0.912123943021799</v>
      </c>
      <c r="AF26" s="141" t="n">
        <f aca="false">IFERROR(AF25/AF20,0)</f>
        <v>0.912773469310109</v>
      </c>
      <c r="AG26" s="141" t="n">
        <f aca="false">IFERROR(AG25/AG20,0)</f>
        <v>0.913327147683343</v>
      </c>
      <c r="AH26" s="141" t="n">
        <f aca="false">IFERROR(AH25/AH20,0)</f>
        <v>0.913816192620573</v>
      </c>
      <c r="AI26" s="141" t="n">
        <f aca="false">IFERROR(AI25/AI20,0)</f>
        <v>0.914232178454408</v>
      </c>
      <c r="AJ26" s="141" t="n">
        <f aca="false">IFERROR(AJ25/AJ20,0)</f>
        <v>0.914604465112235</v>
      </c>
      <c r="AK26" s="141" t="n">
        <f aca="false">IFERROR(AK25/AK20,0)</f>
        <v>0.914926092687535</v>
      </c>
      <c r="AL26" s="141" t="n">
        <f aca="false">IFERROR(AL25/AL20,0)</f>
        <v>0.922237954283358</v>
      </c>
      <c r="AM26" s="141" t="n">
        <f aca="false">IFERROR(AM25/AM20,0)</f>
        <v>0.923584607633921</v>
      </c>
      <c r="AN26" s="141" t="n">
        <f aca="false">IFERROR(AN25/AN20,0)</f>
        <v>0.924705039569118</v>
      </c>
      <c r="AO26" s="141" t="n">
        <f aca="false">IFERROR(AO25/AO20,0)</f>
        <v>0.925650568526017</v>
      </c>
      <c r="AP26" s="141" t="n">
        <f aca="false">IFERROR(AP25/AP20,0)</f>
        <v>0.926456352639673</v>
      </c>
      <c r="AQ26" s="141" t="n">
        <f aca="false">IFERROR(AQ25/AQ20,0)</f>
        <v>0.927147375059252</v>
      </c>
      <c r="AR26" s="141" t="n">
        <f aca="false">IFERROR(AR25/AR20,0)</f>
        <v>0.927748198401272</v>
      </c>
      <c r="AS26" s="141" t="n">
        <f aca="false">IFERROR(AS25/AS20,0)</f>
        <v>0.928269756007455</v>
      </c>
      <c r="AT26" s="141" t="n">
        <f aca="false">IFERROR(AT25/AT20,0)</f>
        <v>0.92873179161161</v>
      </c>
      <c r="AU26" s="141" t="n">
        <f aca="false">IFERROR(AU25/AU20,0)</f>
        <v>0.929139702062576</v>
      </c>
      <c r="AV26" s="141" t="n">
        <f aca="false">IFERROR(AV25/AV20,0)</f>
        <v>0.929502709283848</v>
      </c>
      <c r="AW26" s="141" t="n">
        <f aca="false">IFERROR(AW25/AW20,0)</f>
        <v>0.929823640361587</v>
      </c>
      <c r="AX26" s="141" t="n">
        <f aca="false">IFERROR(AX25/AX20,0)</f>
        <v>0.935441563964757</v>
      </c>
      <c r="AY26" s="141" t="n">
        <f aca="false">IFERROR(AY25/AY20,0)</f>
        <v>0.936522704892235</v>
      </c>
      <c r="AZ26" s="141" t="n">
        <f aca="false">IFERROR(AZ25/AZ20,0)</f>
        <v>0.937433710408419</v>
      </c>
      <c r="BA26" s="141" t="n">
        <f aca="false">IFERROR(BA25/BA20,0)</f>
        <v>0.938207982837622</v>
      </c>
      <c r="BB26" s="141" t="n">
        <f aca="false">IFERROR(BB25/BB20,0)</f>
        <v>0.938874050464032</v>
      </c>
      <c r="BC26" s="141" t="n">
        <f aca="false">IFERROR(BC25/BC20,0)</f>
        <v>0.939451728114914</v>
      </c>
      <c r="BD26" s="141" t="n">
        <f aca="false">IFERROR(BD25/BD20,0)</f>
        <v>0.939956872245789</v>
      </c>
      <c r="BE26" s="141" t="n">
        <f aca="false">IFERROR(BE25/BE20,0)</f>
        <v>0.940402095273897</v>
      </c>
      <c r="BF26" s="141" t="n">
        <f aca="false">IFERROR(BF25/BF20,0)</f>
        <v>0.940794238574996</v>
      </c>
      <c r="BG26" s="141" t="n">
        <f aca="false">IFERROR(BG25/BG20,0)</f>
        <v>0.941144376626833</v>
      </c>
      <c r="BH26" s="141" t="n">
        <f aca="false">IFERROR(BH25/BH20,0)</f>
        <v>0.941456804437969</v>
      </c>
      <c r="BI26" s="141" t="n">
        <f aca="false">IFERROR(BI25/BI20,0)</f>
        <v>0.941737808019602</v>
      </c>
      <c r="BJ26" s="143" t="n">
        <f aca="false">IFERROR(BJ25/BJ20,0)</f>
        <v>0.929409305444514</v>
      </c>
    </row>
    <row r="28" customFormat="false" ht="18" hidden="false" customHeight="true" outlineLevel="0" collapsed="false">
      <c r="A28" s="25" t="s">
        <v>433</v>
      </c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</row>
    <row r="29" customFormat="false" ht="15" hidden="false" customHeight="false" outlineLevel="0" collapsed="false">
      <c r="A29" s="112" t="s">
        <v>434</v>
      </c>
      <c r="B29" s="113" t="n">
        <f aca="false">'Análise Fluxo'!B18+'Análise Fluxo'!B19+'Análise Fluxo'!B20</f>
        <v>-0</v>
      </c>
      <c r="C29" s="113" t="n">
        <f aca="false">'Análise Fluxo'!C18+'Análise Fluxo'!C19+'Análise Fluxo'!C20</f>
        <v>-0</v>
      </c>
      <c r="D29" s="113" t="n">
        <f aca="false">'Análise Fluxo'!D18+'Análise Fluxo'!D19+'Análise Fluxo'!D20</f>
        <v>-0</v>
      </c>
      <c r="E29" s="113" t="n">
        <f aca="false">'Análise Fluxo'!E18+'Análise Fluxo'!E19+'Análise Fluxo'!E20</f>
        <v>-0</v>
      </c>
      <c r="F29" s="113" t="n">
        <f aca="false">'Análise Fluxo'!F18+'Análise Fluxo'!F19+'Análise Fluxo'!F20</f>
        <v>-0</v>
      </c>
      <c r="G29" s="113" t="n">
        <f aca="false">'Análise Fluxo'!G18+'Análise Fluxo'!G19+'Análise Fluxo'!G20</f>
        <v>-0</v>
      </c>
      <c r="H29" s="113" t="n">
        <f aca="false">'Análise Fluxo'!H18+'Análise Fluxo'!H19+'Análise Fluxo'!H20</f>
        <v>-0</v>
      </c>
      <c r="I29" s="113" t="n">
        <f aca="false">'Análise Fluxo'!I18+'Análise Fluxo'!I19+'Análise Fluxo'!I20</f>
        <v>-0</v>
      </c>
      <c r="J29" s="113" t="n">
        <f aca="false">'Análise Fluxo'!J18+'Análise Fluxo'!J19+'Análise Fluxo'!J20</f>
        <v>-0</v>
      </c>
      <c r="K29" s="113" t="n">
        <f aca="false">'Análise Fluxo'!K18+'Análise Fluxo'!K19+'Análise Fluxo'!K20</f>
        <v>-0</v>
      </c>
      <c r="L29" s="113" t="n">
        <f aca="false">'Análise Fluxo'!L18+'Análise Fluxo'!L19+'Análise Fluxo'!L20</f>
        <v>-0</v>
      </c>
      <c r="M29" s="113" t="n">
        <f aca="false">'Análise Fluxo'!M18+'Análise Fluxo'!M19+'Análise Fluxo'!M20</f>
        <v>-0</v>
      </c>
      <c r="N29" s="113" t="n">
        <f aca="false">'Análise Fluxo'!N18+'Análise Fluxo'!N19+'Análise Fluxo'!N20</f>
        <v>-42500</v>
      </c>
      <c r="O29" s="113" t="n">
        <f aca="false">'Análise Fluxo'!O18+'Análise Fluxo'!O19+'Análise Fluxo'!O20</f>
        <v>-42500</v>
      </c>
      <c r="P29" s="113" t="n">
        <f aca="false">'Análise Fluxo'!P18+'Análise Fluxo'!P19+'Análise Fluxo'!P20</f>
        <v>-42500</v>
      </c>
      <c r="Q29" s="113" t="n">
        <f aca="false">'Análise Fluxo'!Q18+'Análise Fluxo'!Q19+'Análise Fluxo'!Q20</f>
        <v>-42500</v>
      </c>
      <c r="R29" s="113" t="n">
        <f aca="false">'Análise Fluxo'!R18+'Análise Fluxo'!R19+'Análise Fluxo'!R20</f>
        <v>-42500</v>
      </c>
      <c r="S29" s="113" t="n">
        <f aca="false">'Análise Fluxo'!S18+'Análise Fluxo'!S19+'Análise Fluxo'!S20</f>
        <v>-42500</v>
      </c>
      <c r="T29" s="113" t="n">
        <f aca="false">'Análise Fluxo'!T18+'Análise Fluxo'!T19+'Análise Fluxo'!T20</f>
        <v>-42500</v>
      </c>
      <c r="U29" s="113" t="n">
        <f aca="false">'Análise Fluxo'!U18+'Análise Fluxo'!U19+'Análise Fluxo'!U20</f>
        <v>-42500</v>
      </c>
      <c r="V29" s="113" t="n">
        <f aca="false">'Análise Fluxo'!V18+'Análise Fluxo'!V19+'Análise Fluxo'!V20</f>
        <v>-42500</v>
      </c>
      <c r="W29" s="113" t="n">
        <f aca="false">'Análise Fluxo'!W18+'Análise Fluxo'!W19+'Análise Fluxo'!W20</f>
        <v>-42500</v>
      </c>
      <c r="X29" s="113" t="n">
        <f aca="false">'Análise Fluxo'!X18+'Análise Fluxo'!X19+'Análise Fluxo'!X20</f>
        <v>-42500</v>
      </c>
      <c r="Y29" s="113" t="n">
        <f aca="false">'Análise Fluxo'!Y18+'Análise Fluxo'!Y19+'Análise Fluxo'!Y20</f>
        <v>-42500</v>
      </c>
      <c r="Z29" s="113" t="n">
        <f aca="false">'Análise Fluxo'!Z18+'Análise Fluxo'!Z19+'Análise Fluxo'!Z20</f>
        <v>-117500</v>
      </c>
      <c r="AA29" s="113" t="n">
        <f aca="false">'Análise Fluxo'!AA18+'Análise Fluxo'!AA19+'Análise Fluxo'!AA20</f>
        <v>-117500</v>
      </c>
      <c r="AB29" s="113" t="n">
        <f aca="false">'Análise Fluxo'!AB18+'Análise Fluxo'!AB19+'Análise Fluxo'!AB20</f>
        <v>-117500</v>
      </c>
      <c r="AC29" s="113" t="n">
        <f aca="false">'Análise Fluxo'!AC18+'Análise Fluxo'!AC19+'Análise Fluxo'!AC20</f>
        <v>-117500</v>
      </c>
      <c r="AD29" s="113" t="n">
        <f aca="false">'Análise Fluxo'!AD18+'Análise Fluxo'!AD19+'Análise Fluxo'!AD20</f>
        <v>-117500</v>
      </c>
      <c r="AE29" s="113" t="n">
        <f aca="false">'Análise Fluxo'!AE18+'Análise Fluxo'!AE19+'Análise Fluxo'!AE20</f>
        <v>-117500</v>
      </c>
      <c r="AF29" s="113" t="n">
        <f aca="false">'Análise Fluxo'!AF18+'Análise Fluxo'!AF19+'Análise Fluxo'!AF20</f>
        <v>-117500</v>
      </c>
      <c r="AG29" s="113" t="n">
        <f aca="false">'Análise Fluxo'!AG18+'Análise Fluxo'!AG19+'Análise Fluxo'!AG20</f>
        <v>-117500</v>
      </c>
      <c r="AH29" s="113" t="n">
        <f aca="false">'Análise Fluxo'!AH18+'Análise Fluxo'!AH19+'Análise Fluxo'!AH20</f>
        <v>-117500</v>
      </c>
      <c r="AI29" s="113" t="n">
        <f aca="false">'Análise Fluxo'!AI18+'Análise Fluxo'!AI19+'Análise Fluxo'!AI20</f>
        <v>-117500</v>
      </c>
      <c r="AJ29" s="113" t="n">
        <f aca="false">'Análise Fluxo'!AJ18+'Análise Fluxo'!AJ19+'Análise Fluxo'!AJ20</f>
        <v>-117500</v>
      </c>
      <c r="AK29" s="113" t="n">
        <f aca="false">'Análise Fluxo'!AK18+'Análise Fluxo'!AK19+'Análise Fluxo'!AK20</f>
        <v>-117500</v>
      </c>
      <c r="AL29" s="113" t="n">
        <f aca="false">'Análise Fluxo'!AL18+'Análise Fluxo'!AL19+'Análise Fluxo'!AL20</f>
        <v>-253300</v>
      </c>
      <c r="AM29" s="113" t="n">
        <f aca="false">'Análise Fluxo'!AM18+'Análise Fluxo'!AM19+'Análise Fluxo'!AM20</f>
        <v>-253300</v>
      </c>
      <c r="AN29" s="113" t="n">
        <f aca="false">'Análise Fluxo'!AN18+'Análise Fluxo'!AN19+'Análise Fluxo'!AN20</f>
        <v>-253300</v>
      </c>
      <c r="AO29" s="113" t="n">
        <f aca="false">'Análise Fluxo'!AO18+'Análise Fluxo'!AO19+'Análise Fluxo'!AO20</f>
        <v>-253300</v>
      </c>
      <c r="AP29" s="113" t="n">
        <f aca="false">'Análise Fluxo'!AP18+'Análise Fluxo'!AP19+'Análise Fluxo'!AP20</f>
        <v>-253300</v>
      </c>
      <c r="AQ29" s="113" t="n">
        <f aca="false">'Análise Fluxo'!AQ18+'Análise Fluxo'!AQ19+'Análise Fluxo'!AQ20</f>
        <v>-253300</v>
      </c>
      <c r="AR29" s="113" t="n">
        <f aca="false">'Análise Fluxo'!AR18+'Análise Fluxo'!AR19+'Análise Fluxo'!AR20</f>
        <v>-253300</v>
      </c>
      <c r="AS29" s="113" t="n">
        <f aca="false">'Análise Fluxo'!AS18+'Análise Fluxo'!AS19+'Análise Fluxo'!AS20</f>
        <v>-253300</v>
      </c>
      <c r="AT29" s="113" t="n">
        <f aca="false">'Análise Fluxo'!AT18+'Análise Fluxo'!AT19+'Análise Fluxo'!AT20</f>
        <v>-253300</v>
      </c>
      <c r="AU29" s="113" t="n">
        <f aca="false">'Análise Fluxo'!AU18+'Análise Fluxo'!AU19+'Análise Fluxo'!AU20</f>
        <v>-253300</v>
      </c>
      <c r="AV29" s="113" t="n">
        <f aca="false">'Análise Fluxo'!AV18+'Análise Fluxo'!AV19+'Análise Fluxo'!AV20</f>
        <v>-253300</v>
      </c>
      <c r="AW29" s="113" t="n">
        <f aca="false">'Análise Fluxo'!AW18+'Análise Fluxo'!AW19+'Análise Fluxo'!AW20</f>
        <v>-253300</v>
      </c>
      <c r="AX29" s="113" t="n">
        <f aca="false">'Análise Fluxo'!AX18+'Análise Fluxo'!AX19+'Análise Fluxo'!AX20</f>
        <v>-374300</v>
      </c>
      <c r="AY29" s="113" t="n">
        <f aca="false">'Análise Fluxo'!AY18+'Análise Fluxo'!AY19+'Análise Fluxo'!AY20</f>
        <v>-374300</v>
      </c>
      <c r="AZ29" s="113" t="n">
        <f aca="false">'Análise Fluxo'!AZ18+'Análise Fluxo'!AZ19+'Análise Fluxo'!AZ20</f>
        <v>-374300</v>
      </c>
      <c r="BA29" s="113" t="n">
        <f aca="false">'Análise Fluxo'!BA18+'Análise Fluxo'!BA19+'Análise Fluxo'!BA20</f>
        <v>-374300</v>
      </c>
      <c r="BB29" s="113" t="n">
        <f aca="false">'Análise Fluxo'!BB18+'Análise Fluxo'!BB19+'Análise Fluxo'!BB20</f>
        <v>-374300</v>
      </c>
      <c r="BC29" s="113" t="n">
        <f aca="false">'Análise Fluxo'!BC18+'Análise Fluxo'!BC19+'Análise Fluxo'!BC20</f>
        <v>-374300</v>
      </c>
      <c r="BD29" s="113" t="n">
        <f aca="false">'Análise Fluxo'!BD18+'Análise Fluxo'!BD19+'Análise Fluxo'!BD20</f>
        <v>-374300</v>
      </c>
      <c r="BE29" s="113" t="n">
        <f aca="false">'Análise Fluxo'!BE18+'Análise Fluxo'!BE19+'Análise Fluxo'!BE20</f>
        <v>-374300</v>
      </c>
      <c r="BF29" s="113" t="n">
        <f aca="false">'Análise Fluxo'!BF18+'Análise Fluxo'!BF19+'Análise Fluxo'!BF20</f>
        <v>-374300</v>
      </c>
      <c r="BG29" s="113" t="n">
        <f aca="false">'Análise Fluxo'!BG18+'Análise Fluxo'!BG19+'Análise Fluxo'!BG20</f>
        <v>-374300</v>
      </c>
      <c r="BH29" s="113" t="n">
        <f aca="false">'Análise Fluxo'!BH18+'Análise Fluxo'!BH19+'Análise Fluxo'!BH20</f>
        <v>-374300</v>
      </c>
      <c r="BI29" s="113" t="n">
        <f aca="false">'Análise Fluxo'!BI18+'Análise Fluxo'!BI19+'Análise Fluxo'!BI20</f>
        <v>-374300</v>
      </c>
      <c r="BJ29" s="111" t="n">
        <f aca="false">SUM(B29:BI29)</f>
        <v>-9451200</v>
      </c>
      <c r="BK29" s="141" t="n">
        <f aca="false">IFERROR(BJ29/BJ$14,0)</f>
        <v>-0.154139678467262</v>
      </c>
    </row>
    <row r="30" customFormat="false" ht="15" hidden="false" customHeight="false" outlineLevel="0" collapsed="false">
      <c r="A30" s="112" t="s">
        <v>435</v>
      </c>
      <c r="B30" s="113" t="n">
        <f aca="false">'Análise Fluxo'!B21+'Análise Fluxo'!B22+'Análise Fluxo'!B23</f>
        <v>-0</v>
      </c>
      <c r="C30" s="113" t="n">
        <f aca="false">'Análise Fluxo'!C21+'Análise Fluxo'!C22+'Análise Fluxo'!C23</f>
        <v>-0</v>
      </c>
      <c r="D30" s="113" t="n">
        <f aca="false">'Análise Fluxo'!D21+'Análise Fluxo'!D22+'Análise Fluxo'!D23</f>
        <v>-0</v>
      </c>
      <c r="E30" s="113" t="n">
        <f aca="false">'Análise Fluxo'!E21+'Análise Fluxo'!E22+'Análise Fluxo'!E23</f>
        <v>-0</v>
      </c>
      <c r="F30" s="113" t="n">
        <f aca="false">'Análise Fluxo'!F21+'Análise Fluxo'!F22+'Análise Fluxo'!F23</f>
        <v>-0</v>
      </c>
      <c r="G30" s="113" t="n">
        <f aca="false">'Análise Fluxo'!G21+'Análise Fluxo'!G22+'Análise Fluxo'!G23</f>
        <v>-0</v>
      </c>
      <c r="H30" s="113" t="n">
        <f aca="false">'Análise Fluxo'!H21+'Análise Fluxo'!H22+'Análise Fluxo'!H23</f>
        <v>-0</v>
      </c>
      <c r="I30" s="113" t="n">
        <f aca="false">'Análise Fluxo'!I21+'Análise Fluxo'!I22+'Análise Fluxo'!I23</f>
        <v>-0</v>
      </c>
      <c r="J30" s="113" t="n">
        <f aca="false">'Análise Fluxo'!J21+'Análise Fluxo'!J22+'Análise Fluxo'!J23</f>
        <v>-0</v>
      </c>
      <c r="K30" s="113" t="n">
        <f aca="false">'Análise Fluxo'!K21+'Análise Fluxo'!K22+'Análise Fluxo'!K23</f>
        <v>-59675</v>
      </c>
      <c r="L30" s="113" t="n">
        <f aca="false">'Análise Fluxo'!L21+'Análise Fluxo'!L22+'Análise Fluxo'!L23</f>
        <v>-34675</v>
      </c>
      <c r="M30" s="113" t="n">
        <f aca="false">'Análise Fluxo'!M21+'Análise Fluxo'!M22+'Análise Fluxo'!M23</f>
        <v>-34675</v>
      </c>
      <c r="N30" s="113" t="n">
        <f aca="false">'Análise Fluxo'!N21+'Análise Fluxo'!N22+'Análise Fluxo'!N23</f>
        <v>-68078.25</v>
      </c>
      <c r="O30" s="113" t="n">
        <f aca="false">'Análise Fluxo'!O21+'Análise Fluxo'!O22+'Análise Fluxo'!O23</f>
        <v>-68078.25</v>
      </c>
      <c r="P30" s="113" t="n">
        <f aca="false">'Análise Fluxo'!P21+'Análise Fluxo'!P22+'Análise Fluxo'!P23</f>
        <v>-68078.25</v>
      </c>
      <c r="Q30" s="113" t="n">
        <f aca="false">'Análise Fluxo'!Q21+'Análise Fluxo'!Q22+'Análise Fluxo'!Q23</f>
        <v>-68078.25</v>
      </c>
      <c r="R30" s="113" t="n">
        <f aca="false">'Análise Fluxo'!R21+'Análise Fluxo'!R22+'Análise Fluxo'!R23</f>
        <v>-68078.25</v>
      </c>
      <c r="S30" s="113" t="n">
        <f aca="false">'Análise Fluxo'!S21+'Análise Fluxo'!S22+'Análise Fluxo'!S23</f>
        <v>-68078.25</v>
      </c>
      <c r="T30" s="113" t="n">
        <f aca="false">'Análise Fluxo'!T21+'Análise Fluxo'!T22+'Análise Fluxo'!T23</f>
        <v>-68078.25</v>
      </c>
      <c r="U30" s="113" t="n">
        <f aca="false">'Análise Fluxo'!U21+'Análise Fluxo'!U22+'Análise Fluxo'!U23</f>
        <v>-68078.25</v>
      </c>
      <c r="V30" s="113" t="n">
        <f aca="false">'Análise Fluxo'!V21+'Análise Fluxo'!V22+'Análise Fluxo'!V23</f>
        <v>-68078.25</v>
      </c>
      <c r="W30" s="113" t="n">
        <f aca="false">'Análise Fluxo'!W21+'Análise Fluxo'!W22+'Análise Fluxo'!W23</f>
        <v>-68078.25</v>
      </c>
      <c r="X30" s="113" t="n">
        <f aca="false">'Análise Fluxo'!X21+'Análise Fluxo'!X22+'Análise Fluxo'!X23</f>
        <v>-68078.25</v>
      </c>
      <c r="Y30" s="113" t="n">
        <f aca="false">'Análise Fluxo'!Y21+'Análise Fluxo'!Y22+'Análise Fluxo'!Y23</f>
        <v>-68078.25</v>
      </c>
      <c r="Z30" s="113" t="n">
        <f aca="false">'Análise Fluxo'!Z21+'Análise Fluxo'!Z22+'Análise Fluxo'!Z23</f>
        <v>-147520.5703125</v>
      </c>
      <c r="AA30" s="113" t="n">
        <f aca="false">'Análise Fluxo'!AA21+'Análise Fluxo'!AA22+'Análise Fluxo'!AA23</f>
        <v>-147520.5703125</v>
      </c>
      <c r="AB30" s="113" t="n">
        <f aca="false">'Análise Fluxo'!AB21+'Análise Fluxo'!AB22+'Análise Fluxo'!AB23</f>
        <v>-147520.5703125</v>
      </c>
      <c r="AC30" s="113" t="n">
        <f aca="false">'Análise Fluxo'!AC21+'Análise Fluxo'!AC22+'Análise Fluxo'!AC23</f>
        <v>-147520.5703125</v>
      </c>
      <c r="AD30" s="113" t="n">
        <f aca="false">'Análise Fluxo'!AD21+'Análise Fluxo'!AD22+'Análise Fluxo'!AD23</f>
        <v>-147520.5703125</v>
      </c>
      <c r="AE30" s="113" t="n">
        <f aca="false">'Análise Fluxo'!AE21+'Análise Fluxo'!AE22+'Análise Fluxo'!AE23</f>
        <v>-147520.5703125</v>
      </c>
      <c r="AF30" s="113" t="n">
        <f aca="false">'Análise Fluxo'!AF21+'Análise Fluxo'!AF22+'Análise Fluxo'!AF23</f>
        <v>-147520.5703125</v>
      </c>
      <c r="AG30" s="113" t="n">
        <f aca="false">'Análise Fluxo'!AG21+'Análise Fluxo'!AG22+'Análise Fluxo'!AG23</f>
        <v>-147520.5703125</v>
      </c>
      <c r="AH30" s="113" t="n">
        <f aca="false">'Análise Fluxo'!AH21+'Análise Fluxo'!AH22+'Análise Fluxo'!AH23</f>
        <v>-147520.5703125</v>
      </c>
      <c r="AI30" s="113" t="n">
        <f aca="false">'Análise Fluxo'!AI21+'Análise Fluxo'!AI22+'Análise Fluxo'!AI23</f>
        <v>-147520.5703125</v>
      </c>
      <c r="AJ30" s="113" t="n">
        <f aca="false">'Análise Fluxo'!AJ21+'Análise Fluxo'!AJ22+'Análise Fluxo'!AJ23</f>
        <v>-147520.5703125</v>
      </c>
      <c r="AK30" s="113" t="n">
        <f aca="false">'Análise Fluxo'!AK21+'Análise Fluxo'!AK22+'Análise Fluxo'!AK23</f>
        <v>-147520.5703125</v>
      </c>
      <c r="AL30" s="113" t="n">
        <f aca="false">'Análise Fluxo'!AL21+'Análise Fluxo'!AL22+'Análise Fluxo'!AL23</f>
        <v>-284004.999921875</v>
      </c>
      <c r="AM30" s="113" t="n">
        <f aca="false">'Análise Fluxo'!AM21+'Análise Fluxo'!AM22+'Análise Fluxo'!AM23</f>
        <v>-284004.999921875</v>
      </c>
      <c r="AN30" s="113" t="n">
        <f aca="false">'Análise Fluxo'!AN21+'Análise Fluxo'!AN22+'Análise Fluxo'!AN23</f>
        <v>-284004.999921875</v>
      </c>
      <c r="AO30" s="113" t="n">
        <f aca="false">'Análise Fluxo'!AO21+'Análise Fluxo'!AO22+'Análise Fluxo'!AO23</f>
        <v>-284004.999921875</v>
      </c>
      <c r="AP30" s="113" t="n">
        <f aca="false">'Análise Fluxo'!AP21+'Análise Fluxo'!AP22+'Análise Fluxo'!AP23</f>
        <v>-284004.999921875</v>
      </c>
      <c r="AQ30" s="113" t="n">
        <f aca="false">'Análise Fluxo'!AQ21+'Análise Fluxo'!AQ22+'Análise Fluxo'!AQ23</f>
        <v>-284004.999921875</v>
      </c>
      <c r="AR30" s="113" t="n">
        <f aca="false">'Análise Fluxo'!AR21+'Análise Fluxo'!AR22+'Análise Fluxo'!AR23</f>
        <v>-284004.999921875</v>
      </c>
      <c r="AS30" s="113" t="n">
        <f aca="false">'Análise Fluxo'!AS21+'Análise Fluxo'!AS22+'Análise Fluxo'!AS23</f>
        <v>-284004.999921875</v>
      </c>
      <c r="AT30" s="113" t="n">
        <f aca="false">'Análise Fluxo'!AT21+'Análise Fluxo'!AT22+'Análise Fluxo'!AT23</f>
        <v>-284004.999921875</v>
      </c>
      <c r="AU30" s="113" t="n">
        <f aca="false">'Análise Fluxo'!AU21+'Análise Fluxo'!AU22+'Análise Fluxo'!AU23</f>
        <v>-284004.999921875</v>
      </c>
      <c r="AV30" s="113" t="n">
        <f aca="false">'Análise Fluxo'!AV21+'Análise Fluxo'!AV22+'Análise Fluxo'!AV23</f>
        <v>-284004.999921875</v>
      </c>
      <c r="AW30" s="113" t="n">
        <f aca="false">'Análise Fluxo'!AW21+'Análise Fluxo'!AW22+'Análise Fluxo'!AW23</f>
        <v>-284004.999921875</v>
      </c>
      <c r="AX30" s="113" t="n">
        <f aca="false">'Análise Fluxo'!AX21+'Análise Fluxo'!AX22+'Análise Fluxo'!AX23</f>
        <v>-490395.443417969</v>
      </c>
      <c r="AY30" s="113" t="n">
        <f aca="false">'Análise Fluxo'!AY21+'Análise Fluxo'!AY22+'Análise Fluxo'!AY23</f>
        <v>-490395.443417969</v>
      </c>
      <c r="AZ30" s="113" t="n">
        <f aca="false">'Análise Fluxo'!AZ21+'Análise Fluxo'!AZ22+'Análise Fluxo'!AZ23</f>
        <v>-490395.443417969</v>
      </c>
      <c r="BA30" s="113" t="n">
        <f aca="false">'Análise Fluxo'!BA21+'Análise Fluxo'!BA22+'Análise Fluxo'!BA23</f>
        <v>-490395.443417969</v>
      </c>
      <c r="BB30" s="113" t="n">
        <f aca="false">'Análise Fluxo'!BB21+'Análise Fluxo'!BB22+'Análise Fluxo'!BB23</f>
        <v>-490395.443417969</v>
      </c>
      <c r="BC30" s="113" t="n">
        <f aca="false">'Análise Fluxo'!BC21+'Análise Fluxo'!BC22+'Análise Fluxo'!BC23</f>
        <v>-490395.443417969</v>
      </c>
      <c r="BD30" s="113" t="n">
        <f aca="false">'Análise Fluxo'!BD21+'Análise Fluxo'!BD22+'Análise Fluxo'!BD23</f>
        <v>-490395.443417969</v>
      </c>
      <c r="BE30" s="113" t="n">
        <f aca="false">'Análise Fluxo'!BE21+'Análise Fluxo'!BE22+'Análise Fluxo'!BE23</f>
        <v>-490395.443417969</v>
      </c>
      <c r="BF30" s="113" t="n">
        <f aca="false">'Análise Fluxo'!BF21+'Análise Fluxo'!BF22+'Análise Fluxo'!BF23</f>
        <v>-490395.443417969</v>
      </c>
      <c r="BG30" s="113" t="n">
        <f aca="false">'Análise Fluxo'!BG21+'Análise Fluxo'!BG22+'Análise Fluxo'!BG23</f>
        <v>-490395.443417969</v>
      </c>
      <c r="BH30" s="113" t="n">
        <f aca="false">'Análise Fluxo'!BH21+'Análise Fluxo'!BH22+'Análise Fluxo'!BH23</f>
        <v>-490395.443417969</v>
      </c>
      <c r="BI30" s="113" t="n">
        <f aca="false">'Análise Fluxo'!BI21+'Análise Fluxo'!BI22+'Análise Fluxo'!BI23</f>
        <v>-490395.443417969</v>
      </c>
      <c r="BJ30" s="111" t="n">
        <f aca="false">SUM(B30:BI30)</f>
        <v>-12009016.1638281</v>
      </c>
      <c r="BK30" s="142" t="s">
        <v>436</v>
      </c>
    </row>
    <row r="31" customFormat="false" ht="15" hidden="false" customHeight="false" outlineLevel="0" collapsed="false">
      <c r="A31" s="112" t="s">
        <v>437</v>
      </c>
      <c r="B31" s="113" t="n">
        <f aca="false">'Análise Fluxo'!B27</f>
        <v>-0</v>
      </c>
      <c r="C31" s="113" t="n">
        <f aca="false">'Análise Fluxo'!C27</f>
        <v>-0</v>
      </c>
      <c r="D31" s="113" t="n">
        <f aca="false">'Análise Fluxo'!D27</f>
        <v>-0</v>
      </c>
      <c r="E31" s="113" t="n">
        <f aca="false">'Análise Fluxo'!E27</f>
        <v>-1500</v>
      </c>
      <c r="F31" s="113" t="n">
        <f aca="false">'Análise Fluxo'!F27</f>
        <v>-1500</v>
      </c>
      <c r="G31" s="113" t="n">
        <f aca="false">'Análise Fluxo'!G27</f>
        <v>-1500</v>
      </c>
      <c r="H31" s="113" t="n">
        <f aca="false">'Análise Fluxo'!H27</f>
        <v>-1500</v>
      </c>
      <c r="I31" s="113" t="n">
        <f aca="false">'Análise Fluxo'!I27</f>
        <v>-1500</v>
      </c>
      <c r="J31" s="113" t="n">
        <f aca="false">'Análise Fluxo'!J27</f>
        <v>-1500</v>
      </c>
      <c r="K31" s="113" t="n">
        <f aca="false">'Análise Fluxo'!K27</f>
        <v>-1500</v>
      </c>
      <c r="L31" s="113" t="n">
        <f aca="false">'Análise Fluxo'!L27</f>
        <v>-1500</v>
      </c>
      <c r="M31" s="113" t="n">
        <f aca="false">'Análise Fluxo'!M27</f>
        <v>-1500</v>
      </c>
      <c r="N31" s="113" t="n">
        <f aca="false">'Análise Fluxo'!N27</f>
        <v>-6000</v>
      </c>
      <c r="O31" s="113" t="n">
        <f aca="false">'Análise Fluxo'!O27</f>
        <v>-6000</v>
      </c>
      <c r="P31" s="113" t="n">
        <f aca="false">'Análise Fluxo'!P27</f>
        <v>-6000</v>
      </c>
      <c r="Q31" s="113" t="n">
        <f aca="false">'Análise Fluxo'!Q27</f>
        <v>-6000</v>
      </c>
      <c r="R31" s="113" t="n">
        <f aca="false">'Análise Fluxo'!R27</f>
        <v>-6000</v>
      </c>
      <c r="S31" s="113" t="n">
        <f aca="false">'Análise Fluxo'!S27</f>
        <v>-6000</v>
      </c>
      <c r="T31" s="113" t="n">
        <f aca="false">'Análise Fluxo'!T27</f>
        <v>-6000</v>
      </c>
      <c r="U31" s="113" t="n">
        <f aca="false">'Análise Fluxo'!U27</f>
        <v>-6000</v>
      </c>
      <c r="V31" s="113" t="n">
        <f aca="false">'Análise Fluxo'!V27</f>
        <v>-6000</v>
      </c>
      <c r="W31" s="113" t="n">
        <f aca="false">'Análise Fluxo'!W27</f>
        <v>-6000</v>
      </c>
      <c r="X31" s="113" t="n">
        <f aca="false">'Análise Fluxo'!X27</f>
        <v>-6000</v>
      </c>
      <c r="Y31" s="113" t="n">
        <f aca="false">'Análise Fluxo'!Y27</f>
        <v>-6000</v>
      </c>
      <c r="Z31" s="113" t="n">
        <f aca="false">'Análise Fluxo'!Z27</f>
        <v>-25000</v>
      </c>
      <c r="AA31" s="113" t="n">
        <f aca="false">'Análise Fluxo'!AA27</f>
        <v>-25000</v>
      </c>
      <c r="AB31" s="113" t="n">
        <f aca="false">'Análise Fluxo'!AB27</f>
        <v>-25000</v>
      </c>
      <c r="AC31" s="113" t="n">
        <f aca="false">'Análise Fluxo'!AC27</f>
        <v>-25000</v>
      </c>
      <c r="AD31" s="113" t="n">
        <f aca="false">'Análise Fluxo'!AD27</f>
        <v>-25000</v>
      </c>
      <c r="AE31" s="113" t="n">
        <f aca="false">'Análise Fluxo'!AE27</f>
        <v>-25000</v>
      </c>
      <c r="AF31" s="113" t="n">
        <f aca="false">'Análise Fluxo'!AF27</f>
        <v>-25000</v>
      </c>
      <c r="AG31" s="113" t="n">
        <f aca="false">'Análise Fluxo'!AG27</f>
        <v>-25000</v>
      </c>
      <c r="AH31" s="113" t="n">
        <f aca="false">'Análise Fluxo'!AH27</f>
        <v>-25000</v>
      </c>
      <c r="AI31" s="113" t="n">
        <f aca="false">'Análise Fluxo'!AI27</f>
        <v>-25000</v>
      </c>
      <c r="AJ31" s="113" t="n">
        <f aca="false">'Análise Fluxo'!AJ27</f>
        <v>-25000</v>
      </c>
      <c r="AK31" s="113" t="n">
        <f aca="false">'Análise Fluxo'!AK27</f>
        <v>-25000</v>
      </c>
      <c r="AL31" s="113" t="n">
        <f aca="false">'Análise Fluxo'!AL27</f>
        <v>-60000</v>
      </c>
      <c r="AM31" s="113" t="n">
        <f aca="false">'Análise Fluxo'!AM27</f>
        <v>-60000</v>
      </c>
      <c r="AN31" s="113" t="n">
        <f aca="false">'Análise Fluxo'!AN27</f>
        <v>-60000</v>
      </c>
      <c r="AO31" s="113" t="n">
        <f aca="false">'Análise Fluxo'!AO27</f>
        <v>-60000</v>
      </c>
      <c r="AP31" s="113" t="n">
        <f aca="false">'Análise Fluxo'!AP27</f>
        <v>-60000</v>
      </c>
      <c r="AQ31" s="113" t="n">
        <f aca="false">'Análise Fluxo'!AQ27</f>
        <v>-60000</v>
      </c>
      <c r="AR31" s="113" t="n">
        <f aca="false">'Análise Fluxo'!AR27</f>
        <v>-60000</v>
      </c>
      <c r="AS31" s="113" t="n">
        <f aca="false">'Análise Fluxo'!AS27</f>
        <v>-60000</v>
      </c>
      <c r="AT31" s="113" t="n">
        <f aca="false">'Análise Fluxo'!AT27</f>
        <v>-60000</v>
      </c>
      <c r="AU31" s="113" t="n">
        <f aca="false">'Análise Fluxo'!AU27</f>
        <v>-60000</v>
      </c>
      <c r="AV31" s="113" t="n">
        <f aca="false">'Análise Fluxo'!AV27</f>
        <v>-60000</v>
      </c>
      <c r="AW31" s="113" t="n">
        <f aca="false">'Análise Fluxo'!AW27</f>
        <v>-60000</v>
      </c>
      <c r="AX31" s="113" t="n">
        <f aca="false">'Análise Fluxo'!AX27</f>
        <v>-110000</v>
      </c>
      <c r="AY31" s="113" t="n">
        <f aca="false">'Análise Fluxo'!AY27</f>
        <v>-110000</v>
      </c>
      <c r="AZ31" s="113" t="n">
        <f aca="false">'Análise Fluxo'!AZ27</f>
        <v>-110000</v>
      </c>
      <c r="BA31" s="113" t="n">
        <f aca="false">'Análise Fluxo'!BA27</f>
        <v>-110000</v>
      </c>
      <c r="BB31" s="113" t="n">
        <f aca="false">'Análise Fluxo'!BB27</f>
        <v>-110000</v>
      </c>
      <c r="BC31" s="113" t="n">
        <f aca="false">'Análise Fluxo'!BC27</f>
        <v>-110000</v>
      </c>
      <c r="BD31" s="113" t="n">
        <f aca="false">'Análise Fluxo'!BD27</f>
        <v>-110000</v>
      </c>
      <c r="BE31" s="113" t="n">
        <f aca="false">'Análise Fluxo'!BE27</f>
        <v>-110000</v>
      </c>
      <c r="BF31" s="113" t="n">
        <f aca="false">'Análise Fluxo'!BF27</f>
        <v>-110000</v>
      </c>
      <c r="BG31" s="113" t="n">
        <f aca="false">'Análise Fluxo'!BG27</f>
        <v>-110000</v>
      </c>
      <c r="BH31" s="113" t="n">
        <f aca="false">'Análise Fluxo'!BH27</f>
        <v>-110000</v>
      </c>
      <c r="BI31" s="113" t="n">
        <f aca="false">'Análise Fluxo'!BI27</f>
        <v>-110000</v>
      </c>
      <c r="BJ31" s="111" t="n">
        <f aca="false">SUM(B31:BI31)</f>
        <v>-2425500</v>
      </c>
      <c r="BK31" s="141" t="n">
        <f aca="false">IFERROR(BJ31/BJ$14,0)</f>
        <v>-0.0395574942993847</v>
      </c>
    </row>
    <row r="32" customFormat="false" ht="15" hidden="false" customHeight="false" outlineLevel="0" collapsed="false">
      <c r="A32" s="51" t="s">
        <v>438</v>
      </c>
      <c r="B32" s="111" t="n">
        <f aca="false">B25+SUM(B29:B31)</f>
        <v>0</v>
      </c>
      <c r="C32" s="111" t="n">
        <f aca="false">C25+SUM(C29:C31)</f>
        <v>0</v>
      </c>
      <c r="D32" s="111" t="n">
        <f aca="false">D25+SUM(D29:D31)</f>
        <v>0</v>
      </c>
      <c r="E32" s="111" t="n">
        <f aca="false">E25+SUM(E29:E31)</f>
        <v>-1500</v>
      </c>
      <c r="F32" s="111" t="n">
        <f aca="false">F25+SUM(F29:F31)</f>
        <v>-2100</v>
      </c>
      <c r="G32" s="111" t="n">
        <f aca="false">G25+SUM(G29:G31)</f>
        <v>-2100</v>
      </c>
      <c r="H32" s="111" t="n">
        <f aca="false">H25+SUM(H29:H31)</f>
        <v>-2100</v>
      </c>
      <c r="I32" s="111" t="n">
        <f aca="false">I25+SUM(I29:I31)</f>
        <v>-2100</v>
      </c>
      <c r="J32" s="111" t="n">
        <f aca="false">J25+SUM(J29:J31)</f>
        <v>-2100</v>
      </c>
      <c r="K32" s="111" t="n">
        <f aca="false">K25+SUM(K29:K31)</f>
        <v>-59509.987325</v>
      </c>
      <c r="L32" s="111" t="n">
        <f aca="false">L25+SUM(L29:L31)</f>
        <v>-27454.632425</v>
      </c>
      <c r="M32" s="111" t="n">
        <f aca="false">M25+SUM(M29:M31)</f>
        <v>-16119.0177</v>
      </c>
      <c r="N32" s="111" t="n">
        <f aca="false">N25+SUM(N29:N31)</f>
        <v>-66733.677740096</v>
      </c>
      <c r="O32" s="111" t="n">
        <f aca="false">O25+SUM(O29:O31)</f>
        <v>-34843.5976405144</v>
      </c>
      <c r="P32" s="111" t="n">
        <f aca="false">P25+SUM(P29:P31)</f>
        <v>1249.76234722545</v>
      </c>
      <c r="Q32" s="111" t="n">
        <f aca="false">Q25+SUM(Q29:Q31)</f>
        <v>18403.2507209199</v>
      </c>
      <c r="R32" s="111" t="n">
        <f aca="false">R25+SUM(R29:R31)</f>
        <v>34241.7766731023</v>
      </c>
      <c r="S32" s="111" t="n">
        <f aca="false">S25+SUM(S29:S31)</f>
        <v>48675.570616701</v>
      </c>
      <c r="T32" s="111" t="n">
        <f aca="false">T25+SUM(T29:T31)</f>
        <v>62184.7056442422</v>
      </c>
      <c r="U32" s="111" t="n">
        <f aca="false">U25+SUM(U29:U31)</f>
        <v>74786.0981361015</v>
      </c>
      <c r="V32" s="111" t="n">
        <f aca="false">V25+SUM(V29:V31)</f>
        <v>86563.6667630173</v>
      </c>
      <c r="W32" s="111" t="n">
        <f aca="false">W25+SUM(W29:W31)</f>
        <v>96115.0712684958</v>
      </c>
      <c r="X32" s="111" t="n">
        <f aca="false">X25+SUM(X29:X31)</f>
        <v>105119.111266692</v>
      </c>
      <c r="Y32" s="111" t="n">
        <f aca="false">Y25+SUM(Y29:Y31)</f>
        <v>113591.296727032</v>
      </c>
      <c r="Z32" s="111" t="n">
        <f aca="false">Z25+SUM(Z29:Z31)</f>
        <v>21518.6403200593</v>
      </c>
      <c r="AA32" s="111" t="n">
        <f aca="false">AA25+SUM(AA29:AA31)</f>
        <v>78750.8536886069</v>
      </c>
      <c r="AB32" s="111" t="n">
        <f aca="false">AB25+SUM(AB29:AB31)</f>
        <v>96436.5738583015</v>
      </c>
      <c r="AC32" s="111" t="n">
        <f aca="false">AC25+SUM(AC29:AC31)</f>
        <v>113217.651585646</v>
      </c>
      <c r="AD32" s="111" t="n">
        <f aca="false">AD25+SUM(AD29:AD31)</f>
        <v>149970.159685849</v>
      </c>
      <c r="AE32" s="111" t="n">
        <f aca="false">AE25+SUM(AE29:AE31)</f>
        <v>171490.390839078</v>
      </c>
      <c r="AF32" s="111" t="n">
        <f aca="false">AF25+SUM(AF29:AF31)</f>
        <v>191543.081053269</v>
      </c>
      <c r="AG32" s="111" t="n">
        <f aca="false">AG25+SUM(AG29:AG31)</f>
        <v>210156.051001794</v>
      </c>
      <c r="AH32" s="111" t="n">
        <f aca="false">AH25+SUM(AH29:AH31)</f>
        <v>227528.105547794</v>
      </c>
      <c r="AI32" s="111" t="n">
        <f aca="false">AI25+SUM(AI29:AI31)</f>
        <v>243596.081415081</v>
      </c>
      <c r="AJ32" s="111" t="n">
        <f aca="false">AJ25+SUM(AJ29:AJ31)</f>
        <v>258575.328708122</v>
      </c>
      <c r="AK32" s="111" t="n">
        <f aca="false">AK25+SUM(AK29:AK31)</f>
        <v>272433.328595178</v>
      </c>
      <c r="AL32" s="111" t="n">
        <f aca="false">AL25+SUM(AL29:AL31)</f>
        <v>142207.819595745</v>
      </c>
      <c r="AM32" s="111" t="n">
        <f aca="false">AM25+SUM(AM29:AM31)</f>
        <v>190621.109933859</v>
      </c>
      <c r="AN32" s="111" t="n">
        <f aca="false">AN25+SUM(AN29:AN31)</f>
        <v>235826.271377284</v>
      </c>
      <c r="AO32" s="111" t="n">
        <f aca="false">AO25+SUM(AO29:AO31)</f>
        <v>278067.670036885</v>
      </c>
      <c r="AP32" s="111" t="n">
        <f aca="false">AP25+SUM(AP29:AP31)</f>
        <v>317496.153894451</v>
      </c>
      <c r="AQ32" s="111" t="n">
        <f aca="false">AQ25+SUM(AQ29:AQ31)</f>
        <v>354275.434927172</v>
      </c>
      <c r="AR32" s="111" t="n">
        <f aca="false">AR25+SUM(AR29:AR31)</f>
        <v>388635.212858331</v>
      </c>
      <c r="AS32" s="111" t="n">
        <f aca="false">AS25+SUM(AS29:AS31)</f>
        <v>420658.754779544</v>
      </c>
      <c r="AT32" s="111" t="n">
        <f aca="false">AT25+SUM(AT29:AT31)</f>
        <v>450608.469593926</v>
      </c>
      <c r="AU32" s="111" t="n">
        <f aca="false">AU25+SUM(AU29:AU31)</f>
        <v>478566.387340185</v>
      </c>
      <c r="AV32" s="111" t="n">
        <f aca="false">AV25+SUM(AV29:AV31)</f>
        <v>504665.705254512</v>
      </c>
      <c r="AW32" s="111" t="n">
        <f aca="false">AW25+SUM(AW29:AW31)</f>
        <v>528987.375257133</v>
      </c>
      <c r="AX32" s="111" t="n">
        <f aca="false">AX25+SUM(AX29:AX31)</f>
        <v>468925.343681611</v>
      </c>
      <c r="AY32" s="111" t="n">
        <f aca="false">AY25+SUM(AY29:AY31)</f>
        <v>555705.067295195</v>
      </c>
      <c r="AZ32" s="111" t="n">
        <f aca="false">AZ25+SUM(AZ29:AZ31)</f>
        <v>637096.53134903</v>
      </c>
      <c r="BA32" s="111" t="n">
        <f aca="false">BA25+SUM(BA29:BA31)</f>
        <v>713347.551067258</v>
      </c>
      <c r="BB32" s="111" t="n">
        <f aca="false">BB25+SUM(BB29:BB31)</f>
        <v>784856.325798232</v>
      </c>
      <c r="BC32" s="111" t="n">
        <f aca="false">BC25+SUM(BC29:BC31)</f>
        <v>851887.647772502</v>
      </c>
      <c r="BD32" s="111" t="n">
        <f aca="false">BD25+SUM(BD29:BD31)</f>
        <v>914738.17062881</v>
      </c>
      <c r="BE32" s="111" t="n">
        <f aca="false">BE25+SUM(BE29:BE31)</f>
        <v>973687.536187483</v>
      </c>
      <c r="BF32" s="111" t="n">
        <f aca="false">BF25+SUM(BF29:BF31)</f>
        <v>1028894.44668195</v>
      </c>
      <c r="BG32" s="111" t="n">
        <f aca="false">BG25+SUM(BG29:BG31)</f>
        <v>1080690.36938187</v>
      </c>
      <c r="BH32" s="111" t="n">
        <f aca="false">BH25+SUM(BH29:BH31)</f>
        <v>1129249.25716291</v>
      </c>
      <c r="BI32" s="111" t="n">
        <f aca="false">BI25+SUM(BI29:BI31)</f>
        <v>1174799.26056656</v>
      </c>
      <c r="BJ32" s="111" t="n">
        <f aca="false">SUM(B32:BI32)</f>
        <v>17063979.5160541</v>
      </c>
    </row>
    <row r="33" customFormat="false" ht="15" hidden="false" customHeight="false" outlineLevel="0" collapsed="false">
      <c r="A33" s="68" t="s">
        <v>439</v>
      </c>
      <c r="B33" s="141" t="n">
        <f aca="false">IFERROR(B32/B20,0)</f>
        <v>0</v>
      </c>
      <c r="C33" s="141" t="n">
        <f aca="false">IFERROR(C32/C20,0)</f>
        <v>0</v>
      </c>
      <c r="D33" s="141" t="n">
        <f aca="false">IFERROR(D32/D20,0)</f>
        <v>0</v>
      </c>
      <c r="E33" s="141" t="n">
        <f aca="false">IFERROR(E32/E20,0)</f>
        <v>0</v>
      </c>
      <c r="F33" s="141" t="n">
        <f aca="false">IFERROR(F32/F20,0)</f>
        <v>0</v>
      </c>
      <c r="G33" s="141" t="n">
        <f aca="false">IFERROR(G32/G20,0)</f>
        <v>0</v>
      </c>
      <c r="H33" s="141" t="n">
        <f aca="false">IFERROR(H32/H20,0)</f>
        <v>0</v>
      </c>
      <c r="I33" s="141" t="n">
        <f aca="false">IFERROR(I32/I20,0)</f>
        <v>0</v>
      </c>
      <c r="J33" s="141" t="n">
        <f aca="false">IFERROR(J32/J20,0)</f>
        <v>0</v>
      </c>
      <c r="K33" s="141" t="n">
        <f aca="false">IFERROR(K32/K20,0)</f>
        <v>-20.4970594196222</v>
      </c>
      <c r="L33" s="141" t="n">
        <f aca="false">IFERROR(L32/L20,0)</f>
        <v>-2.47897860190475</v>
      </c>
      <c r="M33" s="141" t="n">
        <f aca="false">IFERROR(M32/M20,0)</f>
        <v>-0.673067810524091</v>
      </c>
      <c r="N33" s="141" t="n">
        <f aca="false">IFERROR(N32/N20,0)</f>
        <v>-1.14553199468471</v>
      </c>
      <c r="O33" s="141" t="n">
        <f aca="false">IFERROR(O32/O20,0)</f>
        <v>-0.373357505400067</v>
      </c>
      <c r="P33" s="141" t="n">
        <f aca="false">IFERROR(P32/P20,0)</f>
        <v>0.00939182432138252</v>
      </c>
      <c r="Q33" s="141" t="n">
        <f aca="false">IFERROR(Q32/Q20,0)</f>
        <v>0.120858616757208</v>
      </c>
      <c r="R33" s="141" t="n">
        <f aca="false">IFERROR(R32/R20,0)</f>
        <v>0.201417657097087</v>
      </c>
      <c r="S33" s="141" t="n">
        <f aca="false">IFERROR(S32/S20,0)</f>
        <v>0.261431341828881</v>
      </c>
      <c r="T33" s="141" t="n">
        <f aca="false">IFERROR(T32/T20,0)</f>
        <v>0.308888492518551</v>
      </c>
      <c r="U33" s="141" t="n">
        <f aca="false">IFERROR(U32/U20,0)</f>
        <v>0.347167838353968</v>
      </c>
      <c r="V33" s="141" t="n">
        <f aca="false">IFERROR(V32/V20,0)</f>
        <v>0.378702664257158</v>
      </c>
      <c r="W33" s="141" t="n">
        <f aca="false">IFERROR(W32/W20,0)</f>
        <v>0.401462508454523</v>
      </c>
      <c r="X33" s="141" t="n">
        <f aca="false">IFERROR(X32/X20,0)</f>
        <v>0.421147900033141</v>
      </c>
      <c r="Y33" s="141" t="n">
        <f aca="false">IFERROR(Y32/Y20,0)</f>
        <v>0.438291059448322</v>
      </c>
      <c r="Z33" s="141" t="n">
        <f aca="false">IFERROR(Z32/Z20,0)</f>
        <v>0.0621472080644135</v>
      </c>
      <c r="AA33" s="141" t="n">
        <f aca="false">IFERROR(AA32/AA20,0)</f>
        <v>0.194096483974658</v>
      </c>
      <c r="AB33" s="141" t="n">
        <f aca="false">IFERROR(AB32/AB20,0)</f>
        <v>0.226641233801087</v>
      </c>
      <c r="AC33" s="141" t="n">
        <f aca="false">IFERROR(AC32/AC20,0)</f>
        <v>0.254866439515878</v>
      </c>
      <c r="AD33" s="141" t="n">
        <f aca="false">IFERROR(AD32/AD20,0)</f>
        <v>0.310639278253931</v>
      </c>
      <c r="AE33" s="141" t="n">
        <f aca="false">IFERROR(AE32/AE20,0)</f>
        <v>0.338931259817066</v>
      </c>
      <c r="AF33" s="141" t="n">
        <f aca="false">IFERROR(AF32/AF20,0)</f>
        <v>0.363057805794699</v>
      </c>
      <c r="AG33" s="141" t="n">
        <f aca="false">IFERROR(AG32/AG20,0)</f>
        <v>0.383746897496943</v>
      </c>
      <c r="AH33" s="141" t="n">
        <f aca="false">IFERROR(AH32/AH20,0)</f>
        <v>0.401737801338675</v>
      </c>
      <c r="AI33" s="141" t="n">
        <f aca="false">IFERROR(AI32/AI20,0)</f>
        <v>0.417347126357593</v>
      </c>
      <c r="AJ33" s="141" t="n">
        <f aca="false">IFERROR(AJ32/AJ20,0)</f>
        <v>0.431089898095324</v>
      </c>
      <c r="AK33" s="141" t="n">
        <f aca="false">IFERROR(AK32/AK20,0)</f>
        <v>0.443158739469168</v>
      </c>
      <c r="AL33" s="141" t="n">
        <f aca="false">IFERROR(AL32/AL20,0)</f>
        <v>0.17734574055474</v>
      </c>
      <c r="AM33" s="141" t="n">
        <f aca="false">IFERROR(AM32/AM20,0)</f>
        <v>0.223440651125574</v>
      </c>
      <c r="AN33" s="141" t="n">
        <f aca="false">IFERROR(AN32/AN20,0)</f>
        <v>0.261747156922003</v>
      </c>
      <c r="AO33" s="141" t="n">
        <f aca="false">IFERROR(AO32/AO20,0)</f>
        <v>0.294038762793992</v>
      </c>
      <c r="AP33" s="141" t="n">
        <f aca="false">IFERROR(AP32/AP20,0)</f>
        <v>0.321541274283565</v>
      </c>
      <c r="AQ33" s="141" t="n">
        <f aca="false">IFERROR(AQ32/AQ20,0)</f>
        <v>0.345178954412622</v>
      </c>
      <c r="AR33" s="141" t="n">
        <f aca="false">IFERROR(AR32/AR20,0)</f>
        <v>0.365697244002147</v>
      </c>
      <c r="AS33" s="141" t="n">
        <f aca="false">IFERROR(AS32/AS20,0)</f>
        <v>0.383594010944074</v>
      </c>
      <c r="AT33" s="141" t="n">
        <f aca="false">IFERROR(AT32/AT20,0)</f>
        <v>0.399359702356629</v>
      </c>
      <c r="AU33" s="141" t="n">
        <f aca="false">IFERROR(AU32/AU20,0)</f>
        <v>0.413297570522817</v>
      </c>
      <c r="AV33" s="141" t="n">
        <f aca="false">IFERROR(AV32/AV20,0)</f>
        <v>0.425681134818941</v>
      </c>
      <c r="AW33" s="141" t="n">
        <f aca="false">IFERROR(AW32/AW20,0)</f>
        <v>0.43671161929755</v>
      </c>
      <c r="AX33" s="141" t="n">
        <f aca="false">IFERROR(AX32/AX20,0)</f>
        <v>0.303855597533717</v>
      </c>
      <c r="AY33" s="141" t="n">
        <f aca="false">IFERROR(AY32/AY20,0)</f>
        <v>0.340061578065664</v>
      </c>
      <c r="AZ33" s="141" t="n">
        <f aca="false">IFERROR(AZ32/AZ20,0)</f>
        <v>0.370541468515</v>
      </c>
      <c r="BA33" s="141" t="n">
        <f aca="false">IFERROR(BA32/BA20,0)</f>
        <v>0.396475900871864</v>
      </c>
      <c r="BB33" s="141" t="n">
        <f aca="false">IFERROR(BB32/BB20,0)</f>
        <v>0.41878917717934</v>
      </c>
      <c r="BC33" s="141" t="n">
        <f aca="false">IFERROR(BC32/BC20,0)</f>
        <v>0.43814449324505</v>
      </c>
      <c r="BD33" s="141" t="n">
        <f aca="false">IFERROR(BD32/BD20,0)</f>
        <v>0.455064641274453</v>
      </c>
      <c r="BE33" s="141" t="n">
        <f aca="false">IFERROR(BE32/BE20,0)</f>
        <v>0.469957810531792</v>
      </c>
      <c r="BF33" s="141" t="n">
        <f aca="false">IFERROR(BF32/BF20,0)</f>
        <v>0.483121806674675</v>
      </c>
      <c r="BG33" s="141" t="n">
        <f aca="false">IFERROR(BG32/BG20,0)</f>
        <v>0.49483929376405</v>
      </c>
      <c r="BH33" s="141" t="n">
        <f aca="false">IFERROR(BH32/BH20,0)</f>
        <v>0.505307671237282</v>
      </c>
      <c r="BI33" s="141" t="n">
        <f aca="false">IFERROR(BI32/BI20,0)</f>
        <v>0.51470370150629</v>
      </c>
      <c r="BJ33" s="143" t="n">
        <f aca="false">IFERROR(BJ32/BJ20,0)</f>
        <v>0.387290334807707</v>
      </c>
    </row>
    <row r="35" customFormat="false" ht="18" hidden="false" customHeight="true" outlineLevel="0" collapsed="false">
      <c r="A35" s="25" t="s">
        <v>440</v>
      </c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</row>
    <row r="36" customFormat="false" ht="15" hidden="false" customHeight="false" outlineLevel="0" collapsed="false">
      <c r="A36" s="112" t="s">
        <v>441</v>
      </c>
      <c r="B36" s="113" t="n">
        <f aca="false">-Investimentos!B30</f>
        <v>-0</v>
      </c>
      <c r="C36" s="113" t="n">
        <f aca="false">-Investimentos!C30</f>
        <v>-0</v>
      </c>
      <c r="D36" s="113" t="n">
        <f aca="false">-Investimentos!D30</f>
        <v>-0</v>
      </c>
      <c r="E36" s="113" t="n">
        <f aca="false">-Investimentos!E30</f>
        <v>-0</v>
      </c>
      <c r="F36" s="113" t="n">
        <f aca="false">-Investimentos!F30</f>
        <v>-0</v>
      </c>
      <c r="G36" s="113" t="n">
        <f aca="false">-Investimentos!G30</f>
        <v>-100</v>
      </c>
      <c r="H36" s="113" t="n">
        <f aca="false">-Investimentos!H30</f>
        <v>-100</v>
      </c>
      <c r="I36" s="113" t="n">
        <f aca="false">-Investimentos!I30</f>
        <v>-100</v>
      </c>
      <c r="J36" s="113" t="n">
        <f aca="false">-Investimentos!J30</f>
        <v>-252.130333333333</v>
      </c>
      <c r="K36" s="113" t="n">
        <f aca="false">-Investimentos!K30</f>
        <v>-427.130333333333</v>
      </c>
      <c r="L36" s="113" t="n">
        <f aca="false">-Investimentos!L30</f>
        <v>-602.130333333333</v>
      </c>
      <c r="M36" s="113" t="n">
        <f aca="false">-Investimentos!M30</f>
        <v>-602.130333333333</v>
      </c>
      <c r="N36" s="113" t="n">
        <f aca="false">-Investimentos!N30</f>
        <v>-602.130333333333</v>
      </c>
      <c r="O36" s="113" t="n">
        <f aca="false">-Investimentos!O30</f>
        <v>-602.130333333333</v>
      </c>
      <c r="P36" s="113" t="n">
        <f aca="false">-Investimentos!P30</f>
        <v>-602.130333333333</v>
      </c>
      <c r="Q36" s="113" t="n">
        <f aca="false">-Investimentos!Q30</f>
        <v>-802.130333333333</v>
      </c>
      <c r="R36" s="113" t="n">
        <f aca="false">-Investimentos!R30</f>
        <v>-802.130333333333</v>
      </c>
      <c r="S36" s="113" t="n">
        <f aca="false">-Investimentos!S30</f>
        <v>-802.130333333333</v>
      </c>
      <c r="T36" s="113" t="n">
        <f aca="false">-Investimentos!T30</f>
        <v>-902.130333333333</v>
      </c>
      <c r="U36" s="113" t="n">
        <f aca="false">-Investimentos!U30</f>
        <v>-1318.797</v>
      </c>
      <c r="V36" s="113" t="n">
        <f aca="false">-Investimentos!V30</f>
        <v>-1318.797</v>
      </c>
      <c r="W36" s="113" t="n">
        <f aca="false">-Investimentos!W30</f>
        <v>-1318.797</v>
      </c>
      <c r="X36" s="113" t="n">
        <f aca="false">-Investimentos!X30</f>
        <v>-1318.797</v>
      </c>
      <c r="Y36" s="113" t="n">
        <f aca="false">-Investimentos!Y30</f>
        <v>-1318.797</v>
      </c>
      <c r="Z36" s="113" t="n">
        <f aca="false">-Investimentos!Z30</f>
        <v>-1318.797</v>
      </c>
      <c r="AA36" s="113" t="n">
        <f aca="false">-Investimentos!AA30</f>
        <v>-1318.797</v>
      </c>
      <c r="AB36" s="113" t="n">
        <f aca="false">-Investimentos!AB30</f>
        <v>-1318.797</v>
      </c>
      <c r="AC36" s="113" t="n">
        <f aca="false">-Investimentos!AC30</f>
        <v>-1318.797</v>
      </c>
      <c r="AD36" s="113" t="n">
        <f aca="false">-Investimentos!AD30</f>
        <v>-1318.797</v>
      </c>
      <c r="AE36" s="113" t="n">
        <f aca="false">-Investimentos!AE30</f>
        <v>-1318.797</v>
      </c>
      <c r="AF36" s="113" t="n">
        <f aca="false">-Investimentos!AF30</f>
        <v>-1568.797</v>
      </c>
      <c r="AG36" s="113" t="n">
        <f aca="false">-Investimentos!AG30</f>
        <v>-1568.797</v>
      </c>
      <c r="AH36" s="113" t="n">
        <f aca="false">-Investimentos!AH30</f>
        <v>-1568.797</v>
      </c>
      <c r="AI36" s="113" t="n">
        <f aca="false">-Investimentos!AI30</f>
        <v>-1568.797</v>
      </c>
      <c r="AJ36" s="113" t="n">
        <f aca="false">-Investimentos!AJ30</f>
        <v>-1568.797</v>
      </c>
      <c r="AK36" s="113" t="n">
        <f aca="false">-Investimentos!AK30</f>
        <v>-1568.797</v>
      </c>
      <c r="AL36" s="113" t="n">
        <f aca="false">-Investimentos!AL30</f>
        <v>-1568.797</v>
      </c>
      <c r="AM36" s="113" t="n">
        <f aca="false">-Investimentos!AM30</f>
        <v>-1568.797</v>
      </c>
      <c r="AN36" s="113" t="n">
        <f aca="false">-Investimentos!AN30</f>
        <v>-1568.797</v>
      </c>
      <c r="AO36" s="113" t="n">
        <f aca="false">-Investimentos!AO30</f>
        <v>-1568.797</v>
      </c>
      <c r="AP36" s="113" t="n">
        <f aca="false">-Investimentos!AP30</f>
        <v>-1568.797</v>
      </c>
      <c r="AQ36" s="113" t="n">
        <f aca="false">-Investimentos!AQ30</f>
        <v>-1568.797</v>
      </c>
      <c r="AR36" s="113" t="n">
        <f aca="false">-Investimentos!AR30</f>
        <v>-1985.46366666667</v>
      </c>
      <c r="AS36" s="113" t="n">
        <f aca="false">-Investimentos!AS30</f>
        <v>-1985.46366666667</v>
      </c>
      <c r="AT36" s="113" t="n">
        <f aca="false">-Investimentos!AT30</f>
        <v>-1985.46366666667</v>
      </c>
      <c r="AU36" s="113" t="n">
        <f aca="false">-Investimentos!AU30</f>
        <v>-1985.46366666667</v>
      </c>
      <c r="AV36" s="113" t="n">
        <f aca="false">-Investimentos!AV30</f>
        <v>-1985.46366666667</v>
      </c>
      <c r="AW36" s="113" t="n">
        <f aca="false">-Investimentos!AW30</f>
        <v>-1985.46366666667</v>
      </c>
      <c r="AX36" s="113" t="n">
        <f aca="false">-Investimentos!AX30</f>
        <v>-1985.46366666667</v>
      </c>
      <c r="AY36" s="113" t="n">
        <f aca="false">-Investimentos!AY30</f>
        <v>-1985.46366666667</v>
      </c>
      <c r="AZ36" s="113" t="n">
        <f aca="false">-Investimentos!AZ30</f>
        <v>-1985.46366666667</v>
      </c>
      <c r="BA36" s="113" t="n">
        <f aca="false">-Investimentos!BA30</f>
        <v>-1985.46366666667</v>
      </c>
      <c r="BB36" s="113" t="n">
        <f aca="false">-Investimentos!BB30</f>
        <v>-1985.46366666667</v>
      </c>
      <c r="BC36" s="113" t="n">
        <f aca="false">-Investimentos!BC30</f>
        <v>-1985.46366666667</v>
      </c>
      <c r="BD36" s="113" t="n">
        <f aca="false">-Investimentos!BD30</f>
        <v>-2485.46366666667</v>
      </c>
      <c r="BE36" s="113" t="n">
        <f aca="false">-Investimentos!BE30</f>
        <v>-2485.46366666667</v>
      </c>
      <c r="BF36" s="113" t="n">
        <f aca="false">-Investimentos!BF30</f>
        <v>-2485.46366666667</v>
      </c>
      <c r="BG36" s="113" t="n">
        <f aca="false">-Investimentos!BG30</f>
        <v>-2485.46366666667</v>
      </c>
      <c r="BH36" s="113" t="n">
        <f aca="false">-Investimentos!BH30</f>
        <v>-2485.46366666667</v>
      </c>
      <c r="BI36" s="113" t="n">
        <f aca="false">-Investimentos!BI30</f>
        <v>-2485.46366666667</v>
      </c>
      <c r="BJ36" s="111" t="n">
        <f aca="false">SUM(B36:BI36)</f>
        <v>-79369.1106666667</v>
      </c>
      <c r="BK36" s="29" t="s">
        <v>442</v>
      </c>
    </row>
    <row r="37" customFormat="false" ht="15" hidden="false" customHeight="false" outlineLevel="0" collapsed="false">
      <c r="A37" s="51" t="s">
        <v>443</v>
      </c>
      <c r="B37" s="111" t="n">
        <f aca="false">B32+B36</f>
        <v>0</v>
      </c>
      <c r="C37" s="111" t="n">
        <f aca="false">C32+C36</f>
        <v>0</v>
      </c>
      <c r="D37" s="111" t="n">
        <f aca="false">D32+D36</f>
        <v>0</v>
      </c>
      <c r="E37" s="111" t="n">
        <f aca="false">E32+E36</f>
        <v>-1500</v>
      </c>
      <c r="F37" s="111" t="n">
        <f aca="false">F32+F36</f>
        <v>-2100</v>
      </c>
      <c r="G37" s="111" t="n">
        <f aca="false">G32+G36</f>
        <v>-2200</v>
      </c>
      <c r="H37" s="111" t="n">
        <f aca="false">H32+H36</f>
        <v>-2200</v>
      </c>
      <c r="I37" s="111" t="n">
        <f aca="false">I32+I36</f>
        <v>-2200</v>
      </c>
      <c r="J37" s="111" t="n">
        <f aca="false">J32+J36</f>
        <v>-2352.13033333333</v>
      </c>
      <c r="K37" s="111" t="n">
        <f aca="false">K32+K36</f>
        <v>-59937.1176583333</v>
      </c>
      <c r="L37" s="111" t="n">
        <f aca="false">L32+L36</f>
        <v>-28056.7627583333</v>
      </c>
      <c r="M37" s="111" t="n">
        <f aca="false">M32+M36</f>
        <v>-16721.1480333333</v>
      </c>
      <c r="N37" s="111" t="n">
        <f aca="false">N32+N36</f>
        <v>-67335.8080734294</v>
      </c>
      <c r="O37" s="111" t="n">
        <f aca="false">O32+O36</f>
        <v>-35445.7279738477</v>
      </c>
      <c r="P37" s="111" t="n">
        <f aca="false">P32+P36</f>
        <v>647.632013892116</v>
      </c>
      <c r="Q37" s="111" t="n">
        <f aca="false">Q32+Q36</f>
        <v>17601.1203875865</v>
      </c>
      <c r="R37" s="111" t="n">
        <f aca="false">R32+R36</f>
        <v>33439.6463397689</v>
      </c>
      <c r="S37" s="111" t="n">
        <f aca="false">S32+S36</f>
        <v>47873.4402833676</v>
      </c>
      <c r="T37" s="111" t="n">
        <f aca="false">T32+T36</f>
        <v>61282.5753109089</v>
      </c>
      <c r="U37" s="111" t="n">
        <f aca="false">U32+U36</f>
        <v>73467.3011361015</v>
      </c>
      <c r="V37" s="111" t="n">
        <f aca="false">V32+V36</f>
        <v>85244.8697630173</v>
      </c>
      <c r="W37" s="111" t="n">
        <f aca="false">W32+W36</f>
        <v>94796.2742684958</v>
      </c>
      <c r="X37" s="111" t="n">
        <f aca="false">X32+X36</f>
        <v>103800.314266692</v>
      </c>
      <c r="Y37" s="111" t="n">
        <f aca="false">Y32+Y36</f>
        <v>112272.499727032</v>
      </c>
      <c r="Z37" s="111" t="n">
        <f aca="false">Z32+Z36</f>
        <v>20199.8433200593</v>
      </c>
      <c r="AA37" s="111" t="n">
        <f aca="false">AA32+AA36</f>
        <v>77432.0566886069</v>
      </c>
      <c r="AB37" s="111" t="n">
        <f aca="false">AB32+AB36</f>
        <v>95117.7768583014</v>
      </c>
      <c r="AC37" s="111" t="n">
        <f aca="false">AC32+AC36</f>
        <v>111898.854585646</v>
      </c>
      <c r="AD37" s="111" t="n">
        <f aca="false">AD32+AD36</f>
        <v>148651.362685849</v>
      </c>
      <c r="AE37" s="111" t="n">
        <f aca="false">AE32+AE36</f>
        <v>170171.593839078</v>
      </c>
      <c r="AF37" s="111" t="n">
        <f aca="false">AF32+AF36</f>
        <v>189974.284053269</v>
      </c>
      <c r="AG37" s="111" t="n">
        <f aca="false">AG32+AG36</f>
        <v>208587.254001794</v>
      </c>
      <c r="AH37" s="111" t="n">
        <f aca="false">AH32+AH36</f>
        <v>225959.308547794</v>
      </c>
      <c r="AI37" s="111" t="n">
        <f aca="false">AI32+AI36</f>
        <v>242027.284415081</v>
      </c>
      <c r="AJ37" s="111" t="n">
        <f aca="false">AJ32+AJ36</f>
        <v>257006.531708122</v>
      </c>
      <c r="AK37" s="111" t="n">
        <f aca="false">AK32+AK36</f>
        <v>270864.531595178</v>
      </c>
      <c r="AL37" s="111" t="n">
        <f aca="false">AL32+AL36</f>
        <v>140639.022595745</v>
      </c>
      <c r="AM37" s="111" t="n">
        <f aca="false">AM32+AM36</f>
        <v>189052.312933859</v>
      </c>
      <c r="AN37" s="111" t="n">
        <f aca="false">AN32+AN36</f>
        <v>234257.474377284</v>
      </c>
      <c r="AO37" s="111" t="n">
        <f aca="false">AO32+AO36</f>
        <v>276498.873036885</v>
      </c>
      <c r="AP37" s="111" t="n">
        <f aca="false">AP32+AP36</f>
        <v>315927.356894451</v>
      </c>
      <c r="AQ37" s="111" t="n">
        <f aca="false">AQ32+AQ36</f>
        <v>352706.637927172</v>
      </c>
      <c r="AR37" s="111" t="n">
        <f aca="false">AR32+AR36</f>
        <v>386649.749191665</v>
      </c>
      <c r="AS37" s="111" t="n">
        <f aca="false">AS32+AS36</f>
        <v>418673.291112877</v>
      </c>
      <c r="AT37" s="111" t="n">
        <f aca="false">AT32+AT36</f>
        <v>448623.005927259</v>
      </c>
      <c r="AU37" s="111" t="n">
        <f aca="false">AU32+AU36</f>
        <v>476580.923673518</v>
      </c>
      <c r="AV37" s="111" t="n">
        <f aca="false">AV32+AV36</f>
        <v>502680.241587846</v>
      </c>
      <c r="AW37" s="111" t="n">
        <f aca="false">AW32+AW36</f>
        <v>527001.911590466</v>
      </c>
      <c r="AX37" s="111" t="n">
        <f aca="false">AX32+AX36</f>
        <v>466939.880014945</v>
      </c>
      <c r="AY37" s="111" t="n">
        <f aca="false">AY32+AY36</f>
        <v>553719.603628528</v>
      </c>
      <c r="AZ37" s="111" t="n">
        <f aca="false">AZ32+AZ36</f>
        <v>635111.067682364</v>
      </c>
      <c r="BA37" s="111" t="n">
        <f aca="false">BA32+BA36</f>
        <v>711362.087400591</v>
      </c>
      <c r="BB37" s="111" t="n">
        <f aca="false">BB32+BB36</f>
        <v>782870.862131565</v>
      </c>
      <c r="BC37" s="111" t="n">
        <f aca="false">BC32+BC36</f>
        <v>849902.184105835</v>
      </c>
      <c r="BD37" s="111" t="n">
        <f aca="false">BD32+BD36</f>
        <v>912252.706962143</v>
      </c>
      <c r="BE37" s="111" t="n">
        <f aca="false">BE32+BE36</f>
        <v>971202.072520816</v>
      </c>
      <c r="BF37" s="111" t="n">
        <f aca="false">BF32+BF36</f>
        <v>1026408.98301528</v>
      </c>
      <c r="BG37" s="111" t="n">
        <f aca="false">BG32+BG36</f>
        <v>1078204.9057152</v>
      </c>
      <c r="BH37" s="111" t="n">
        <f aca="false">BH32+BH36</f>
        <v>1126763.79349625</v>
      </c>
      <c r="BI37" s="111" t="n">
        <f aca="false">BI32+BI36</f>
        <v>1172313.7968999</v>
      </c>
      <c r="BJ37" s="111" t="n">
        <f aca="false">SUM(B37:BI37)</f>
        <v>16984610.4053875</v>
      </c>
    </row>
    <row r="38" customFormat="false" ht="15" hidden="false" customHeight="false" outlineLevel="0" collapsed="false">
      <c r="A38" s="114" t="s">
        <v>444</v>
      </c>
      <c r="B38" s="115" t="n">
        <f aca="false">0</f>
        <v>0</v>
      </c>
      <c r="C38" s="115" t="n">
        <f aca="false">0</f>
        <v>0</v>
      </c>
      <c r="D38" s="115" t="n">
        <f aca="false">0</f>
        <v>0</v>
      </c>
      <c r="E38" s="115" t="n">
        <f aca="false">0</f>
        <v>0</v>
      </c>
      <c r="F38" s="115" t="n">
        <f aca="false">0</f>
        <v>0</v>
      </c>
      <c r="G38" s="115" t="n">
        <f aca="false">0</f>
        <v>0</v>
      </c>
      <c r="H38" s="115" t="n">
        <f aca="false">0</f>
        <v>0</v>
      </c>
      <c r="I38" s="115" t="n">
        <f aca="false">0</f>
        <v>0</v>
      </c>
      <c r="J38" s="115" t="n">
        <f aca="false">0</f>
        <v>0</v>
      </c>
      <c r="K38" s="115" t="n">
        <f aca="false">0</f>
        <v>0</v>
      </c>
      <c r="L38" s="115" t="n">
        <f aca="false">0</f>
        <v>0</v>
      </c>
      <c r="M38" s="115" t="n">
        <f aca="false">0</f>
        <v>0</v>
      </c>
      <c r="N38" s="115" t="n">
        <f aca="false">0</f>
        <v>0</v>
      </c>
      <c r="O38" s="115" t="n">
        <f aca="false">0</f>
        <v>0</v>
      </c>
      <c r="P38" s="115" t="n">
        <f aca="false">0</f>
        <v>0</v>
      </c>
      <c r="Q38" s="115" t="n">
        <f aca="false">0</f>
        <v>0</v>
      </c>
      <c r="R38" s="115" t="n">
        <f aca="false">0</f>
        <v>0</v>
      </c>
      <c r="S38" s="115" t="n">
        <f aca="false">0</f>
        <v>0</v>
      </c>
      <c r="T38" s="115" t="n">
        <f aca="false">0</f>
        <v>0</v>
      </c>
      <c r="U38" s="115" t="n">
        <f aca="false">0</f>
        <v>0</v>
      </c>
      <c r="V38" s="115" t="n">
        <f aca="false">0</f>
        <v>0</v>
      </c>
      <c r="W38" s="115" t="n">
        <f aca="false">0</f>
        <v>0</v>
      </c>
      <c r="X38" s="115" t="n">
        <f aca="false">0</f>
        <v>0</v>
      </c>
      <c r="Y38" s="115" t="n">
        <f aca="false">0</f>
        <v>0</v>
      </c>
      <c r="Z38" s="115" t="n">
        <f aca="false">0</f>
        <v>0</v>
      </c>
      <c r="AA38" s="115" t="n">
        <f aca="false">0</f>
        <v>0</v>
      </c>
      <c r="AB38" s="115" t="n">
        <f aca="false">0</f>
        <v>0</v>
      </c>
      <c r="AC38" s="115" t="n">
        <f aca="false">0</f>
        <v>0</v>
      </c>
      <c r="AD38" s="115" t="n">
        <f aca="false">0</f>
        <v>0</v>
      </c>
      <c r="AE38" s="115" t="n">
        <f aca="false">0</f>
        <v>0</v>
      </c>
      <c r="AF38" s="115" t="n">
        <f aca="false">0</f>
        <v>0</v>
      </c>
      <c r="AG38" s="115" t="n">
        <f aca="false">0</f>
        <v>0</v>
      </c>
      <c r="AH38" s="115" t="n">
        <f aca="false">0</f>
        <v>0</v>
      </c>
      <c r="AI38" s="115" t="n">
        <f aca="false">0</f>
        <v>0</v>
      </c>
      <c r="AJ38" s="115" t="n">
        <f aca="false">0</f>
        <v>0</v>
      </c>
      <c r="AK38" s="115" t="n">
        <f aca="false">0</f>
        <v>0</v>
      </c>
      <c r="AL38" s="115" t="n">
        <f aca="false">0</f>
        <v>0</v>
      </c>
      <c r="AM38" s="115" t="n">
        <f aca="false">0</f>
        <v>0</v>
      </c>
      <c r="AN38" s="115" t="n">
        <f aca="false">0</f>
        <v>0</v>
      </c>
      <c r="AO38" s="115" t="n">
        <f aca="false">0</f>
        <v>0</v>
      </c>
      <c r="AP38" s="115" t="n">
        <f aca="false">0</f>
        <v>0</v>
      </c>
      <c r="AQ38" s="115" t="n">
        <f aca="false">0</f>
        <v>0</v>
      </c>
      <c r="AR38" s="115" t="n">
        <f aca="false">0</f>
        <v>0</v>
      </c>
      <c r="AS38" s="115" t="n">
        <f aca="false">0</f>
        <v>0</v>
      </c>
      <c r="AT38" s="115" t="n">
        <f aca="false">0</f>
        <v>0</v>
      </c>
      <c r="AU38" s="115" t="n">
        <f aca="false">0</f>
        <v>0</v>
      </c>
      <c r="AV38" s="115" t="n">
        <f aca="false">0</f>
        <v>0</v>
      </c>
      <c r="AW38" s="115" t="n">
        <f aca="false">0</f>
        <v>0</v>
      </c>
      <c r="AX38" s="115" t="n">
        <f aca="false">0</f>
        <v>0</v>
      </c>
      <c r="AY38" s="115" t="n">
        <f aca="false">0</f>
        <v>0</v>
      </c>
      <c r="AZ38" s="115" t="n">
        <f aca="false">0</f>
        <v>0</v>
      </c>
      <c r="BA38" s="115" t="n">
        <f aca="false">0</f>
        <v>0</v>
      </c>
      <c r="BB38" s="115" t="n">
        <f aca="false">0</f>
        <v>0</v>
      </c>
      <c r="BC38" s="115" t="n">
        <f aca="false">0</f>
        <v>0</v>
      </c>
      <c r="BD38" s="115" t="n">
        <f aca="false">0</f>
        <v>0</v>
      </c>
      <c r="BE38" s="115" t="n">
        <f aca="false">0</f>
        <v>0</v>
      </c>
      <c r="BF38" s="115" t="n">
        <f aca="false">0</f>
        <v>0</v>
      </c>
      <c r="BG38" s="115" t="n">
        <f aca="false">0</f>
        <v>0</v>
      </c>
      <c r="BH38" s="115" t="n">
        <f aca="false">0</f>
        <v>0</v>
      </c>
      <c r="BI38" s="115" t="n">
        <f aca="false">0</f>
        <v>0</v>
      </c>
      <c r="BJ38" s="111" t="n">
        <f aca="false">SUM(B38:BI38)</f>
        <v>0</v>
      </c>
      <c r="BK38" s="29" t="s">
        <v>445</v>
      </c>
    </row>
    <row r="39" customFormat="false" ht="15" hidden="false" customHeight="false" outlineLevel="0" collapsed="false">
      <c r="A39" s="51" t="s">
        <v>446</v>
      </c>
      <c r="B39" s="144" t="n">
        <f aca="false">B37+B38</f>
        <v>0</v>
      </c>
      <c r="C39" s="144" t="n">
        <f aca="false">C37+C38</f>
        <v>0</v>
      </c>
      <c r="D39" s="144" t="n">
        <f aca="false">D37+D38</f>
        <v>0</v>
      </c>
      <c r="E39" s="144" t="n">
        <f aca="false">E37+E38</f>
        <v>-1500</v>
      </c>
      <c r="F39" s="144" t="n">
        <f aca="false">F37+F38</f>
        <v>-2100</v>
      </c>
      <c r="G39" s="144" t="n">
        <f aca="false">G37+G38</f>
        <v>-2200</v>
      </c>
      <c r="H39" s="144" t="n">
        <f aca="false">H37+H38</f>
        <v>-2200</v>
      </c>
      <c r="I39" s="144" t="n">
        <f aca="false">I37+I38</f>
        <v>-2200</v>
      </c>
      <c r="J39" s="144" t="n">
        <f aca="false">J37+J38</f>
        <v>-2352.13033333333</v>
      </c>
      <c r="K39" s="144" t="n">
        <f aca="false">K37+K38</f>
        <v>-59937.1176583333</v>
      </c>
      <c r="L39" s="144" t="n">
        <f aca="false">L37+L38</f>
        <v>-28056.7627583333</v>
      </c>
      <c r="M39" s="144" t="n">
        <f aca="false">M37+M38</f>
        <v>-16721.1480333333</v>
      </c>
      <c r="N39" s="144" t="n">
        <f aca="false">N37+N38</f>
        <v>-67335.8080734294</v>
      </c>
      <c r="O39" s="144" t="n">
        <f aca="false">O37+O38</f>
        <v>-35445.7279738477</v>
      </c>
      <c r="P39" s="144" t="n">
        <f aca="false">P37+P38</f>
        <v>647.632013892116</v>
      </c>
      <c r="Q39" s="144" t="n">
        <f aca="false">Q37+Q38</f>
        <v>17601.1203875865</v>
      </c>
      <c r="R39" s="144" t="n">
        <f aca="false">R37+R38</f>
        <v>33439.6463397689</v>
      </c>
      <c r="S39" s="144" t="n">
        <f aca="false">S37+S38</f>
        <v>47873.4402833676</v>
      </c>
      <c r="T39" s="144" t="n">
        <f aca="false">T37+T38</f>
        <v>61282.5753109089</v>
      </c>
      <c r="U39" s="144" t="n">
        <f aca="false">U37+U38</f>
        <v>73467.3011361015</v>
      </c>
      <c r="V39" s="144" t="n">
        <f aca="false">V37+V38</f>
        <v>85244.8697630173</v>
      </c>
      <c r="W39" s="144" t="n">
        <f aca="false">W37+W38</f>
        <v>94796.2742684958</v>
      </c>
      <c r="X39" s="144" t="n">
        <f aca="false">X37+X38</f>
        <v>103800.314266692</v>
      </c>
      <c r="Y39" s="144" t="n">
        <f aca="false">Y37+Y38</f>
        <v>112272.499727032</v>
      </c>
      <c r="Z39" s="144" t="n">
        <f aca="false">Z37+Z38</f>
        <v>20199.8433200593</v>
      </c>
      <c r="AA39" s="144" t="n">
        <f aca="false">AA37+AA38</f>
        <v>77432.0566886069</v>
      </c>
      <c r="AB39" s="144" t="n">
        <f aca="false">AB37+AB38</f>
        <v>95117.7768583014</v>
      </c>
      <c r="AC39" s="144" t="n">
        <f aca="false">AC37+AC38</f>
        <v>111898.854585646</v>
      </c>
      <c r="AD39" s="144" t="n">
        <f aca="false">AD37+AD38</f>
        <v>148651.362685849</v>
      </c>
      <c r="AE39" s="144" t="n">
        <f aca="false">AE37+AE38</f>
        <v>170171.593839078</v>
      </c>
      <c r="AF39" s="144" t="n">
        <f aca="false">AF37+AF38</f>
        <v>189974.284053269</v>
      </c>
      <c r="AG39" s="144" t="n">
        <f aca="false">AG37+AG38</f>
        <v>208587.254001794</v>
      </c>
      <c r="AH39" s="144" t="n">
        <f aca="false">AH37+AH38</f>
        <v>225959.308547794</v>
      </c>
      <c r="AI39" s="144" t="n">
        <f aca="false">AI37+AI38</f>
        <v>242027.284415081</v>
      </c>
      <c r="AJ39" s="144" t="n">
        <f aca="false">AJ37+AJ38</f>
        <v>257006.531708122</v>
      </c>
      <c r="AK39" s="144" t="n">
        <f aca="false">AK37+AK38</f>
        <v>270864.531595178</v>
      </c>
      <c r="AL39" s="144" t="n">
        <f aca="false">AL37+AL38</f>
        <v>140639.022595745</v>
      </c>
      <c r="AM39" s="144" t="n">
        <f aca="false">AM37+AM38</f>
        <v>189052.312933859</v>
      </c>
      <c r="AN39" s="144" t="n">
        <f aca="false">AN37+AN38</f>
        <v>234257.474377284</v>
      </c>
      <c r="AO39" s="144" t="n">
        <f aca="false">AO37+AO38</f>
        <v>276498.873036885</v>
      </c>
      <c r="AP39" s="144" t="n">
        <f aca="false">AP37+AP38</f>
        <v>315927.356894451</v>
      </c>
      <c r="AQ39" s="144" t="n">
        <f aca="false">AQ37+AQ38</f>
        <v>352706.637927172</v>
      </c>
      <c r="AR39" s="144" t="n">
        <f aca="false">AR37+AR38</f>
        <v>386649.749191665</v>
      </c>
      <c r="AS39" s="144" t="n">
        <f aca="false">AS37+AS38</f>
        <v>418673.291112877</v>
      </c>
      <c r="AT39" s="144" t="n">
        <f aca="false">AT37+AT38</f>
        <v>448623.005927259</v>
      </c>
      <c r="AU39" s="144" t="n">
        <f aca="false">AU37+AU38</f>
        <v>476580.923673518</v>
      </c>
      <c r="AV39" s="144" t="n">
        <f aca="false">AV37+AV38</f>
        <v>502680.241587846</v>
      </c>
      <c r="AW39" s="144" t="n">
        <f aca="false">AW37+AW38</f>
        <v>527001.911590466</v>
      </c>
      <c r="AX39" s="144" t="n">
        <f aca="false">AX37+AX38</f>
        <v>466939.880014945</v>
      </c>
      <c r="AY39" s="144" t="n">
        <f aca="false">AY37+AY38</f>
        <v>553719.603628528</v>
      </c>
      <c r="AZ39" s="144" t="n">
        <f aca="false">AZ37+AZ38</f>
        <v>635111.067682364</v>
      </c>
      <c r="BA39" s="144" t="n">
        <f aca="false">BA37+BA38</f>
        <v>711362.087400591</v>
      </c>
      <c r="BB39" s="144" t="n">
        <f aca="false">BB37+BB38</f>
        <v>782870.862131565</v>
      </c>
      <c r="BC39" s="144" t="n">
        <f aca="false">BC37+BC38</f>
        <v>849902.184105835</v>
      </c>
      <c r="BD39" s="144" t="n">
        <f aca="false">BD37+BD38</f>
        <v>912252.706962143</v>
      </c>
      <c r="BE39" s="144" t="n">
        <f aca="false">BE37+BE38</f>
        <v>971202.072520816</v>
      </c>
      <c r="BF39" s="144" t="n">
        <f aca="false">BF37+BF38</f>
        <v>1026408.98301528</v>
      </c>
      <c r="BG39" s="144" t="n">
        <f aca="false">BG37+BG38</f>
        <v>1078204.9057152</v>
      </c>
      <c r="BH39" s="144" t="n">
        <f aca="false">BH37+BH38</f>
        <v>1126763.79349625</v>
      </c>
      <c r="BI39" s="144" t="n">
        <f aca="false">BI37+BI38</f>
        <v>1172313.7968999</v>
      </c>
      <c r="BJ39" s="111" t="n">
        <f aca="false">SUM(B39:BI39)</f>
        <v>16984610.4053875</v>
      </c>
    </row>
    <row r="40" customFormat="false" ht="15" hidden="false" customHeight="false" outlineLevel="0" collapsed="false">
      <c r="A40" s="114" t="s">
        <v>447</v>
      </c>
      <c r="B40" s="115" t="n">
        <f aca="false">0</f>
        <v>0</v>
      </c>
      <c r="C40" s="115" t="n">
        <f aca="false">0</f>
        <v>0</v>
      </c>
      <c r="D40" s="115" t="n">
        <f aca="false">0</f>
        <v>0</v>
      </c>
      <c r="E40" s="115" t="n">
        <f aca="false">0</f>
        <v>0</v>
      </c>
      <c r="F40" s="115" t="n">
        <f aca="false">0</f>
        <v>0</v>
      </c>
      <c r="G40" s="115" t="n">
        <f aca="false">0</f>
        <v>0</v>
      </c>
      <c r="H40" s="115" t="n">
        <f aca="false">0</f>
        <v>0</v>
      </c>
      <c r="I40" s="115" t="n">
        <f aca="false">0</f>
        <v>0</v>
      </c>
      <c r="J40" s="115" t="n">
        <f aca="false">0</f>
        <v>0</v>
      </c>
      <c r="K40" s="115" t="n">
        <f aca="false">0</f>
        <v>0</v>
      </c>
      <c r="L40" s="115" t="n">
        <f aca="false">0</f>
        <v>0</v>
      </c>
      <c r="M40" s="115" t="n">
        <f aca="false">0</f>
        <v>0</v>
      </c>
      <c r="N40" s="115" t="n">
        <f aca="false">0</f>
        <v>0</v>
      </c>
      <c r="O40" s="115" t="n">
        <f aca="false">0</f>
        <v>0</v>
      </c>
      <c r="P40" s="115" t="n">
        <f aca="false">0</f>
        <v>0</v>
      </c>
      <c r="Q40" s="115" t="n">
        <f aca="false">0</f>
        <v>0</v>
      </c>
      <c r="R40" s="115" t="n">
        <f aca="false">0</f>
        <v>0</v>
      </c>
      <c r="S40" s="115" t="n">
        <f aca="false">0</f>
        <v>0</v>
      </c>
      <c r="T40" s="115" t="n">
        <f aca="false">0</f>
        <v>0</v>
      </c>
      <c r="U40" s="115" t="n">
        <f aca="false">0</f>
        <v>0</v>
      </c>
      <c r="V40" s="115" t="n">
        <f aca="false">0</f>
        <v>0</v>
      </c>
      <c r="W40" s="115" t="n">
        <f aca="false">0</f>
        <v>0</v>
      </c>
      <c r="X40" s="115" t="n">
        <f aca="false">0</f>
        <v>0</v>
      </c>
      <c r="Y40" s="115" t="n">
        <f aca="false">0</f>
        <v>0</v>
      </c>
      <c r="Z40" s="115" t="n">
        <f aca="false">0</f>
        <v>0</v>
      </c>
      <c r="AA40" s="115" t="n">
        <f aca="false">0</f>
        <v>0</v>
      </c>
      <c r="AB40" s="115" t="n">
        <f aca="false">0</f>
        <v>0</v>
      </c>
      <c r="AC40" s="115" t="n">
        <f aca="false">0</f>
        <v>0</v>
      </c>
      <c r="AD40" s="115" t="n">
        <f aca="false">0</f>
        <v>0</v>
      </c>
      <c r="AE40" s="115" t="n">
        <f aca="false">0</f>
        <v>0</v>
      </c>
      <c r="AF40" s="115" t="n">
        <f aca="false">0</f>
        <v>0</v>
      </c>
      <c r="AG40" s="115" t="n">
        <f aca="false">0</f>
        <v>0</v>
      </c>
      <c r="AH40" s="115" t="n">
        <f aca="false">0</f>
        <v>0</v>
      </c>
      <c r="AI40" s="115" t="n">
        <f aca="false">0</f>
        <v>0</v>
      </c>
      <c r="AJ40" s="115" t="n">
        <f aca="false">0</f>
        <v>0</v>
      </c>
      <c r="AK40" s="115" t="n">
        <f aca="false">0</f>
        <v>0</v>
      </c>
      <c r="AL40" s="115" t="n">
        <f aca="false">0</f>
        <v>0</v>
      </c>
      <c r="AM40" s="115" t="n">
        <f aca="false">0</f>
        <v>0</v>
      </c>
      <c r="AN40" s="115" t="n">
        <f aca="false">0</f>
        <v>0</v>
      </c>
      <c r="AO40" s="115" t="n">
        <f aca="false">0</f>
        <v>0</v>
      </c>
      <c r="AP40" s="115" t="n">
        <f aca="false">0</f>
        <v>0</v>
      </c>
      <c r="AQ40" s="115" t="n">
        <f aca="false">0</f>
        <v>0</v>
      </c>
      <c r="AR40" s="115" t="n">
        <f aca="false">0</f>
        <v>0</v>
      </c>
      <c r="AS40" s="115" t="n">
        <f aca="false">0</f>
        <v>0</v>
      </c>
      <c r="AT40" s="115" t="n">
        <f aca="false">0</f>
        <v>0</v>
      </c>
      <c r="AU40" s="115" t="n">
        <f aca="false">0</f>
        <v>0</v>
      </c>
      <c r="AV40" s="115" t="n">
        <f aca="false">0</f>
        <v>0</v>
      </c>
      <c r="AW40" s="115" t="n">
        <f aca="false">0</f>
        <v>0</v>
      </c>
      <c r="AX40" s="115" t="n">
        <f aca="false">0</f>
        <v>0</v>
      </c>
      <c r="AY40" s="115" t="n">
        <f aca="false">0</f>
        <v>0</v>
      </c>
      <c r="AZ40" s="115" t="n">
        <f aca="false">0</f>
        <v>0</v>
      </c>
      <c r="BA40" s="115" t="n">
        <f aca="false">0</f>
        <v>0</v>
      </c>
      <c r="BB40" s="115" t="n">
        <f aca="false">0</f>
        <v>0</v>
      </c>
      <c r="BC40" s="115" t="n">
        <f aca="false">0</f>
        <v>0</v>
      </c>
      <c r="BD40" s="115" t="n">
        <f aca="false">0</f>
        <v>0</v>
      </c>
      <c r="BE40" s="115" t="n">
        <f aca="false">0</f>
        <v>0</v>
      </c>
      <c r="BF40" s="115" t="n">
        <f aca="false">0</f>
        <v>0</v>
      </c>
      <c r="BG40" s="115" t="n">
        <f aca="false">0</f>
        <v>0</v>
      </c>
      <c r="BH40" s="115" t="n">
        <f aca="false">0</f>
        <v>0</v>
      </c>
      <c r="BI40" s="115" t="n">
        <f aca="false">0</f>
        <v>0</v>
      </c>
      <c r="BJ40" s="111" t="n">
        <f aca="false">SUM(B40:BI40)</f>
        <v>0</v>
      </c>
      <c r="BK40" s="29" t="s">
        <v>448</v>
      </c>
    </row>
    <row r="41" customFormat="false" ht="15" hidden="false" customHeight="false" outlineLevel="0" collapsed="false">
      <c r="A41" s="51" t="s">
        <v>449</v>
      </c>
      <c r="B41" s="111" t="n">
        <f aca="false">B39+B40</f>
        <v>0</v>
      </c>
      <c r="C41" s="111" t="n">
        <f aca="false">C39+C40</f>
        <v>0</v>
      </c>
      <c r="D41" s="111" t="n">
        <f aca="false">D39+D40</f>
        <v>0</v>
      </c>
      <c r="E41" s="111" t="n">
        <f aca="false">E39+E40</f>
        <v>-1500</v>
      </c>
      <c r="F41" s="111" t="n">
        <f aca="false">F39+F40</f>
        <v>-2100</v>
      </c>
      <c r="G41" s="111" t="n">
        <f aca="false">G39+G40</f>
        <v>-2200</v>
      </c>
      <c r="H41" s="111" t="n">
        <f aca="false">H39+H40</f>
        <v>-2200</v>
      </c>
      <c r="I41" s="111" t="n">
        <f aca="false">I39+I40</f>
        <v>-2200</v>
      </c>
      <c r="J41" s="111" t="n">
        <f aca="false">J39+J40</f>
        <v>-2352.13033333333</v>
      </c>
      <c r="K41" s="111" t="n">
        <f aca="false">K39+K40</f>
        <v>-59937.1176583333</v>
      </c>
      <c r="L41" s="111" t="n">
        <f aca="false">L39+L40</f>
        <v>-28056.7627583333</v>
      </c>
      <c r="M41" s="111" t="n">
        <f aca="false">M39+M40</f>
        <v>-16721.1480333333</v>
      </c>
      <c r="N41" s="111" t="n">
        <f aca="false">N39+N40</f>
        <v>-67335.8080734294</v>
      </c>
      <c r="O41" s="111" t="n">
        <f aca="false">O39+O40</f>
        <v>-35445.7279738477</v>
      </c>
      <c r="P41" s="111" t="n">
        <f aca="false">P39+P40</f>
        <v>647.632013892116</v>
      </c>
      <c r="Q41" s="111" t="n">
        <f aca="false">Q39+Q40</f>
        <v>17601.1203875865</v>
      </c>
      <c r="R41" s="111" t="n">
        <f aca="false">R39+R40</f>
        <v>33439.6463397689</v>
      </c>
      <c r="S41" s="111" t="n">
        <f aca="false">S39+S40</f>
        <v>47873.4402833676</v>
      </c>
      <c r="T41" s="111" t="n">
        <f aca="false">T39+T40</f>
        <v>61282.5753109089</v>
      </c>
      <c r="U41" s="111" t="n">
        <f aca="false">U39+U40</f>
        <v>73467.3011361015</v>
      </c>
      <c r="V41" s="111" t="n">
        <f aca="false">V39+V40</f>
        <v>85244.8697630173</v>
      </c>
      <c r="W41" s="111" t="n">
        <f aca="false">W39+W40</f>
        <v>94796.2742684958</v>
      </c>
      <c r="X41" s="111" t="n">
        <f aca="false">X39+X40</f>
        <v>103800.314266692</v>
      </c>
      <c r="Y41" s="111" t="n">
        <f aca="false">Y39+Y40</f>
        <v>112272.499727032</v>
      </c>
      <c r="Z41" s="111" t="n">
        <f aca="false">Z39+Z40</f>
        <v>20199.8433200593</v>
      </c>
      <c r="AA41" s="111" t="n">
        <f aca="false">AA39+AA40</f>
        <v>77432.0566886069</v>
      </c>
      <c r="AB41" s="111" t="n">
        <f aca="false">AB39+AB40</f>
        <v>95117.7768583014</v>
      </c>
      <c r="AC41" s="111" t="n">
        <f aca="false">AC39+AC40</f>
        <v>111898.854585646</v>
      </c>
      <c r="AD41" s="111" t="n">
        <f aca="false">AD39+AD40</f>
        <v>148651.362685849</v>
      </c>
      <c r="AE41" s="111" t="n">
        <f aca="false">AE39+AE40</f>
        <v>170171.593839078</v>
      </c>
      <c r="AF41" s="111" t="n">
        <f aca="false">AF39+AF40</f>
        <v>189974.284053269</v>
      </c>
      <c r="AG41" s="111" t="n">
        <f aca="false">AG39+AG40</f>
        <v>208587.254001794</v>
      </c>
      <c r="AH41" s="111" t="n">
        <f aca="false">AH39+AH40</f>
        <v>225959.308547794</v>
      </c>
      <c r="AI41" s="111" t="n">
        <f aca="false">AI39+AI40</f>
        <v>242027.284415081</v>
      </c>
      <c r="AJ41" s="111" t="n">
        <f aca="false">AJ39+AJ40</f>
        <v>257006.531708122</v>
      </c>
      <c r="AK41" s="111" t="n">
        <f aca="false">AK39+AK40</f>
        <v>270864.531595178</v>
      </c>
      <c r="AL41" s="111" t="n">
        <f aca="false">AL39+AL40</f>
        <v>140639.022595745</v>
      </c>
      <c r="AM41" s="111" t="n">
        <f aca="false">AM39+AM40</f>
        <v>189052.312933859</v>
      </c>
      <c r="AN41" s="111" t="n">
        <f aca="false">AN39+AN40</f>
        <v>234257.474377284</v>
      </c>
      <c r="AO41" s="111" t="n">
        <f aca="false">AO39+AO40</f>
        <v>276498.873036885</v>
      </c>
      <c r="AP41" s="111" t="n">
        <f aca="false">AP39+AP40</f>
        <v>315927.356894451</v>
      </c>
      <c r="AQ41" s="111" t="n">
        <f aca="false">AQ39+AQ40</f>
        <v>352706.637927172</v>
      </c>
      <c r="AR41" s="111" t="n">
        <f aca="false">AR39+AR40</f>
        <v>386649.749191665</v>
      </c>
      <c r="AS41" s="111" t="n">
        <f aca="false">AS39+AS40</f>
        <v>418673.291112877</v>
      </c>
      <c r="AT41" s="111" t="n">
        <f aca="false">AT39+AT40</f>
        <v>448623.005927259</v>
      </c>
      <c r="AU41" s="111" t="n">
        <f aca="false">AU39+AU40</f>
        <v>476580.923673518</v>
      </c>
      <c r="AV41" s="111" t="n">
        <f aca="false">AV39+AV40</f>
        <v>502680.241587846</v>
      </c>
      <c r="AW41" s="111" t="n">
        <f aca="false">AW39+AW40</f>
        <v>527001.911590466</v>
      </c>
      <c r="AX41" s="111" t="n">
        <f aca="false">AX39+AX40</f>
        <v>466939.880014945</v>
      </c>
      <c r="AY41" s="111" t="n">
        <f aca="false">AY39+AY40</f>
        <v>553719.603628528</v>
      </c>
      <c r="AZ41" s="111" t="n">
        <f aca="false">AZ39+AZ40</f>
        <v>635111.067682364</v>
      </c>
      <c r="BA41" s="111" t="n">
        <f aca="false">BA39+BA40</f>
        <v>711362.087400591</v>
      </c>
      <c r="BB41" s="111" t="n">
        <f aca="false">BB39+BB40</f>
        <v>782870.862131565</v>
      </c>
      <c r="BC41" s="111" t="n">
        <f aca="false">BC39+BC40</f>
        <v>849902.184105835</v>
      </c>
      <c r="BD41" s="111" t="n">
        <f aca="false">BD39+BD40</f>
        <v>912252.706962143</v>
      </c>
      <c r="BE41" s="111" t="n">
        <f aca="false">BE39+BE40</f>
        <v>971202.072520816</v>
      </c>
      <c r="BF41" s="111" t="n">
        <f aca="false">BF39+BF40</f>
        <v>1026408.98301528</v>
      </c>
      <c r="BG41" s="111" t="n">
        <f aca="false">BG39+BG40</f>
        <v>1078204.9057152</v>
      </c>
      <c r="BH41" s="111" t="n">
        <f aca="false">BH39+BH40</f>
        <v>1126763.79349625</v>
      </c>
      <c r="BI41" s="111" t="n">
        <f aca="false">BI39+BI40</f>
        <v>1172313.7968999</v>
      </c>
      <c r="BJ41" s="111" t="n">
        <f aca="false">SUM(B41:BI41)</f>
        <v>16984610.4053875</v>
      </c>
    </row>
    <row r="42" customFormat="false" ht="15" hidden="false" customHeight="false" outlineLevel="0" collapsed="false">
      <c r="A42" s="68" t="s">
        <v>450</v>
      </c>
      <c r="B42" s="141" t="n">
        <f aca="false">IFERROR(B41/B20,0)</f>
        <v>0</v>
      </c>
      <c r="C42" s="141" t="n">
        <f aca="false">IFERROR(C41/C20,0)</f>
        <v>0</v>
      </c>
      <c r="D42" s="141" t="n">
        <f aca="false">IFERROR(D41/D20,0)</f>
        <v>0</v>
      </c>
      <c r="E42" s="141" t="n">
        <f aca="false">IFERROR(E41/E20,0)</f>
        <v>0</v>
      </c>
      <c r="F42" s="141" t="n">
        <f aca="false">IFERROR(F41/F20,0)</f>
        <v>0</v>
      </c>
      <c r="G42" s="141" t="n">
        <f aca="false">IFERROR(G41/G20,0)</f>
        <v>0</v>
      </c>
      <c r="H42" s="141" t="n">
        <f aca="false">IFERROR(H41/H20,0)</f>
        <v>0</v>
      </c>
      <c r="I42" s="141" t="n">
        <f aca="false">IFERROR(I41/I20,0)</f>
        <v>0</v>
      </c>
      <c r="J42" s="141" t="n">
        <f aca="false">IFERROR(J41/J20,0)</f>
        <v>0</v>
      </c>
      <c r="K42" s="141" t="n">
        <f aca="false">IFERROR(K41/K20,0)</f>
        <v>-20.6441761678488</v>
      </c>
      <c r="L42" s="141" t="n">
        <f aca="false">IFERROR(L41/L20,0)</f>
        <v>-2.53334713938085</v>
      </c>
      <c r="M42" s="141" t="n">
        <f aca="false">IFERROR(M41/M20,0)</f>
        <v>-0.698210443446865</v>
      </c>
      <c r="N42" s="141" t="n">
        <f aca="false">IFERROR(N41/N20,0)</f>
        <v>-1.15586799871089</v>
      </c>
      <c r="O42" s="141" t="n">
        <f aca="false">IFERROR(O41/O20,0)</f>
        <v>-0.379809476333104</v>
      </c>
      <c r="P42" s="141" t="n">
        <f aca="false">IFERROR(P41/P20,0)</f>
        <v>0.00486688218194549</v>
      </c>
      <c r="Q42" s="141" t="n">
        <f aca="false">IFERROR(Q41/Q20,0)</f>
        <v>0.115590832058961</v>
      </c>
      <c r="R42" s="141" t="n">
        <f aca="false">IFERROR(R41/R20,0)</f>
        <v>0.196699350159661</v>
      </c>
      <c r="S42" s="141" t="n">
        <f aca="false">IFERROR(S41/S20,0)</f>
        <v>0.257123184642265</v>
      </c>
      <c r="T42" s="141" t="n">
        <f aca="false">IFERROR(T41/T20,0)</f>
        <v>0.304407363664894</v>
      </c>
      <c r="U42" s="141" t="n">
        <f aca="false">IFERROR(U41/U20,0)</f>
        <v>0.341045792744843</v>
      </c>
      <c r="V42" s="141" t="n">
        <f aca="false">IFERROR(V41/V20,0)</f>
        <v>0.372933131193343</v>
      </c>
      <c r="W42" s="141" t="n">
        <f aca="false">IFERROR(W41/W20,0)</f>
        <v>0.39595403257478</v>
      </c>
      <c r="X42" s="141" t="n">
        <f aca="false">IFERROR(X41/X20,0)</f>
        <v>0.41586428813396</v>
      </c>
      <c r="Y42" s="141" t="n">
        <f aca="false">IFERROR(Y41/Y20,0)</f>
        <v>0.433202492357515</v>
      </c>
      <c r="Z42" s="141" t="n">
        <f aca="false">IFERROR(Z41/Z20,0)</f>
        <v>0.0583384380708316</v>
      </c>
      <c r="AA42" s="141" t="n">
        <f aca="false">IFERROR(AA41/AA20,0)</f>
        <v>0.19084605748673</v>
      </c>
      <c r="AB42" s="141" t="n">
        <f aca="false">IFERROR(AB41/AB20,0)</f>
        <v>0.223541851821255</v>
      </c>
      <c r="AC42" s="141" t="n">
        <f aca="false">IFERROR(AC41/AC20,0)</f>
        <v>0.251897670148851</v>
      </c>
      <c r="AD42" s="141" t="n">
        <f aca="false">IFERROR(AD41/AD20,0)</f>
        <v>0.307907600504827</v>
      </c>
      <c r="AE42" s="141" t="n">
        <f aca="false">IFERROR(AE41/AE20,0)</f>
        <v>0.336324807487779</v>
      </c>
      <c r="AF42" s="141" t="n">
        <f aca="false">IFERROR(AF41/AF20,0)</f>
        <v>0.360084250219497</v>
      </c>
      <c r="AG42" s="141" t="n">
        <f aca="false">IFERROR(AG41/AG20,0)</f>
        <v>0.380882259630545</v>
      </c>
      <c r="AH42" s="141" t="n">
        <f aca="false">IFERROR(AH41/AH20,0)</f>
        <v>0.398967835597478</v>
      </c>
      <c r="AI42" s="141" t="n">
        <f aca="false">IFERROR(AI41/AI20,0)</f>
        <v>0.414659345355596</v>
      </c>
      <c r="AJ42" s="141" t="n">
        <f aca="false">IFERROR(AJ41/AJ20,0)</f>
        <v>0.428474441538656</v>
      </c>
      <c r="AK42" s="141" t="n">
        <f aca="false">IFERROR(AK41/AK20,0)</f>
        <v>0.440606826659571</v>
      </c>
      <c r="AL42" s="141" t="n">
        <f aca="false">IFERROR(AL41/AL20,0)</f>
        <v>0.17538931181168</v>
      </c>
      <c r="AM42" s="141" t="n">
        <f aca="false">IFERROR(AM41/AM20,0)</f>
        <v>0.221601751838473</v>
      </c>
      <c r="AN42" s="141" t="n">
        <f aca="false">IFERROR(AN41/AN20,0)</f>
        <v>0.260005925327492</v>
      </c>
      <c r="AO42" s="141" t="n">
        <f aca="false">IFERROR(AO41/AO20,0)</f>
        <v>0.29237986038044</v>
      </c>
      <c r="AP42" s="141" t="n">
        <f aca="false">IFERROR(AP41/AP20,0)</f>
        <v>0.319952489725753</v>
      </c>
      <c r="AQ42" s="141" t="n">
        <f aca="false">IFERROR(AQ41/AQ20,0)</f>
        <v>0.343650438306907</v>
      </c>
      <c r="AR42" s="141" t="n">
        <f aca="false">IFERROR(AR41/AR20,0)</f>
        <v>0.363828966072244</v>
      </c>
      <c r="AS42" s="141" t="n">
        <f aca="false">IFERROR(AS41/AS20,0)</f>
        <v>0.381783488845516</v>
      </c>
      <c r="AT42" s="141" t="n">
        <f aca="false">IFERROR(AT41/AT20,0)</f>
        <v>0.397600050169721</v>
      </c>
      <c r="AU42" s="141" t="n">
        <f aca="false">IFERROR(AU41/AU20,0)</f>
        <v>0.411582892410225</v>
      </c>
      <c r="AV42" s="141" t="n">
        <f aca="false">IFERROR(AV41/AV20,0)</f>
        <v>0.424006413477727</v>
      </c>
      <c r="AW42" s="141" t="n">
        <f aca="false">IFERROR(AW41/AW20,0)</f>
        <v>0.435072496903551</v>
      </c>
      <c r="AX42" s="141" t="n">
        <f aca="false">IFERROR(AX41/AX20,0)</f>
        <v>0.302569051056873</v>
      </c>
      <c r="AY42" s="141" t="n">
        <f aca="false">IFERROR(AY41/AY20,0)</f>
        <v>0.33884658121317</v>
      </c>
      <c r="AZ42" s="141" t="n">
        <f aca="false">IFERROR(AZ41/AZ20,0)</f>
        <v>0.369386703755612</v>
      </c>
      <c r="BA42" s="141" t="n">
        <f aca="false">IFERROR(BA41/BA20,0)</f>
        <v>0.39537238759182</v>
      </c>
      <c r="BB42" s="141" t="n">
        <f aca="false">IFERROR(BB41/BB20,0)</f>
        <v>0.417729759464337</v>
      </c>
      <c r="BC42" s="141" t="n">
        <f aca="false">IFERROR(BC41/BC20,0)</f>
        <v>0.437123325753817</v>
      </c>
      <c r="BD42" s="141" t="n">
        <f aca="false">IFERROR(BD41/BD20,0)</f>
        <v>0.453828170918029</v>
      </c>
      <c r="BE42" s="141" t="n">
        <f aca="false">IFERROR(BE41/BE20,0)</f>
        <v>0.468758182294261</v>
      </c>
      <c r="BF42" s="141" t="n">
        <f aca="false">IFERROR(BF41/BF20,0)</f>
        <v>0.481954746534603</v>
      </c>
      <c r="BG42" s="141" t="n">
        <f aca="false">IFERROR(BG41/BG20,0)</f>
        <v>0.493701220250733</v>
      </c>
      <c r="BH42" s="141" t="n">
        <f aca="false">IFERROR(BH41/BH20,0)</f>
        <v>0.504195495294388</v>
      </c>
      <c r="BI42" s="141" t="n">
        <f aca="false">IFERROR(BI41/BI20,0)</f>
        <v>0.513614768790605</v>
      </c>
      <c r="BJ42" s="143" t="n">
        <f aca="false">IFERROR(BJ41/BJ20,0)</f>
        <v>0.385488944375037</v>
      </c>
    </row>
    <row r="43" customFormat="false" ht="15" hidden="false" customHeight="false" outlineLevel="0" collapsed="false">
      <c r="A43" s="57" t="s">
        <v>451</v>
      </c>
      <c r="B43" s="115" t="n">
        <f aca="false">B41</f>
        <v>0</v>
      </c>
      <c r="C43" s="115" t="n">
        <f aca="false">B43+C41</f>
        <v>0</v>
      </c>
      <c r="D43" s="115" t="n">
        <f aca="false">C43+D41</f>
        <v>0</v>
      </c>
      <c r="E43" s="115" t="n">
        <f aca="false">D43+E41</f>
        <v>-1500</v>
      </c>
      <c r="F43" s="115" t="n">
        <f aca="false">E43+F41</f>
        <v>-3600</v>
      </c>
      <c r="G43" s="115" t="n">
        <f aca="false">F43+G41</f>
        <v>-5800</v>
      </c>
      <c r="H43" s="115" t="n">
        <f aca="false">G43+H41</f>
        <v>-8000</v>
      </c>
      <c r="I43" s="115" t="n">
        <f aca="false">H43+I41</f>
        <v>-10200</v>
      </c>
      <c r="J43" s="115" t="n">
        <f aca="false">I43+J41</f>
        <v>-12552.1303333333</v>
      </c>
      <c r="K43" s="115" t="n">
        <f aca="false">J43+K41</f>
        <v>-72489.2479916667</v>
      </c>
      <c r="L43" s="115" t="n">
        <f aca="false">K43+L41</f>
        <v>-100546.01075</v>
      </c>
      <c r="M43" s="115" t="n">
        <f aca="false">L43+M41</f>
        <v>-117267.158783333</v>
      </c>
      <c r="N43" s="115" t="n">
        <f aca="false">M43+N41</f>
        <v>-184602.966856763</v>
      </c>
      <c r="O43" s="115" t="n">
        <f aca="false">N43+O41</f>
        <v>-220048.69483061</v>
      </c>
      <c r="P43" s="115" t="n">
        <f aca="false">O43+P41</f>
        <v>-219401.062816718</v>
      </c>
      <c r="Q43" s="115" t="n">
        <f aca="false">P43+Q41</f>
        <v>-201799.942429132</v>
      </c>
      <c r="R43" s="115" t="n">
        <f aca="false">Q43+R41</f>
        <v>-168360.296089363</v>
      </c>
      <c r="S43" s="115" t="n">
        <f aca="false">R43+S41</f>
        <v>-120486.855805995</v>
      </c>
      <c r="T43" s="115" t="n">
        <f aca="false">S43+T41</f>
        <v>-59204.2804950863</v>
      </c>
      <c r="U43" s="115" t="n">
        <f aca="false">T43+U41</f>
        <v>14263.0206410152</v>
      </c>
      <c r="V43" s="115" t="n">
        <f aca="false">U43+V41</f>
        <v>99507.8904040325</v>
      </c>
      <c r="W43" s="115" t="n">
        <f aca="false">V43+W41</f>
        <v>194304.164672528</v>
      </c>
      <c r="X43" s="115" t="n">
        <f aca="false">W43+X41</f>
        <v>298104.47893922</v>
      </c>
      <c r="Y43" s="115" t="n">
        <f aca="false">X43+Y41</f>
        <v>410376.978666252</v>
      </c>
      <c r="Z43" s="115" t="n">
        <f aca="false">Y43+Z41</f>
        <v>430576.821986312</v>
      </c>
      <c r="AA43" s="115" t="n">
        <f aca="false">Z43+AA41</f>
        <v>508008.878674919</v>
      </c>
      <c r="AB43" s="115" t="n">
        <f aca="false">AA43+AB41</f>
        <v>603126.65553322</v>
      </c>
      <c r="AC43" s="115" t="n">
        <f aca="false">AB43+AC41</f>
        <v>715025.510118866</v>
      </c>
      <c r="AD43" s="115" t="n">
        <f aca="false">AC43+AD41</f>
        <v>863676.872804715</v>
      </c>
      <c r="AE43" s="115" t="n">
        <f aca="false">AD43+AE41</f>
        <v>1033848.46664379</v>
      </c>
      <c r="AF43" s="115" t="n">
        <f aca="false">AE43+AF41</f>
        <v>1223822.75069706</v>
      </c>
      <c r="AG43" s="115" t="n">
        <f aca="false">AF43+AG41</f>
        <v>1432410.00469886</v>
      </c>
      <c r="AH43" s="115" t="n">
        <f aca="false">AG43+AH41</f>
        <v>1658369.31324665</v>
      </c>
      <c r="AI43" s="115" t="n">
        <f aca="false">AH43+AI41</f>
        <v>1900396.59766173</v>
      </c>
      <c r="AJ43" s="115" t="n">
        <f aca="false">AI43+AJ41</f>
        <v>2157403.12936985</v>
      </c>
      <c r="AK43" s="115" t="n">
        <f aca="false">AJ43+AK41</f>
        <v>2428267.66096503</v>
      </c>
      <c r="AL43" s="115" t="n">
        <f aca="false">AK43+AL41</f>
        <v>2568906.68356077</v>
      </c>
      <c r="AM43" s="115" t="n">
        <f aca="false">AL43+AM41</f>
        <v>2757958.99649463</v>
      </c>
      <c r="AN43" s="115" t="n">
        <f aca="false">AM43+AN41</f>
        <v>2992216.47087192</v>
      </c>
      <c r="AO43" s="115" t="n">
        <f aca="false">AN43+AO41</f>
        <v>3268715.3439088</v>
      </c>
      <c r="AP43" s="115" t="n">
        <f aca="false">AO43+AP41</f>
        <v>3584642.70080325</v>
      </c>
      <c r="AQ43" s="115" t="n">
        <f aca="false">AP43+AQ41</f>
        <v>3937349.33873043</v>
      </c>
      <c r="AR43" s="115" t="n">
        <f aca="false">AQ43+AR41</f>
        <v>4323999.08792209</v>
      </c>
      <c r="AS43" s="115" t="n">
        <f aca="false">AR43+AS41</f>
        <v>4742672.37903497</v>
      </c>
      <c r="AT43" s="115" t="n">
        <f aca="false">AS43+AT41</f>
        <v>5191295.38496223</v>
      </c>
      <c r="AU43" s="115" t="n">
        <f aca="false">AT43+AU41</f>
        <v>5667876.30863574</v>
      </c>
      <c r="AV43" s="115" t="n">
        <f aca="false">AU43+AV41</f>
        <v>6170556.55022359</v>
      </c>
      <c r="AW43" s="115" t="n">
        <f aca="false">AV43+AW41</f>
        <v>6697558.46181406</v>
      </c>
      <c r="AX43" s="115" t="n">
        <f aca="false">AW43+AX41</f>
        <v>7164498.341829</v>
      </c>
      <c r="AY43" s="115" t="n">
        <f aca="false">AX43+AY41</f>
        <v>7718217.94545753</v>
      </c>
      <c r="AZ43" s="115" t="n">
        <f aca="false">AY43+AZ41</f>
        <v>8353329.01313989</v>
      </c>
      <c r="BA43" s="115" t="n">
        <f aca="false">AZ43+BA41</f>
        <v>9064691.10054048</v>
      </c>
      <c r="BB43" s="115" t="n">
        <f aca="false">BA43+BB41</f>
        <v>9847561.96267205</v>
      </c>
      <c r="BC43" s="115" t="n">
        <f aca="false">BB43+BC41</f>
        <v>10697464.1467779</v>
      </c>
      <c r="BD43" s="115" t="n">
        <f aca="false">BC43+BD41</f>
        <v>11609716.85374</v>
      </c>
      <c r="BE43" s="115" t="n">
        <f aca="false">BD43+BE41</f>
        <v>12580918.9262608</v>
      </c>
      <c r="BF43" s="115" t="n">
        <f aca="false">BE43+BF41</f>
        <v>13607327.9092761</v>
      </c>
      <c r="BG43" s="115" t="n">
        <f aca="false">BF43+BG41</f>
        <v>14685532.8149913</v>
      </c>
      <c r="BH43" s="115" t="n">
        <f aca="false">BG43+BH41</f>
        <v>15812296.6084876</v>
      </c>
      <c r="BI43" s="115" t="n">
        <f aca="false">BH43+BI41</f>
        <v>16984610.4053875</v>
      </c>
    </row>
    <row r="45" customFormat="false" ht="18" hidden="false" customHeight="true" outlineLevel="0" collapsed="false">
      <c r="A45" s="25" t="s">
        <v>452</v>
      </c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</row>
    <row r="46" customFormat="false" ht="15" hidden="false" customHeight="false" outlineLevel="0" collapsed="false">
      <c r="A46" s="145" t="s">
        <v>453</v>
      </c>
      <c r="B46" s="53" t="n">
        <v>2026</v>
      </c>
      <c r="C46" s="53" t="n">
        <v>2027</v>
      </c>
      <c r="D46" s="53" t="n">
        <v>2028</v>
      </c>
      <c r="E46" s="53" t="n">
        <v>2029</v>
      </c>
      <c r="F46" s="53" t="n">
        <v>2030</v>
      </c>
      <c r="G46" s="133" t="s">
        <v>454</v>
      </c>
    </row>
    <row r="47" customFormat="false" ht="15" hidden="false" customHeight="false" outlineLevel="0" collapsed="false">
      <c r="A47" s="51" t="s">
        <v>455</v>
      </c>
      <c r="B47" s="117" t="n">
        <f aca="false">SUMIFS($B$14:$BI$14,$B$6:$BI$6,B$46)</f>
        <v>53361.8</v>
      </c>
      <c r="C47" s="117" t="n">
        <f aca="false">SUMIFS($B$14:$BI$14,$B$6:$BI$6,C$46)</f>
        <v>3198070.64871288</v>
      </c>
      <c r="D47" s="117" t="n">
        <f aca="false">SUMIFS($B$14:$BI$14,$B$6:$BI$6,D$46)</f>
        <v>8499869.32663165</v>
      </c>
      <c r="E47" s="117" t="n">
        <f aca="false">SUMIFS($B$14:$BI$14,$B$6:$BI$6,E$46)</f>
        <v>17150449.5715781</v>
      </c>
      <c r="F47" s="117" t="n">
        <f aca="false">SUMIFS($B$14:$BI$14,$B$6:$BI$6,F$46)</f>
        <v>32414063.5943115</v>
      </c>
      <c r="G47" s="136" t="n">
        <f aca="false">SUM(B47:F47)</f>
        <v>61315814.9412342</v>
      </c>
    </row>
    <row r="48" customFormat="false" ht="15" hidden="false" customHeight="false" outlineLevel="0" collapsed="false">
      <c r="A48" s="27" t="s">
        <v>456</v>
      </c>
      <c r="B48" s="118" t="n">
        <f aca="false">SUMIFS($B$17:$BI$17,$B$6:$BI$6,B$46)</f>
        <v>-8271.079</v>
      </c>
      <c r="C48" s="118" t="n">
        <f aca="false">SUMIFS($B$17:$BI$17,$B$6:$BI$6,C$46)</f>
        <v>-607750.471284974</v>
      </c>
      <c r="D48" s="118" t="n">
        <f aca="false">SUMIFS($B$17:$BI$17,$B$6:$BI$6,D$46)</f>
        <v>-1427501.49799486</v>
      </c>
      <c r="E48" s="118" t="n">
        <f aca="false">SUMIFS($B$17:$BI$17,$B$6:$BI$6,E$46)</f>
        <v>-2800668.41503871</v>
      </c>
      <c r="F48" s="118" t="n">
        <f aca="false">SUMIFS($B$17:$BI$17,$B$6:$BI$6,F$46)</f>
        <v>-5293216.58495107</v>
      </c>
      <c r="G48" s="136" t="n">
        <f aca="false">SUM(B48:F48)</f>
        <v>-10137408.0482696</v>
      </c>
    </row>
    <row r="49" customFormat="false" ht="15" hidden="false" customHeight="false" outlineLevel="0" collapsed="false">
      <c r="A49" s="27" t="s">
        <v>424</v>
      </c>
      <c r="B49" s="118" t="n">
        <f aca="false">SUMIFS($B$18:$BI$18,$B$6:$BI$6,B$46)</f>
        <v>-6803.6295</v>
      </c>
      <c r="C49" s="118" t="n">
        <f aca="false">SUMIFS($B$18:$BI$18,$B$6:$BI$6,C$46)</f>
        <v>-371137.80264</v>
      </c>
      <c r="D49" s="118" t="n">
        <f aca="false">SUMIFS($B$18:$BI$18,$B$6:$BI$6,D$46)</f>
        <v>-913682.042800312</v>
      </c>
      <c r="E49" s="118" t="n">
        <f aca="false">SUMIFS($B$18:$BI$18,$B$6:$BI$6,E$46)</f>
        <v>-1743080.11891404</v>
      </c>
      <c r="F49" s="118" t="n">
        <f aca="false">SUMIFS($B$18:$BI$18,$B$6:$BI$6,F$46)</f>
        <v>-3192838.53048537</v>
      </c>
      <c r="G49" s="136" t="n">
        <f aca="false">SUM(B49:F49)</f>
        <v>-6227542.12433972</v>
      </c>
    </row>
    <row r="50" customFormat="false" ht="15" hidden="false" customHeight="false" outlineLevel="0" collapsed="false">
      <c r="A50" s="27" t="s">
        <v>426</v>
      </c>
      <c r="B50" s="118" t="n">
        <f aca="false">SUMIFS($B$19:$BI$19,$B$6:$BI$6,B$46)</f>
        <v>-360.19215</v>
      </c>
      <c r="C50" s="118" t="n">
        <f aca="false">SUMIFS($B$19:$BI$19,$B$6:$BI$6,C$46)</f>
        <v>-32571.8384000796</v>
      </c>
      <c r="D50" s="118" t="n">
        <f aca="false">SUMIFS($B$19:$BI$19,$B$6:$BI$6,D$46)</f>
        <v>-108389.506858331</v>
      </c>
      <c r="E50" s="118" t="n">
        <f aca="false">SUMIFS($B$19:$BI$19,$B$6:$BI$6,E$46)</f>
        <v>-248846.195046805</v>
      </c>
      <c r="F50" s="118" t="n">
        <f aca="false">SUMIFS($B$19:$BI$19,$B$6:$BI$6,F$46)</f>
        <v>-500781.302598406</v>
      </c>
      <c r="G50" s="136" t="n">
        <f aca="false">SUM(B50:F50)</f>
        <v>-890949.035053621</v>
      </c>
    </row>
    <row r="51" customFormat="false" ht="15" hidden="false" customHeight="false" outlineLevel="0" collapsed="false">
      <c r="A51" s="51" t="s">
        <v>457</v>
      </c>
      <c r="B51" s="117" t="n">
        <f aca="false">SUMIFS($B$20:$BI$20,$B$6:$BI$6,B$46)</f>
        <v>37926.89935</v>
      </c>
      <c r="C51" s="117" t="n">
        <f aca="false">SUMIFS($B$20:$BI$20,$B$6:$BI$6,C$46)</f>
        <v>2186610.53638783</v>
      </c>
      <c r="D51" s="117" t="n">
        <f aca="false">SUMIFS($B$20:$BI$20,$B$6:$BI$6,D$46)</f>
        <v>6050296.27897815</v>
      </c>
      <c r="E51" s="117" t="n">
        <f aca="false">SUMIFS($B$20:$BI$20,$B$6:$BI$6,E$46)</f>
        <v>12357854.8425786</v>
      </c>
      <c r="F51" s="117" t="n">
        <f aca="false">SUMIFS($B$20:$BI$20,$B$6:$BI$6,F$46)</f>
        <v>23427227.1762767</v>
      </c>
      <c r="G51" s="136" t="n">
        <f aca="false">SUM(B51:F51)</f>
        <v>44059915.7335712</v>
      </c>
    </row>
    <row r="52" customFormat="false" ht="15" hidden="false" customHeight="false" outlineLevel="0" collapsed="false">
      <c r="A52" s="27" t="s">
        <v>429</v>
      </c>
      <c r="B52" s="118" t="n">
        <f aca="false">SUMIFS($B$23:$BI$23,$B$6:$BI$6,B$46)</f>
        <v>-9791.8368</v>
      </c>
      <c r="C52" s="118" t="n">
        <f aca="false">SUMIFS($B$23:$BI$23,$B$6:$BI$6,C$46)</f>
        <v>-211189.101604906</v>
      </c>
      <c r="D52" s="118" t="n">
        <f aca="false">SUMIFS($B$23:$BI$23,$B$6:$BI$6,D$46)</f>
        <v>-459200.188929369</v>
      </c>
      <c r="E52" s="118" t="n">
        <f aca="false">SUMIFS($B$23:$BI$23,$B$6:$BI$6,E$46)</f>
        <v>-772244.558667064</v>
      </c>
      <c r="F52" s="118" t="n">
        <f aca="false">SUMIFS($B$23:$BI$23,$B$6:$BI$6,F$46)</f>
        <v>-1222058.34768762</v>
      </c>
      <c r="G52" s="136" t="n">
        <f aca="false">SUM(B52:F52)</f>
        <v>-2674484.03368896</v>
      </c>
    </row>
    <row r="53" customFormat="false" ht="15" hidden="false" customHeight="false" outlineLevel="0" collapsed="false">
      <c r="A53" s="27" t="s">
        <v>430</v>
      </c>
      <c r="B53" s="118" t="n">
        <f aca="false">SUMIFS($B$24:$BI$24,$B$6:$BI$6,B$46)</f>
        <v>-693.7</v>
      </c>
      <c r="C53" s="118" t="n">
        <f aca="false">SUMIFS($B$24:$BI$24,$B$6:$BI$6,C$46)</f>
        <v>-37129.4</v>
      </c>
      <c r="D53" s="118" t="n">
        <f aca="false">SUMIFS($B$24:$BI$24,$B$6:$BI$6,D$46)</f>
        <v>-75633</v>
      </c>
      <c r="E53" s="118" t="n">
        <f aca="false">SUMIFS($B$24:$BI$24,$B$6:$BI$6,E$46)</f>
        <v>-127333.92</v>
      </c>
      <c r="F53" s="118" t="n">
        <f aca="false">SUMIFS($B$24:$BI$24,$B$6:$BI$6,F$46)</f>
        <v>-194946</v>
      </c>
      <c r="G53" s="136" t="n">
        <f aca="false">SUM(B53:F53)</f>
        <v>-435736.02</v>
      </c>
    </row>
    <row r="54" customFormat="false" ht="15" hidden="false" customHeight="false" outlineLevel="0" collapsed="false">
      <c r="A54" s="51" t="s">
        <v>431</v>
      </c>
      <c r="B54" s="117" t="n">
        <f aca="false">SUMIFS($B$25:$BI$25,$B$6:$BI$6,B$46)</f>
        <v>27441.36255</v>
      </c>
      <c r="C54" s="117" t="n">
        <f aca="false">SUMIFS($B$25:$BI$25,$B$6:$BI$6,C$46)</f>
        <v>1938292.03478292</v>
      </c>
      <c r="D54" s="117" t="n">
        <f aca="false">SUMIFS($B$25:$BI$25,$B$6:$BI$6,D$46)</f>
        <v>5515463.09004878</v>
      </c>
      <c r="E54" s="117" t="n">
        <f aca="false">SUMIFS($B$25:$BI$25,$B$6:$BI$6,E$46)</f>
        <v>11458276.3639115</v>
      </c>
      <c r="F54" s="117" t="n">
        <f aca="false">SUMIFS($B$25:$BI$25,$B$6:$BI$6,F$46)</f>
        <v>22010222.828589</v>
      </c>
      <c r="G54" s="136" t="n">
        <f aca="false">SUM(B54:F54)</f>
        <v>40949695.6798823</v>
      </c>
    </row>
    <row r="55" customFormat="false" ht="15" hidden="false" customHeight="false" outlineLevel="0" collapsed="false">
      <c r="A55" s="27" t="s">
        <v>458</v>
      </c>
      <c r="B55" s="124" t="n">
        <f aca="false">IFERROR(B54/B51,0)</f>
        <v>0.723532981084572</v>
      </c>
      <c r="C55" s="124" t="n">
        <f aca="false">IFERROR(C54/C51,0)</f>
        <v>0.886436794539957</v>
      </c>
      <c r="D55" s="124" t="n">
        <f aca="false">IFERROR(D54/D51,0)</f>
        <v>0.911602149007536</v>
      </c>
      <c r="E55" s="124" t="n">
        <f aca="false">IFERROR(E54/E51,0)</f>
        <v>0.927205935809539</v>
      </c>
      <c r="F55" s="124" t="n">
        <f aca="false">IFERROR(F54/F51,0)</f>
        <v>0.939514636665045</v>
      </c>
      <c r="G55" s="146" t="n">
        <f aca="false">IFERROR(G54/G51,0)</f>
        <v>0.929409305444514</v>
      </c>
    </row>
    <row r="56" customFormat="false" ht="15" hidden="false" customHeight="false" outlineLevel="0" collapsed="false">
      <c r="A56" s="27" t="s">
        <v>459</v>
      </c>
      <c r="B56" s="118" t="n">
        <f aca="false">SUMIFS($B$29:$BI$29,$B$6:$BI$6,B$46)</f>
        <v>0</v>
      </c>
      <c r="C56" s="118" t="n">
        <f aca="false">SUMIFS($B$29:$BI$29,$B$6:$BI$6,C$46)</f>
        <v>-510000</v>
      </c>
      <c r="D56" s="118" t="n">
        <f aca="false">SUMIFS($B$29:$BI$29,$B$6:$BI$6,D$46)</f>
        <v>-1410000</v>
      </c>
      <c r="E56" s="118" t="n">
        <f aca="false">SUMIFS($B$29:$BI$29,$B$6:$BI$6,E$46)</f>
        <v>-3039600</v>
      </c>
      <c r="F56" s="118" t="n">
        <f aca="false">SUMIFS($B$29:$BI$29,$B$6:$BI$6,F$46)</f>
        <v>-4491600</v>
      </c>
      <c r="G56" s="136" t="n">
        <f aca="false">SUM(B56:F56)</f>
        <v>-9451200</v>
      </c>
    </row>
    <row r="57" customFormat="false" ht="15" hidden="false" customHeight="false" outlineLevel="0" collapsed="false">
      <c r="A57" s="27" t="s">
        <v>435</v>
      </c>
      <c r="B57" s="118" t="n">
        <f aca="false">SUMIFS($B$30:$BI$30,$B$6:$BI$6,B$46)</f>
        <v>-129025</v>
      </c>
      <c r="C57" s="118" t="n">
        <f aca="false">SUMIFS($B$30:$BI$30,$B$6:$BI$6,C$46)</f>
        <v>-816939</v>
      </c>
      <c r="D57" s="118" t="n">
        <f aca="false">SUMIFS($B$30:$BI$30,$B$6:$BI$6,D$46)</f>
        <v>-1770246.84375</v>
      </c>
      <c r="E57" s="118" t="n">
        <f aca="false">SUMIFS($B$30:$BI$30,$B$6:$BI$6,E$46)</f>
        <v>-3408059.9990625</v>
      </c>
      <c r="F57" s="118" t="n">
        <f aca="false">SUMIFS($B$30:$BI$30,$B$6:$BI$6,F$46)</f>
        <v>-5884745.32101562</v>
      </c>
      <c r="G57" s="136" t="n">
        <f aca="false">SUM(B57:F57)</f>
        <v>-12009016.1638281</v>
      </c>
    </row>
    <row r="58" customFormat="false" ht="15" hidden="false" customHeight="false" outlineLevel="0" collapsed="false">
      <c r="A58" s="27" t="s">
        <v>437</v>
      </c>
      <c r="B58" s="118" t="n">
        <f aca="false">SUMIFS($B$31:$BI$31,$B$6:$BI$6,B$46)</f>
        <v>-13500</v>
      </c>
      <c r="C58" s="118" t="n">
        <f aca="false">SUMIFS($B$31:$BI$31,$B$6:$BI$6,C$46)</f>
        <v>-72000</v>
      </c>
      <c r="D58" s="118" t="n">
        <f aca="false">SUMIFS($B$31:$BI$31,$B$6:$BI$6,D$46)</f>
        <v>-300000</v>
      </c>
      <c r="E58" s="118" t="n">
        <f aca="false">SUMIFS($B$31:$BI$31,$B$6:$BI$6,E$46)</f>
        <v>-720000</v>
      </c>
      <c r="F58" s="118" t="n">
        <f aca="false">SUMIFS($B$31:$BI$31,$B$6:$BI$6,F$46)</f>
        <v>-1320000</v>
      </c>
      <c r="G58" s="136" t="n">
        <f aca="false">SUM(B58:F58)</f>
        <v>-2425500</v>
      </c>
    </row>
    <row r="59" customFormat="false" ht="15" hidden="false" customHeight="false" outlineLevel="0" collapsed="false">
      <c r="A59" s="51" t="s">
        <v>438</v>
      </c>
      <c r="B59" s="117" t="n">
        <f aca="false">SUMIFS($B$32:$BI$32,$B$6:$BI$6,B$46)</f>
        <v>-115083.63745</v>
      </c>
      <c r="C59" s="117" t="n">
        <f aca="false">SUMIFS($B$32:$BI$32,$B$6:$BI$6,C$46)</f>
        <v>539353.034782919</v>
      </c>
      <c r="D59" s="117" t="n">
        <f aca="false">SUMIFS($B$32:$BI$32,$B$6:$BI$6,D$46)</f>
        <v>2035216.24629878</v>
      </c>
      <c r="E59" s="117" t="n">
        <f aca="false">SUMIFS($B$32:$BI$32,$B$6:$BI$6,E$46)</f>
        <v>4290616.36484903</v>
      </c>
      <c r="F59" s="117" t="n">
        <f aca="false">SUMIFS($B$32:$BI$32,$B$6:$BI$6,F$46)</f>
        <v>10313877.5075734</v>
      </c>
      <c r="G59" s="136" t="n">
        <f aca="false">SUM(B59:F59)</f>
        <v>17063979.5160541</v>
      </c>
    </row>
    <row r="60" customFormat="false" ht="15" hidden="false" customHeight="false" outlineLevel="0" collapsed="false">
      <c r="A60" s="27" t="s">
        <v>460</v>
      </c>
      <c r="B60" s="124" t="n">
        <f aca="false">IFERROR(B59/B51,0)</f>
        <v>-3.03435396571642</v>
      </c>
      <c r="C60" s="124" t="n">
        <f aca="false">IFERROR(C59/C51,0)</f>
        <v>0.246661682914006</v>
      </c>
      <c r="D60" s="124" t="n">
        <f aca="false">IFERROR(D59/D51,0)</f>
        <v>0.336382906300006</v>
      </c>
      <c r="E60" s="124" t="n">
        <f aca="false">IFERROR(E59/E51,0)</f>
        <v>0.34719750470493</v>
      </c>
      <c r="F60" s="124" t="n">
        <f aca="false">IFERROR(F59/F51,0)</f>
        <v>0.440251739139562</v>
      </c>
      <c r="G60" s="146" t="n">
        <f aca="false">IFERROR(G59/G51,0)</f>
        <v>0.387290334807706</v>
      </c>
    </row>
    <row r="61" customFormat="false" ht="15" hidden="false" customHeight="false" outlineLevel="0" collapsed="false">
      <c r="A61" s="27" t="s">
        <v>441</v>
      </c>
      <c r="B61" s="118" t="n">
        <f aca="false">SUMIFS($B$36:$BI$36,$B$6:$BI$6,B$46)</f>
        <v>-2183.52133333333</v>
      </c>
      <c r="C61" s="118" t="n">
        <f aca="false">SUMIFS($B$36:$BI$36,$B$6:$BI$6,C$46)</f>
        <v>-11708.8973333333</v>
      </c>
      <c r="D61" s="118" t="n">
        <f aca="false">SUMIFS($B$36:$BI$36,$B$6:$BI$6,D$46)</f>
        <v>-17325.564</v>
      </c>
      <c r="E61" s="118" t="n">
        <f aca="false">SUMIFS($B$36:$BI$36,$B$6:$BI$6,E$46)</f>
        <v>-21325.564</v>
      </c>
      <c r="F61" s="118" t="n">
        <f aca="false">SUMIFS($B$36:$BI$36,$B$6:$BI$6,F$46)</f>
        <v>-26825.564</v>
      </c>
      <c r="G61" s="136" t="n">
        <f aca="false">SUM(B61:F61)</f>
        <v>-79369.1106666667</v>
      </c>
    </row>
    <row r="62" customFormat="false" ht="15" hidden="false" customHeight="false" outlineLevel="0" collapsed="false">
      <c r="A62" s="51" t="s">
        <v>461</v>
      </c>
      <c r="B62" s="117" t="n">
        <f aca="false">SUMIFS($B$37:$BI$37,$B$6:$BI$6,B$46)</f>
        <v>-117267.158783333</v>
      </c>
      <c r="C62" s="117" t="n">
        <f aca="false">SUMIFS($B$37:$BI$37,$B$6:$BI$6,C$46)</f>
        <v>527644.137449586</v>
      </c>
      <c r="D62" s="117" t="n">
        <f aca="false">SUMIFS($B$37:$BI$37,$B$6:$BI$6,D$46)</f>
        <v>2017890.68229878</v>
      </c>
      <c r="E62" s="117" t="n">
        <f aca="false">SUMIFS($B$37:$BI$37,$B$6:$BI$6,E$46)</f>
        <v>4269290.80084903</v>
      </c>
      <c r="F62" s="117" t="n">
        <f aca="false">SUMIFS($B$37:$BI$37,$B$6:$BI$6,F$46)</f>
        <v>10287051.9435734</v>
      </c>
      <c r="G62" s="136" t="n">
        <f aca="false">SUM(B62:F62)</f>
        <v>16984610.4053875</v>
      </c>
    </row>
    <row r="63" customFormat="false" ht="15" hidden="false" customHeight="false" outlineLevel="0" collapsed="false">
      <c r="A63" s="51" t="s">
        <v>462</v>
      </c>
      <c r="B63" s="117" t="n">
        <f aca="false">SUMIFS($B$41:$BI$41,$B$6:$BI$6,B$46)</f>
        <v>-117267.158783333</v>
      </c>
      <c r="C63" s="117" t="n">
        <f aca="false">SUMIFS($B$41:$BI$41,$B$6:$BI$6,C$46)</f>
        <v>527644.137449586</v>
      </c>
      <c r="D63" s="117" t="n">
        <f aca="false">SUMIFS($B$41:$BI$41,$B$6:$BI$6,D$46)</f>
        <v>2017890.68229878</v>
      </c>
      <c r="E63" s="117" t="n">
        <f aca="false">SUMIFS($B$41:$BI$41,$B$6:$BI$6,E$46)</f>
        <v>4269290.80084903</v>
      </c>
      <c r="F63" s="117" t="n">
        <f aca="false">SUMIFS($B$41:$BI$41,$B$6:$BI$6,F$46)</f>
        <v>10287051.9435734</v>
      </c>
      <c r="G63" s="136" t="n">
        <f aca="false">SUM(B63:F63)</f>
        <v>16984610.4053875</v>
      </c>
    </row>
    <row r="64" customFormat="false" ht="15" hidden="false" customHeight="false" outlineLevel="0" collapsed="false">
      <c r="A64" s="27" t="s">
        <v>463</v>
      </c>
      <c r="B64" s="124" t="n">
        <f aca="false">IFERROR(B63/B51,0)</f>
        <v>-3.09192580445766</v>
      </c>
      <c r="C64" s="124" t="n">
        <f aca="false">IFERROR(C63/C51,0)</f>
        <v>0.241306866800902</v>
      </c>
      <c r="D64" s="124" t="n">
        <f aca="false">IFERROR(D63/D51,0)</f>
        <v>0.333519316948159</v>
      </c>
      <c r="E64" s="124" t="n">
        <f aca="false">IFERROR(E63/E51,0)</f>
        <v>0.345471835948366</v>
      </c>
      <c r="F64" s="124" t="n">
        <f aca="false">IFERROR(F63/F51,0)</f>
        <v>0.439106679854562</v>
      </c>
      <c r="G64" s="146" t="n">
        <f aca="false">IFERROR(G63/G51,0)</f>
        <v>0.385488944375037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040"/>
    <pageSetUpPr fitToPage="false"/>
  </sheetPr>
  <dimension ref="A1:BK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1" min="2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464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140" t="str">
        <f aca="false">" Cenário ativo: "&amp;Premissas!B7</f>
        <v> Cenário ativo: PROVÁVEL</v>
      </c>
    </row>
    <row r="4" customFormat="false" ht="15" hidden="false" customHeight="false" outlineLevel="0" collapsed="false">
      <c r="A4" s="100" t="s">
        <v>325</v>
      </c>
      <c r="B4" s="101" t="n">
        <v>46023</v>
      </c>
      <c r="C4" s="101" t="n">
        <v>46054</v>
      </c>
      <c r="D4" s="101" t="n">
        <v>46082</v>
      </c>
      <c r="E4" s="101" t="n">
        <v>46113</v>
      </c>
      <c r="F4" s="101" t="n">
        <v>46143</v>
      </c>
      <c r="G4" s="101" t="n">
        <v>46174</v>
      </c>
      <c r="H4" s="101" t="n">
        <v>46204</v>
      </c>
      <c r="I4" s="101" t="n">
        <v>46235</v>
      </c>
      <c r="J4" s="101" t="n">
        <v>46266</v>
      </c>
      <c r="K4" s="101" t="n">
        <v>46296</v>
      </c>
      <c r="L4" s="101" t="n">
        <v>46327</v>
      </c>
      <c r="M4" s="101" t="n">
        <v>46357</v>
      </c>
      <c r="N4" s="101" t="n">
        <v>46388</v>
      </c>
      <c r="O4" s="101" t="n">
        <v>46419</v>
      </c>
      <c r="P4" s="101" t="n">
        <v>46447</v>
      </c>
      <c r="Q4" s="101" t="n">
        <v>46478</v>
      </c>
      <c r="R4" s="101" t="n">
        <v>46508</v>
      </c>
      <c r="S4" s="101" t="n">
        <v>46539</v>
      </c>
      <c r="T4" s="101" t="n">
        <v>46569</v>
      </c>
      <c r="U4" s="101" t="n">
        <v>46600</v>
      </c>
      <c r="V4" s="101" t="n">
        <v>46631</v>
      </c>
      <c r="W4" s="101" t="n">
        <v>46661</v>
      </c>
      <c r="X4" s="101" t="n">
        <v>46692</v>
      </c>
      <c r="Y4" s="101" t="n">
        <v>46722</v>
      </c>
      <c r="Z4" s="101" t="n">
        <v>46753</v>
      </c>
      <c r="AA4" s="101" t="n">
        <v>46784</v>
      </c>
      <c r="AB4" s="101" t="n">
        <v>46813</v>
      </c>
      <c r="AC4" s="101" t="n">
        <v>46844</v>
      </c>
      <c r="AD4" s="101" t="n">
        <v>46874</v>
      </c>
      <c r="AE4" s="101" t="n">
        <v>46905</v>
      </c>
      <c r="AF4" s="101" t="n">
        <v>46935</v>
      </c>
      <c r="AG4" s="101" t="n">
        <v>46966</v>
      </c>
      <c r="AH4" s="101" t="n">
        <v>46997</v>
      </c>
      <c r="AI4" s="101" t="n">
        <v>47027</v>
      </c>
      <c r="AJ4" s="101" t="n">
        <v>47058</v>
      </c>
      <c r="AK4" s="101" t="n">
        <v>47088</v>
      </c>
      <c r="AL4" s="101" t="n">
        <v>47119</v>
      </c>
      <c r="AM4" s="101" t="n">
        <v>47150</v>
      </c>
      <c r="AN4" s="101" t="n">
        <v>47178</v>
      </c>
      <c r="AO4" s="101" t="n">
        <v>47209</v>
      </c>
      <c r="AP4" s="101" t="n">
        <v>47239</v>
      </c>
      <c r="AQ4" s="101" t="n">
        <v>47270</v>
      </c>
      <c r="AR4" s="101" t="n">
        <v>47300</v>
      </c>
      <c r="AS4" s="101" t="n">
        <v>47331</v>
      </c>
      <c r="AT4" s="101" t="n">
        <v>47362</v>
      </c>
      <c r="AU4" s="101" t="n">
        <v>47392</v>
      </c>
      <c r="AV4" s="101" t="n">
        <v>47423</v>
      </c>
      <c r="AW4" s="101" t="n">
        <v>47453</v>
      </c>
      <c r="AX4" s="101" t="n">
        <v>47484</v>
      </c>
      <c r="AY4" s="101" t="n">
        <v>47515</v>
      </c>
      <c r="AZ4" s="101" t="n">
        <v>47543</v>
      </c>
      <c r="BA4" s="101" t="n">
        <v>47574</v>
      </c>
      <c r="BB4" s="101" t="n">
        <v>47604</v>
      </c>
      <c r="BC4" s="101" t="n">
        <v>47635</v>
      </c>
      <c r="BD4" s="101" t="n">
        <v>47665</v>
      </c>
      <c r="BE4" s="101" t="n">
        <v>47696</v>
      </c>
      <c r="BF4" s="101" t="n">
        <v>47727</v>
      </c>
      <c r="BG4" s="101" t="n">
        <v>47757</v>
      </c>
      <c r="BH4" s="101" t="n">
        <v>47788</v>
      </c>
      <c r="BI4" s="101" t="n">
        <v>47818</v>
      </c>
      <c r="BJ4" s="102" t="s">
        <v>326</v>
      </c>
      <c r="BK4" s="102" t="s">
        <v>327</v>
      </c>
    </row>
    <row r="5" customFormat="false" ht="15" hidden="false" customHeight="false" outlineLevel="0" collapsed="false">
      <c r="A5" s="103" t="s">
        <v>328</v>
      </c>
      <c r="B5" s="104" t="n">
        <v>1</v>
      </c>
      <c r="C5" s="104" t="n">
        <v>2</v>
      </c>
      <c r="D5" s="104" t="n">
        <v>3</v>
      </c>
      <c r="E5" s="104" t="n">
        <v>4</v>
      </c>
      <c r="F5" s="104" t="n">
        <v>5</v>
      </c>
      <c r="G5" s="104" t="n">
        <v>6</v>
      </c>
      <c r="H5" s="104" t="n">
        <v>7</v>
      </c>
      <c r="I5" s="104" t="n">
        <v>8</v>
      </c>
      <c r="J5" s="104" t="n">
        <v>9</v>
      </c>
      <c r="K5" s="104" t="n">
        <v>10</v>
      </c>
      <c r="L5" s="104" t="n">
        <v>11</v>
      </c>
      <c r="M5" s="104" t="n">
        <v>12</v>
      </c>
      <c r="N5" s="104" t="n">
        <v>13</v>
      </c>
      <c r="O5" s="104" t="n">
        <v>14</v>
      </c>
      <c r="P5" s="104" t="n">
        <v>15</v>
      </c>
      <c r="Q5" s="104" t="n">
        <v>16</v>
      </c>
      <c r="R5" s="104" t="n">
        <v>17</v>
      </c>
      <c r="S5" s="104" t="n">
        <v>18</v>
      </c>
      <c r="T5" s="104" t="n">
        <v>19</v>
      </c>
      <c r="U5" s="104" t="n">
        <v>20</v>
      </c>
      <c r="V5" s="104" t="n">
        <v>21</v>
      </c>
      <c r="W5" s="104" t="n">
        <v>22</v>
      </c>
      <c r="X5" s="104" t="n">
        <v>23</v>
      </c>
      <c r="Y5" s="104" t="n">
        <v>24</v>
      </c>
      <c r="Z5" s="104" t="n">
        <v>25</v>
      </c>
      <c r="AA5" s="104" t="n">
        <v>26</v>
      </c>
      <c r="AB5" s="104" t="n">
        <v>27</v>
      </c>
      <c r="AC5" s="104" t="n">
        <v>28</v>
      </c>
      <c r="AD5" s="104" t="n">
        <v>29</v>
      </c>
      <c r="AE5" s="104" t="n">
        <v>30</v>
      </c>
      <c r="AF5" s="104" t="n">
        <v>31</v>
      </c>
      <c r="AG5" s="104" t="n">
        <v>32</v>
      </c>
      <c r="AH5" s="104" t="n">
        <v>33</v>
      </c>
      <c r="AI5" s="104" t="n">
        <v>34</v>
      </c>
      <c r="AJ5" s="104" t="n">
        <v>35</v>
      </c>
      <c r="AK5" s="104" t="n">
        <v>36</v>
      </c>
      <c r="AL5" s="104" t="n">
        <v>37</v>
      </c>
      <c r="AM5" s="104" t="n">
        <v>38</v>
      </c>
      <c r="AN5" s="104" t="n">
        <v>39</v>
      </c>
      <c r="AO5" s="104" t="n">
        <v>40</v>
      </c>
      <c r="AP5" s="104" t="n">
        <v>41</v>
      </c>
      <c r="AQ5" s="104" t="n">
        <v>42</v>
      </c>
      <c r="AR5" s="104" t="n">
        <v>43</v>
      </c>
      <c r="AS5" s="104" t="n">
        <v>44</v>
      </c>
      <c r="AT5" s="104" t="n">
        <v>45</v>
      </c>
      <c r="AU5" s="104" t="n">
        <v>46</v>
      </c>
      <c r="AV5" s="104" t="n">
        <v>47</v>
      </c>
      <c r="AW5" s="104" t="n">
        <v>48</v>
      </c>
      <c r="AX5" s="104" t="n">
        <v>49</v>
      </c>
      <c r="AY5" s="104" t="n">
        <v>50</v>
      </c>
      <c r="AZ5" s="104" t="n">
        <v>51</v>
      </c>
      <c r="BA5" s="104" t="n">
        <v>52</v>
      </c>
      <c r="BB5" s="104" t="n">
        <v>53</v>
      </c>
      <c r="BC5" s="104" t="n">
        <v>54</v>
      </c>
      <c r="BD5" s="104" t="n">
        <v>55</v>
      </c>
      <c r="BE5" s="104" t="n">
        <v>56</v>
      </c>
      <c r="BF5" s="104" t="n">
        <v>57</v>
      </c>
      <c r="BG5" s="104" t="n">
        <v>58</v>
      </c>
      <c r="BH5" s="104" t="n">
        <v>59</v>
      </c>
      <c r="BI5" s="104" t="n">
        <v>60</v>
      </c>
    </row>
    <row r="6" customFormat="false" ht="15" hidden="false" customHeight="false" outlineLevel="0" collapsed="false">
      <c r="A6" s="103" t="s">
        <v>329</v>
      </c>
      <c r="B6" s="105" t="n">
        <f aca="false">YEAR(B4)</f>
        <v>2026</v>
      </c>
      <c r="C6" s="105" t="n">
        <f aca="false">YEAR(C4)</f>
        <v>2026</v>
      </c>
      <c r="D6" s="105" t="n">
        <f aca="false">YEAR(D4)</f>
        <v>2026</v>
      </c>
      <c r="E6" s="105" t="n">
        <f aca="false">YEAR(E4)</f>
        <v>2026</v>
      </c>
      <c r="F6" s="105" t="n">
        <f aca="false">YEAR(F4)</f>
        <v>2026</v>
      </c>
      <c r="G6" s="105" t="n">
        <f aca="false">YEAR(G4)</f>
        <v>2026</v>
      </c>
      <c r="H6" s="105" t="n">
        <f aca="false">YEAR(H4)</f>
        <v>2026</v>
      </c>
      <c r="I6" s="105" t="n">
        <f aca="false">YEAR(I4)</f>
        <v>2026</v>
      </c>
      <c r="J6" s="105" t="n">
        <f aca="false">YEAR(J4)</f>
        <v>2026</v>
      </c>
      <c r="K6" s="105" t="n">
        <f aca="false">YEAR(K4)</f>
        <v>2026</v>
      </c>
      <c r="L6" s="105" t="n">
        <f aca="false">YEAR(L4)</f>
        <v>2026</v>
      </c>
      <c r="M6" s="105" t="n">
        <f aca="false">YEAR(M4)</f>
        <v>2026</v>
      </c>
      <c r="N6" s="105" t="n">
        <f aca="false">YEAR(N4)</f>
        <v>2027</v>
      </c>
      <c r="O6" s="105" t="n">
        <f aca="false">YEAR(O4)</f>
        <v>2027</v>
      </c>
      <c r="P6" s="105" t="n">
        <f aca="false">YEAR(P4)</f>
        <v>2027</v>
      </c>
      <c r="Q6" s="105" t="n">
        <f aca="false">YEAR(Q4)</f>
        <v>2027</v>
      </c>
      <c r="R6" s="105" t="n">
        <f aca="false">YEAR(R4)</f>
        <v>2027</v>
      </c>
      <c r="S6" s="105" t="n">
        <f aca="false">YEAR(S4)</f>
        <v>2027</v>
      </c>
      <c r="T6" s="105" t="n">
        <f aca="false">YEAR(T4)</f>
        <v>2027</v>
      </c>
      <c r="U6" s="105" t="n">
        <f aca="false">YEAR(U4)</f>
        <v>2027</v>
      </c>
      <c r="V6" s="105" t="n">
        <f aca="false">YEAR(V4)</f>
        <v>2027</v>
      </c>
      <c r="W6" s="105" t="n">
        <f aca="false">YEAR(W4)</f>
        <v>2027</v>
      </c>
      <c r="X6" s="105" t="n">
        <f aca="false">YEAR(X4)</f>
        <v>2027</v>
      </c>
      <c r="Y6" s="105" t="n">
        <f aca="false">YEAR(Y4)</f>
        <v>2027</v>
      </c>
      <c r="Z6" s="105" t="n">
        <f aca="false">YEAR(Z4)</f>
        <v>2028</v>
      </c>
      <c r="AA6" s="105" t="n">
        <f aca="false">YEAR(AA4)</f>
        <v>2028</v>
      </c>
      <c r="AB6" s="105" t="n">
        <f aca="false">YEAR(AB4)</f>
        <v>2028</v>
      </c>
      <c r="AC6" s="105" t="n">
        <f aca="false">YEAR(AC4)</f>
        <v>2028</v>
      </c>
      <c r="AD6" s="105" t="n">
        <f aca="false">YEAR(AD4)</f>
        <v>2028</v>
      </c>
      <c r="AE6" s="105" t="n">
        <f aca="false">YEAR(AE4)</f>
        <v>2028</v>
      </c>
      <c r="AF6" s="105" t="n">
        <f aca="false">YEAR(AF4)</f>
        <v>2028</v>
      </c>
      <c r="AG6" s="105" t="n">
        <f aca="false">YEAR(AG4)</f>
        <v>2028</v>
      </c>
      <c r="AH6" s="105" t="n">
        <f aca="false">YEAR(AH4)</f>
        <v>2028</v>
      </c>
      <c r="AI6" s="105" t="n">
        <f aca="false">YEAR(AI4)</f>
        <v>2028</v>
      </c>
      <c r="AJ6" s="105" t="n">
        <f aca="false">YEAR(AJ4)</f>
        <v>2028</v>
      </c>
      <c r="AK6" s="105" t="n">
        <f aca="false">YEAR(AK4)</f>
        <v>2028</v>
      </c>
      <c r="AL6" s="105" t="n">
        <f aca="false">YEAR(AL4)</f>
        <v>2029</v>
      </c>
      <c r="AM6" s="105" t="n">
        <f aca="false">YEAR(AM4)</f>
        <v>2029</v>
      </c>
      <c r="AN6" s="105" t="n">
        <f aca="false">YEAR(AN4)</f>
        <v>2029</v>
      </c>
      <c r="AO6" s="105" t="n">
        <f aca="false">YEAR(AO4)</f>
        <v>2029</v>
      </c>
      <c r="AP6" s="105" t="n">
        <f aca="false">YEAR(AP4)</f>
        <v>2029</v>
      </c>
      <c r="AQ6" s="105" t="n">
        <f aca="false">YEAR(AQ4)</f>
        <v>2029</v>
      </c>
      <c r="AR6" s="105" t="n">
        <f aca="false">YEAR(AR4)</f>
        <v>2029</v>
      </c>
      <c r="AS6" s="105" t="n">
        <f aca="false">YEAR(AS4)</f>
        <v>2029</v>
      </c>
      <c r="AT6" s="105" t="n">
        <f aca="false">YEAR(AT4)</f>
        <v>2029</v>
      </c>
      <c r="AU6" s="105" t="n">
        <f aca="false">YEAR(AU4)</f>
        <v>2029</v>
      </c>
      <c r="AV6" s="105" t="n">
        <f aca="false">YEAR(AV4)</f>
        <v>2029</v>
      </c>
      <c r="AW6" s="105" t="n">
        <f aca="false">YEAR(AW4)</f>
        <v>2029</v>
      </c>
      <c r="AX6" s="105" t="n">
        <f aca="false">YEAR(AX4)</f>
        <v>2030</v>
      </c>
      <c r="AY6" s="105" t="n">
        <f aca="false">YEAR(AY4)</f>
        <v>2030</v>
      </c>
      <c r="AZ6" s="105" t="n">
        <f aca="false">YEAR(AZ4)</f>
        <v>2030</v>
      </c>
      <c r="BA6" s="105" t="n">
        <f aca="false">YEAR(BA4)</f>
        <v>2030</v>
      </c>
      <c r="BB6" s="105" t="n">
        <f aca="false">YEAR(BB4)</f>
        <v>2030</v>
      </c>
      <c r="BC6" s="105" t="n">
        <f aca="false">YEAR(BC4)</f>
        <v>2030</v>
      </c>
      <c r="BD6" s="105" t="n">
        <f aca="false">YEAR(BD4)</f>
        <v>2030</v>
      </c>
      <c r="BE6" s="105" t="n">
        <f aca="false">YEAR(BE4)</f>
        <v>2030</v>
      </c>
      <c r="BF6" s="105" t="n">
        <f aca="false">YEAR(BF4)</f>
        <v>2030</v>
      </c>
      <c r="BG6" s="105" t="n">
        <f aca="false">YEAR(BG4)</f>
        <v>2030</v>
      </c>
      <c r="BH6" s="105" t="n">
        <f aca="false">YEAR(BH4)</f>
        <v>2030</v>
      </c>
      <c r="BI6" s="105" t="n">
        <f aca="false">YEAR(BI4)</f>
        <v>2030</v>
      </c>
    </row>
    <row r="7" customFormat="false" ht="15" hidden="false" customHeight="false" outlineLevel="0" collapsed="false">
      <c r="A7" s="106" t="s">
        <v>330</v>
      </c>
      <c r="B7" s="107" t="n">
        <f aca="false">MATCH(B6,Premissas!$C$5:$G$5,0)</f>
        <v>1</v>
      </c>
      <c r="C7" s="107" t="n">
        <f aca="false">MATCH(C6,Premissas!$C$5:$G$5,0)</f>
        <v>1</v>
      </c>
      <c r="D7" s="107" t="n">
        <f aca="false">MATCH(D6,Premissas!$C$5:$G$5,0)</f>
        <v>1</v>
      </c>
      <c r="E7" s="107" t="n">
        <f aca="false">MATCH(E6,Premissas!$C$5:$G$5,0)</f>
        <v>1</v>
      </c>
      <c r="F7" s="107" t="n">
        <f aca="false">MATCH(F6,Premissas!$C$5:$G$5,0)</f>
        <v>1</v>
      </c>
      <c r="G7" s="107" t="n">
        <f aca="false">MATCH(G6,Premissas!$C$5:$G$5,0)</f>
        <v>1</v>
      </c>
      <c r="H7" s="107" t="n">
        <f aca="false">MATCH(H6,Premissas!$C$5:$G$5,0)</f>
        <v>1</v>
      </c>
      <c r="I7" s="107" t="n">
        <f aca="false">MATCH(I6,Premissas!$C$5:$G$5,0)</f>
        <v>1</v>
      </c>
      <c r="J7" s="107" t="n">
        <f aca="false">MATCH(J6,Premissas!$C$5:$G$5,0)</f>
        <v>1</v>
      </c>
      <c r="K7" s="107" t="n">
        <f aca="false">MATCH(K6,Premissas!$C$5:$G$5,0)</f>
        <v>1</v>
      </c>
      <c r="L7" s="107" t="n">
        <f aca="false">MATCH(L6,Premissas!$C$5:$G$5,0)</f>
        <v>1</v>
      </c>
      <c r="M7" s="107" t="n">
        <f aca="false">MATCH(M6,Premissas!$C$5:$G$5,0)</f>
        <v>1</v>
      </c>
      <c r="N7" s="107" t="n">
        <f aca="false">MATCH(N6,Premissas!$C$5:$G$5,0)</f>
        <v>2</v>
      </c>
      <c r="O7" s="107" t="n">
        <f aca="false">MATCH(O6,Premissas!$C$5:$G$5,0)</f>
        <v>2</v>
      </c>
      <c r="P7" s="107" t="n">
        <f aca="false">MATCH(P6,Premissas!$C$5:$G$5,0)</f>
        <v>2</v>
      </c>
      <c r="Q7" s="107" t="n">
        <f aca="false">MATCH(Q6,Premissas!$C$5:$G$5,0)</f>
        <v>2</v>
      </c>
      <c r="R7" s="107" t="n">
        <f aca="false">MATCH(R6,Premissas!$C$5:$G$5,0)</f>
        <v>2</v>
      </c>
      <c r="S7" s="107" t="n">
        <f aca="false">MATCH(S6,Premissas!$C$5:$G$5,0)</f>
        <v>2</v>
      </c>
      <c r="T7" s="107" t="n">
        <f aca="false">MATCH(T6,Premissas!$C$5:$G$5,0)</f>
        <v>2</v>
      </c>
      <c r="U7" s="107" t="n">
        <f aca="false">MATCH(U6,Premissas!$C$5:$G$5,0)</f>
        <v>2</v>
      </c>
      <c r="V7" s="107" t="n">
        <f aca="false">MATCH(V6,Premissas!$C$5:$G$5,0)</f>
        <v>2</v>
      </c>
      <c r="W7" s="107" t="n">
        <f aca="false">MATCH(W6,Premissas!$C$5:$G$5,0)</f>
        <v>2</v>
      </c>
      <c r="X7" s="107" t="n">
        <f aca="false">MATCH(X6,Premissas!$C$5:$G$5,0)</f>
        <v>2</v>
      </c>
      <c r="Y7" s="107" t="n">
        <f aca="false">MATCH(Y6,Premissas!$C$5:$G$5,0)</f>
        <v>2</v>
      </c>
      <c r="Z7" s="107" t="n">
        <f aca="false">MATCH(Z6,Premissas!$C$5:$G$5,0)</f>
        <v>3</v>
      </c>
      <c r="AA7" s="107" t="n">
        <f aca="false">MATCH(AA6,Premissas!$C$5:$G$5,0)</f>
        <v>3</v>
      </c>
      <c r="AB7" s="107" t="n">
        <f aca="false">MATCH(AB6,Premissas!$C$5:$G$5,0)</f>
        <v>3</v>
      </c>
      <c r="AC7" s="107" t="n">
        <f aca="false">MATCH(AC6,Premissas!$C$5:$G$5,0)</f>
        <v>3</v>
      </c>
      <c r="AD7" s="107" t="n">
        <f aca="false">MATCH(AD6,Premissas!$C$5:$G$5,0)</f>
        <v>3</v>
      </c>
      <c r="AE7" s="107" t="n">
        <f aca="false">MATCH(AE6,Premissas!$C$5:$G$5,0)</f>
        <v>3</v>
      </c>
      <c r="AF7" s="107" t="n">
        <f aca="false">MATCH(AF6,Premissas!$C$5:$G$5,0)</f>
        <v>3</v>
      </c>
      <c r="AG7" s="107" t="n">
        <f aca="false">MATCH(AG6,Premissas!$C$5:$G$5,0)</f>
        <v>3</v>
      </c>
      <c r="AH7" s="107" t="n">
        <f aca="false">MATCH(AH6,Premissas!$C$5:$G$5,0)</f>
        <v>3</v>
      </c>
      <c r="AI7" s="107" t="n">
        <f aca="false">MATCH(AI6,Premissas!$C$5:$G$5,0)</f>
        <v>3</v>
      </c>
      <c r="AJ7" s="107" t="n">
        <f aca="false">MATCH(AJ6,Premissas!$C$5:$G$5,0)</f>
        <v>3</v>
      </c>
      <c r="AK7" s="107" t="n">
        <f aca="false">MATCH(AK6,Premissas!$C$5:$G$5,0)</f>
        <v>3</v>
      </c>
      <c r="AL7" s="107" t="n">
        <f aca="false">MATCH(AL6,Premissas!$C$5:$G$5,0)</f>
        <v>4</v>
      </c>
      <c r="AM7" s="107" t="n">
        <f aca="false">MATCH(AM6,Premissas!$C$5:$G$5,0)</f>
        <v>4</v>
      </c>
      <c r="AN7" s="107" t="n">
        <f aca="false">MATCH(AN6,Premissas!$C$5:$G$5,0)</f>
        <v>4</v>
      </c>
      <c r="AO7" s="107" t="n">
        <f aca="false">MATCH(AO6,Premissas!$C$5:$G$5,0)</f>
        <v>4</v>
      </c>
      <c r="AP7" s="107" t="n">
        <f aca="false">MATCH(AP6,Premissas!$C$5:$G$5,0)</f>
        <v>4</v>
      </c>
      <c r="AQ7" s="107" t="n">
        <f aca="false">MATCH(AQ6,Premissas!$C$5:$G$5,0)</f>
        <v>4</v>
      </c>
      <c r="AR7" s="107" t="n">
        <f aca="false">MATCH(AR6,Premissas!$C$5:$G$5,0)</f>
        <v>4</v>
      </c>
      <c r="AS7" s="107" t="n">
        <f aca="false">MATCH(AS6,Premissas!$C$5:$G$5,0)</f>
        <v>4</v>
      </c>
      <c r="AT7" s="107" t="n">
        <f aca="false">MATCH(AT6,Premissas!$C$5:$G$5,0)</f>
        <v>4</v>
      </c>
      <c r="AU7" s="107" t="n">
        <f aca="false">MATCH(AU6,Premissas!$C$5:$G$5,0)</f>
        <v>4</v>
      </c>
      <c r="AV7" s="107" t="n">
        <f aca="false">MATCH(AV6,Premissas!$C$5:$G$5,0)</f>
        <v>4</v>
      </c>
      <c r="AW7" s="107" t="n">
        <f aca="false">MATCH(AW6,Premissas!$C$5:$G$5,0)</f>
        <v>4</v>
      </c>
      <c r="AX7" s="107" t="n">
        <f aca="false">MATCH(AX6,Premissas!$C$5:$G$5,0)</f>
        <v>5</v>
      </c>
      <c r="AY7" s="107" t="n">
        <f aca="false">MATCH(AY6,Premissas!$C$5:$G$5,0)</f>
        <v>5</v>
      </c>
      <c r="AZ7" s="107" t="n">
        <f aca="false">MATCH(AZ6,Premissas!$C$5:$G$5,0)</f>
        <v>5</v>
      </c>
      <c r="BA7" s="107" t="n">
        <f aca="false">MATCH(BA6,Premissas!$C$5:$G$5,0)</f>
        <v>5</v>
      </c>
      <c r="BB7" s="107" t="n">
        <f aca="false">MATCH(BB6,Premissas!$C$5:$G$5,0)</f>
        <v>5</v>
      </c>
      <c r="BC7" s="107" t="n">
        <f aca="false">MATCH(BC6,Premissas!$C$5:$G$5,0)</f>
        <v>5</v>
      </c>
      <c r="BD7" s="107" t="n">
        <f aca="false">MATCH(BD6,Premissas!$C$5:$G$5,0)</f>
        <v>5</v>
      </c>
      <c r="BE7" s="107" t="n">
        <f aca="false">MATCH(BE6,Premissas!$C$5:$G$5,0)</f>
        <v>5</v>
      </c>
      <c r="BF7" s="107" t="n">
        <f aca="false">MATCH(BF6,Premissas!$C$5:$G$5,0)</f>
        <v>5</v>
      </c>
      <c r="BG7" s="107" t="n">
        <f aca="false">MATCH(BG6,Premissas!$C$5:$G$5,0)</f>
        <v>5</v>
      </c>
      <c r="BH7" s="107" t="n">
        <f aca="false">MATCH(BH6,Premissas!$C$5:$G$5,0)</f>
        <v>5</v>
      </c>
      <c r="BI7" s="107" t="n">
        <f aca="false">MATCH(BI6,Premissas!$C$5:$G$5,0)</f>
        <v>5</v>
      </c>
    </row>
    <row r="8" customFormat="false" ht="18" hidden="false" customHeight="true" outlineLevel="0" collapsed="false">
      <c r="A8" s="25" t="s">
        <v>465</v>
      </c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</row>
    <row r="9" customFormat="false" ht="15" hidden="false" customHeight="false" outlineLevel="0" collapsed="false">
      <c r="A9" s="27" t="s">
        <v>466</v>
      </c>
      <c r="B9" s="113" t="n">
        <f aca="false">-Investimentos!B24</f>
        <v>-0</v>
      </c>
      <c r="C9" s="113" t="n">
        <f aca="false">-Investimentos!C24</f>
        <v>-0</v>
      </c>
      <c r="D9" s="113" t="n">
        <f aca="false">-Investimentos!D24</f>
        <v>-0</v>
      </c>
      <c r="E9" s="113" t="n">
        <f aca="false">-Investimentos!E24</f>
        <v>-0</v>
      </c>
      <c r="F9" s="113" t="n">
        <f aca="false">-Investimentos!F24</f>
        <v>-0</v>
      </c>
      <c r="G9" s="113" t="n">
        <f aca="false">-Investimentos!G24</f>
        <v>-0</v>
      </c>
      <c r="H9" s="113" t="n">
        <f aca="false">-Investimentos!H24</f>
        <v>-0</v>
      </c>
      <c r="I9" s="113" t="n">
        <f aca="false">-Investimentos!I24</f>
        <v>-0</v>
      </c>
      <c r="J9" s="113" t="n">
        <f aca="false">-Investimentos!J24</f>
        <v>-10500</v>
      </c>
      <c r="K9" s="113" t="n">
        <f aca="false">-Investimentos!K24</f>
        <v>-10500</v>
      </c>
      <c r="L9" s="113" t="n">
        <f aca="false">-Investimentos!L24</f>
        <v>-0</v>
      </c>
      <c r="M9" s="113" t="n">
        <f aca="false">-Investimentos!M24</f>
        <v>-0</v>
      </c>
      <c r="N9" s="113" t="n">
        <f aca="false">-Investimentos!N24</f>
        <v>-0</v>
      </c>
      <c r="O9" s="113" t="n">
        <f aca="false">-Investimentos!O24</f>
        <v>-0</v>
      </c>
      <c r="P9" s="113" t="n">
        <f aca="false">-Investimentos!P24</f>
        <v>-0</v>
      </c>
      <c r="Q9" s="113" t="n">
        <f aca="false">-Investimentos!Q24</f>
        <v>-0</v>
      </c>
      <c r="R9" s="113" t="n">
        <f aca="false">-Investimentos!R24</f>
        <v>-0</v>
      </c>
      <c r="S9" s="113" t="n">
        <f aca="false">-Investimentos!S24</f>
        <v>-0</v>
      </c>
      <c r="T9" s="113" t="n">
        <f aca="false">-Investimentos!T24</f>
        <v>-0</v>
      </c>
      <c r="U9" s="113" t="n">
        <f aca="false">-Investimentos!U24</f>
        <v>-0</v>
      </c>
      <c r="V9" s="113" t="n">
        <f aca="false">-Investimentos!V24</f>
        <v>-0</v>
      </c>
      <c r="W9" s="113" t="n">
        <f aca="false">-Investimentos!W24</f>
        <v>-0</v>
      </c>
      <c r="X9" s="113" t="n">
        <f aca="false">-Investimentos!X24</f>
        <v>-0</v>
      </c>
      <c r="Y9" s="113" t="n">
        <f aca="false">-Investimentos!Y24</f>
        <v>-0</v>
      </c>
      <c r="Z9" s="113" t="n">
        <f aca="false">-Investimentos!Z24</f>
        <v>-0</v>
      </c>
      <c r="AA9" s="113" t="n">
        <f aca="false">-Investimentos!AA24</f>
        <v>-0</v>
      </c>
      <c r="AB9" s="113" t="n">
        <f aca="false">-Investimentos!AB24</f>
        <v>-0</v>
      </c>
      <c r="AC9" s="113" t="n">
        <f aca="false">-Investimentos!AC24</f>
        <v>-0</v>
      </c>
      <c r="AD9" s="113" t="n">
        <f aca="false">-Investimentos!AD24</f>
        <v>-0</v>
      </c>
      <c r="AE9" s="113" t="n">
        <f aca="false">-Investimentos!AE24</f>
        <v>-0</v>
      </c>
      <c r="AF9" s="113" t="n">
        <f aca="false">-Investimentos!AF24</f>
        <v>-0</v>
      </c>
      <c r="AG9" s="113" t="n">
        <f aca="false">-Investimentos!AG24</f>
        <v>-0</v>
      </c>
      <c r="AH9" s="113" t="n">
        <f aca="false">-Investimentos!AH24</f>
        <v>-0</v>
      </c>
      <c r="AI9" s="113" t="n">
        <f aca="false">-Investimentos!AI24</f>
        <v>-0</v>
      </c>
      <c r="AJ9" s="113" t="n">
        <f aca="false">-Investimentos!AJ24</f>
        <v>-0</v>
      </c>
      <c r="AK9" s="113" t="n">
        <f aca="false">-Investimentos!AK24</f>
        <v>-0</v>
      </c>
      <c r="AL9" s="113" t="n">
        <f aca="false">-Investimentos!AL24</f>
        <v>-0</v>
      </c>
      <c r="AM9" s="113" t="n">
        <f aca="false">-Investimentos!AM24</f>
        <v>-0</v>
      </c>
      <c r="AN9" s="113" t="n">
        <f aca="false">-Investimentos!AN24</f>
        <v>-0</v>
      </c>
      <c r="AO9" s="113" t="n">
        <f aca="false">-Investimentos!AO24</f>
        <v>-0</v>
      </c>
      <c r="AP9" s="113" t="n">
        <f aca="false">-Investimentos!AP24</f>
        <v>-0</v>
      </c>
      <c r="AQ9" s="113" t="n">
        <f aca="false">-Investimentos!AQ24</f>
        <v>-0</v>
      </c>
      <c r="AR9" s="113" t="n">
        <f aca="false">-Investimentos!AR24</f>
        <v>-0</v>
      </c>
      <c r="AS9" s="113" t="n">
        <f aca="false">-Investimentos!AS24</f>
        <v>-0</v>
      </c>
      <c r="AT9" s="113" t="n">
        <f aca="false">-Investimentos!AT24</f>
        <v>-0</v>
      </c>
      <c r="AU9" s="113" t="n">
        <f aca="false">-Investimentos!AU24</f>
        <v>-0</v>
      </c>
      <c r="AV9" s="113" t="n">
        <f aca="false">-Investimentos!AV24</f>
        <v>-0</v>
      </c>
      <c r="AW9" s="113" t="n">
        <f aca="false">-Investimentos!AW24</f>
        <v>-0</v>
      </c>
      <c r="AX9" s="113" t="n">
        <f aca="false">-Investimentos!AX24</f>
        <v>-0</v>
      </c>
      <c r="AY9" s="113" t="n">
        <f aca="false">-Investimentos!AY24</f>
        <v>-0</v>
      </c>
      <c r="AZ9" s="113" t="n">
        <f aca="false">-Investimentos!AZ24</f>
        <v>-0</v>
      </c>
      <c r="BA9" s="113" t="n">
        <f aca="false">-Investimentos!BA24</f>
        <v>-0</v>
      </c>
      <c r="BB9" s="113" t="n">
        <f aca="false">-Investimentos!BB24</f>
        <v>-0</v>
      </c>
      <c r="BC9" s="113" t="n">
        <f aca="false">-Investimentos!BC24</f>
        <v>-0</v>
      </c>
      <c r="BD9" s="113" t="n">
        <f aca="false">-Investimentos!BD24</f>
        <v>-0</v>
      </c>
      <c r="BE9" s="113" t="n">
        <f aca="false">-Investimentos!BE24</f>
        <v>-0</v>
      </c>
      <c r="BF9" s="113" t="n">
        <f aca="false">-Investimentos!BF24</f>
        <v>-0</v>
      </c>
      <c r="BG9" s="113" t="n">
        <f aca="false">-Investimentos!BG24</f>
        <v>-0</v>
      </c>
      <c r="BH9" s="113" t="n">
        <f aca="false">-Investimentos!BH24</f>
        <v>-0</v>
      </c>
      <c r="BI9" s="113" t="n">
        <f aca="false">-Investimentos!BI24</f>
        <v>-0</v>
      </c>
      <c r="BJ9" s="111" t="n">
        <f aca="false">SUM(B9:BI9)</f>
        <v>-21000</v>
      </c>
      <c r="BK9" s="141" t="n">
        <f aca="false">IFERROR(BJ9/BJ$13,0)</f>
        <v>0.140818795580865</v>
      </c>
    </row>
    <row r="10" customFormat="false" ht="15" hidden="false" customHeight="false" outlineLevel="0" collapsed="false">
      <c r="A10" s="27" t="s">
        <v>467</v>
      </c>
      <c r="B10" s="113" t="n">
        <f aca="false">-Investimentos!B21</f>
        <v>-0</v>
      </c>
      <c r="C10" s="113" t="n">
        <f aca="false">-Investimentos!C21</f>
        <v>-0</v>
      </c>
      <c r="D10" s="113" t="n">
        <f aca="false">-Investimentos!D21</f>
        <v>-0</v>
      </c>
      <c r="E10" s="113" t="n">
        <f aca="false">-Investimentos!E21</f>
        <v>-0</v>
      </c>
      <c r="F10" s="113" t="n">
        <f aca="false">-Investimentos!F21</f>
        <v>-0</v>
      </c>
      <c r="G10" s="113" t="n">
        <f aca="false">-Investimentos!G21</f>
        <v>-0</v>
      </c>
      <c r="H10" s="113" t="n">
        <f aca="false">-Investimentos!H21</f>
        <v>-0</v>
      </c>
      <c r="I10" s="113" t="n">
        <f aca="false">-Investimentos!I21</f>
        <v>-9127.82</v>
      </c>
      <c r="J10" s="113" t="n">
        <f aca="false">-Investimentos!J21</f>
        <v>-0</v>
      </c>
      <c r="K10" s="113" t="n">
        <f aca="false">-Investimentos!K21</f>
        <v>-0</v>
      </c>
      <c r="L10" s="113" t="n">
        <f aca="false">-Investimentos!L21</f>
        <v>-0</v>
      </c>
      <c r="M10" s="113" t="n">
        <f aca="false">-Investimentos!M21</f>
        <v>-0</v>
      </c>
      <c r="N10" s="113" t="n">
        <f aca="false">-Investimentos!N21</f>
        <v>-0</v>
      </c>
      <c r="O10" s="113" t="n">
        <f aca="false">-Investimentos!O21</f>
        <v>-0</v>
      </c>
      <c r="P10" s="113" t="n">
        <f aca="false">-Investimentos!P21</f>
        <v>-0</v>
      </c>
      <c r="Q10" s="113" t="n">
        <f aca="false">-Investimentos!Q21</f>
        <v>-0</v>
      </c>
      <c r="R10" s="113" t="n">
        <f aca="false">-Investimentos!R21</f>
        <v>-0</v>
      </c>
      <c r="S10" s="113" t="n">
        <f aca="false">-Investimentos!S21</f>
        <v>-6000</v>
      </c>
      <c r="T10" s="113" t="n">
        <f aca="false">-Investimentos!T21</f>
        <v>-0</v>
      </c>
      <c r="U10" s="113" t="n">
        <f aca="false">-Investimentos!U21</f>
        <v>-0</v>
      </c>
      <c r="V10" s="113" t="n">
        <f aca="false">-Investimentos!V21</f>
        <v>-0</v>
      </c>
      <c r="W10" s="113" t="n">
        <f aca="false">-Investimentos!W21</f>
        <v>-0</v>
      </c>
      <c r="X10" s="113" t="n">
        <f aca="false">-Investimentos!X21</f>
        <v>-0</v>
      </c>
      <c r="Y10" s="113" t="n">
        <f aca="false">-Investimentos!Y21</f>
        <v>-0</v>
      </c>
      <c r="Z10" s="113" t="n">
        <f aca="false">-Investimentos!Z21</f>
        <v>-0</v>
      </c>
      <c r="AA10" s="113" t="n">
        <f aca="false">-Investimentos!AA21</f>
        <v>-0</v>
      </c>
      <c r="AB10" s="113" t="n">
        <f aca="false">-Investimentos!AB21</f>
        <v>-0</v>
      </c>
      <c r="AC10" s="113" t="n">
        <f aca="false">-Investimentos!AC21</f>
        <v>-0</v>
      </c>
      <c r="AD10" s="113" t="n">
        <f aca="false">-Investimentos!AD21</f>
        <v>-0</v>
      </c>
      <c r="AE10" s="113" t="n">
        <f aca="false">-Investimentos!AE21</f>
        <v>-15000</v>
      </c>
      <c r="AF10" s="113" t="n">
        <f aca="false">-Investimentos!AF21</f>
        <v>-0</v>
      </c>
      <c r="AG10" s="113" t="n">
        <f aca="false">-Investimentos!AG21</f>
        <v>-0</v>
      </c>
      <c r="AH10" s="113" t="n">
        <f aca="false">-Investimentos!AH21</f>
        <v>-0</v>
      </c>
      <c r="AI10" s="113" t="n">
        <f aca="false">-Investimentos!AI21</f>
        <v>-0</v>
      </c>
      <c r="AJ10" s="113" t="n">
        <f aca="false">-Investimentos!AJ21</f>
        <v>-0</v>
      </c>
      <c r="AK10" s="113" t="n">
        <f aca="false">-Investimentos!AK21</f>
        <v>-0</v>
      </c>
      <c r="AL10" s="113" t="n">
        <f aca="false">-Investimentos!AL21</f>
        <v>-0</v>
      </c>
      <c r="AM10" s="113" t="n">
        <f aca="false">-Investimentos!AM21</f>
        <v>-0</v>
      </c>
      <c r="AN10" s="113" t="n">
        <f aca="false">-Investimentos!AN21</f>
        <v>-0</v>
      </c>
      <c r="AO10" s="113" t="n">
        <f aca="false">-Investimentos!AO21</f>
        <v>-0</v>
      </c>
      <c r="AP10" s="113" t="n">
        <f aca="false">-Investimentos!AP21</f>
        <v>-0</v>
      </c>
      <c r="AQ10" s="113" t="n">
        <f aca="false">-Investimentos!AQ21</f>
        <v>-25000</v>
      </c>
      <c r="AR10" s="113" t="n">
        <f aca="false">-Investimentos!AR21</f>
        <v>-0</v>
      </c>
      <c r="AS10" s="113" t="n">
        <f aca="false">-Investimentos!AS21</f>
        <v>-0</v>
      </c>
      <c r="AT10" s="113" t="n">
        <f aca="false">-Investimentos!AT21</f>
        <v>-0</v>
      </c>
      <c r="AU10" s="113" t="n">
        <f aca="false">-Investimentos!AU21</f>
        <v>-0</v>
      </c>
      <c r="AV10" s="113" t="n">
        <f aca="false">-Investimentos!AV21</f>
        <v>-0</v>
      </c>
      <c r="AW10" s="113" t="n">
        <f aca="false">-Investimentos!AW21</f>
        <v>-0</v>
      </c>
      <c r="AX10" s="113" t="n">
        <f aca="false">-Investimentos!AX21</f>
        <v>-0</v>
      </c>
      <c r="AY10" s="113" t="n">
        <f aca="false">-Investimentos!AY21</f>
        <v>-0</v>
      </c>
      <c r="AZ10" s="113" t="n">
        <f aca="false">-Investimentos!AZ21</f>
        <v>-0</v>
      </c>
      <c r="BA10" s="113" t="n">
        <f aca="false">-Investimentos!BA21</f>
        <v>-0</v>
      </c>
      <c r="BB10" s="113" t="n">
        <f aca="false">-Investimentos!BB21</f>
        <v>-0</v>
      </c>
      <c r="BC10" s="113" t="n">
        <f aca="false">-Investimentos!BC21</f>
        <v>-30000</v>
      </c>
      <c r="BD10" s="113" t="n">
        <f aca="false">-Investimentos!BD21</f>
        <v>-0</v>
      </c>
      <c r="BE10" s="113" t="n">
        <f aca="false">-Investimentos!BE21</f>
        <v>-0</v>
      </c>
      <c r="BF10" s="113" t="n">
        <f aca="false">-Investimentos!BF21</f>
        <v>-0</v>
      </c>
      <c r="BG10" s="113" t="n">
        <f aca="false">-Investimentos!BG21</f>
        <v>-0</v>
      </c>
      <c r="BH10" s="113" t="n">
        <f aca="false">-Investimentos!BH21</f>
        <v>-0</v>
      </c>
      <c r="BI10" s="113" t="n">
        <f aca="false">-Investimentos!BI21</f>
        <v>-0</v>
      </c>
      <c r="BJ10" s="111" t="n">
        <f aca="false">SUM(B10:BI10)</f>
        <v>-85127.82</v>
      </c>
      <c r="BK10" s="141" t="n">
        <f aca="false">IFERROR(BJ10/BJ$13,0)</f>
        <v>0.570837956324984</v>
      </c>
    </row>
    <row r="11" customFormat="false" ht="15" hidden="false" customHeight="false" outlineLevel="0" collapsed="false">
      <c r="A11" s="27" t="s">
        <v>468</v>
      </c>
      <c r="B11" s="113" t="n">
        <f aca="false">-Investimentos!B22</f>
        <v>-0</v>
      </c>
      <c r="C11" s="113" t="n">
        <f aca="false">-Investimentos!C22</f>
        <v>-0</v>
      </c>
      <c r="D11" s="113" t="n">
        <f aca="false">-Investimentos!D22</f>
        <v>-0</v>
      </c>
      <c r="E11" s="113" t="n">
        <f aca="false">-Investimentos!E22</f>
        <v>-0</v>
      </c>
      <c r="F11" s="113" t="n">
        <f aca="false">-Investimentos!F22</f>
        <v>-6000</v>
      </c>
      <c r="G11" s="113" t="n">
        <f aca="false">-Investimentos!G22</f>
        <v>-0</v>
      </c>
      <c r="H11" s="113" t="n">
        <f aca="false">-Investimentos!H22</f>
        <v>-0</v>
      </c>
      <c r="I11" s="113" t="n">
        <f aca="false">-Investimentos!I22</f>
        <v>-0</v>
      </c>
      <c r="J11" s="113" t="n">
        <f aca="false">-Investimentos!J22</f>
        <v>-0</v>
      </c>
      <c r="K11" s="113" t="n">
        <f aca="false">-Investimentos!K22</f>
        <v>-0</v>
      </c>
      <c r="L11" s="113" t="n">
        <f aca="false">-Investimentos!L22</f>
        <v>-0</v>
      </c>
      <c r="M11" s="113" t="n">
        <f aca="false">-Investimentos!M22</f>
        <v>-0</v>
      </c>
      <c r="N11" s="113" t="n">
        <f aca="false">-Investimentos!N22</f>
        <v>-0</v>
      </c>
      <c r="O11" s="113" t="n">
        <f aca="false">-Investimentos!O22</f>
        <v>-0</v>
      </c>
      <c r="P11" s="113" t="n">
        <f aca="false">-Investimentos!P22</f>
        <v>-0</v>
      </c>
      <c r="Q11" s="113" t="n">
        <f aca="false">-Investimentos!Q22</f>
        <v>-0</v>
      </c>
      <c r="R11" s="113" t="n">
        <f aca="false">-Investimentos!R22</f>
        <v>-0</v>
      </c>
      <c r="S11" s="113" t="n">
        <f aca="false">-Investimentos!S22</f>
        <v>-0</v>
      </c>
      <c r="T11" s="113" t="n">
        <f aca="false">-Investimentos!T22</f>
        <v>-0</v>
      </c>
      <c r="U11" s="113" t="n">
        <f aca="false">-Investimentos!U22</f>
        <v>-0</v>
      </c>
      <c r="V11" s="113" t="n">
        <f aca="false">-Investimentos!V22</f>
        <v>-0</v>
      </c>
      <c r="W11" s="113" t="n">
        <f aca="false">-Investimentos!W22</f>
        <v>-0</v>
      </c>
      <c r="X11" s="113" t="n">
        <f aca="false">-Investimentos!X22</f>
        <v>-0</v>
      </c>
      <c r="Y11" s="113" t="n">
        <f aca="false">-Investimentos!Y22</f>
        <v>-0</v>
      </c>
      <c r="Z11" s="113" t="n">
        <f aca="false">-Investimentos!Z22</f>
        <v>-0</v>
      </c>
      <c r="AA11" s="113" t="n">
        <f aca="false">-Investimentos!AA22</f>
        <v>-0</v>
      </c>
      <c r="AB11" s="113" t="n">
        <f aca="false">-Investimentos!AB22</f>
        <v>-0</v>
      </c>
      <c r="AC11" s="113" t="n">
        <f aca="false">-Investimentos!AC22</f>
        <v>-0</v>
      </c>
      <c r="AD11" s="113" t="n">
        <f aca="false">-Investimentos!AD22</f>
        <v>-0</v>
      </c>
      <c r="AE11" s="113" t="n">
        <f aca="false">-Investimentos!AE22</f>
        <v>-0</v>
      </c>
      <c r="AF11" s="113" t="n">
        <f aca="false">-Investimentos!AF22</f>
        <v>-0</v>
      </c>
      <c r="AG11" s="113" t="n">
        <f aca="false">-Investimentos!AG22</f>
        <v>-0</v>
      </c>
      <c r="AH11" s="113" t="n">
        <f aca="false">-Investimentos!AH22</f>
        <v>-0</v>
      </c>
      <c r="AI11" s="113" t="n">
        <f aca="false">-Investimentos!AI22</f>
        <v>-0</v>
      </c>
      <c r="AJ11" s="113" t="n">
        <f aca="false">-Investimentos!AJ22</f>
        <v>-0</v>
      </c>
      <c r="AK11" s="113" t="n">
        <f aca="false">-Investimentos!AK22</f>
        <v>-0</v>
      </c>
      <c r="AL11" s="113" t="n">
        <f aca="false">-Investimentos!AL22</f>
        <v>-0</v>
      </c>
      <c r="AM11" s="113" t="n">
        <f aca="false">-Investimentos!AM22</f>
        <v>-0</v>
      </c>
      <c r="AN11" s="113" t="n">
        <f aca="false">-Investimentos!AN22</f>
        <v>-0</v>
      </c>
      <c r="AO11" s="113" t="n">
        <f aca="false">-Investimentos!AO22</f>
        <v>-0</v>
      </c>
      <c r="AP11" s="113" t="n">
        <f aca="false">-Investimentos!AP22</f>
        <v>-0</v>
      </c>
      <c r="AQ11" s="113" t="n">
        <f aca="false">-Investimentos!AQ22</f>
        <v>-0</v>
      </c>
      <c r="AR11" s="113" t="n">
        <f aca="false">-Investimentos!AR22</f>
        <v>-0</v>
      </c>
      <c r="AS11" s="113" t="n">
        <f aca="false">-Investimentos!AS22</f>
        <v>-0</v>
      </c>
      <c r="AT11" s="113" t="n">
        <f aca="false">-Investimentos!AT22</f>
        <v>-0</v>
      </c>
      <c r="AU11" s="113" t="n">
        <f aca="false">-Investimentos!AU22</f>
        <v>-0</v>
      </c>
      <c r="AV11" s="113" t="n">
        <f aca="false">-Investimentos!AV22</f>
        <v>-0</v>
      </c>
      <c r="AW11" s="113" t="n">
        <f aca="false">-Investimentos!AW22</f>
        <v>-0</v>
      </c>
      <c r="AX11" s="113" t="n">
        <f aca="false">-Investimentos!AX22</f>
        <v>-0</v>
      </c>
      <c r="AY11" s="113" t="n">
        <f aca="false">-Investimentos!AY22</f>
        <v>-0</v>
      </c>
      <c r="AZ11" s="113" t="n">
        <f aca="false">-Investimentos!AZ22</f>
        <v>-0</v>
      </c>
      <c r="BA11" s="113" t="n">
        <f aca="false">-Investimentos!BA22</f>
        <v>-0</v>
      </c>
      <c r="BB11" s="113" t="n">
        <f aca="false">-Investimentos!BB22</f>
        <v>-0</v>
      </c>
      <c r="BC11" s="113" t="n">
        <f aca="false">-Investimentos!BC22</f>
        <v>-0</v>
      </c>
      <c r="BD11" s="113" t="n">
        <f aca="false">-Investimentos!BD22</f>
        <v>-0</v>
      </c>
      <c r="BE11" s="113" t="n">
        <f aca="false">-Investimentos!BE22</f>
        <v>-0</v>
      </c>
      <c r="BF11" s="113" t="n">
        <f aca="false">-Investimentos!BF22</f>
        <v>-0</v>
      </c>
      <c r="BG11" s="113" t="n">
        <f aca="false">-Investimentos!BG22</f>
        <v>-0</v>
      </c>
      <c r="BH11" s="113" t="n">
        <f aca="false">-Investimentos!BH22</f>
        <v>-0</v>
      </c>
      <c r="BI11" s="113" t="n">
        <f aca="false">-Investimentos!BI22</f>
        <v>-0</v>
      </c>
      <c r="BJ11" s="111" t="n">
        <f aca="false">SUM(B11:BI11)</f>
        <v>-6000</v>
      </c>
      <c r="BK11" s="141" t="n">
        <f aca="false">IFERROR(BJ11/BJ$13,0)</f>
        <v>0.0402339415945328</v>
      </c>
    </row>
    <row r="12" customFormat="false" ht="15" hidden="false" customHeight="false" outlineLevel="0" collapsed="false">
      <c r="A12" s="27" t="s">
        <v>469</v>
      </c>
      <c r="B12" s="113" t="n">
        <f aca="false">-Investimentos!B23</f>
        <v>-0</v>
      </c>
      <c r="C12" s="113" t="n">
        <f aca="false">-Investimentos!C23</f>
        <v>-0</v>
      </c>
      <c r="D12" s="113" t="n">
        <f aca="false">-Investimentos!D23</f>
        <v>-0</v>
      </c>
      <c r="E12" s="113" t="n">
        <f aca="false">-Investimentos!E23</f>
        <v>-0</v>
      </c>
      <c r="F12" s="113" t="n">
        <f aca="false">-Investimentos!F23</f>
        <v>-0</v>
      </c>
      <c r="G12" s="113" t="n">
        <f aca="false">-Investimentos!G23</f>
        <v>-0</v>
      </c>
      <c r="H12" s="113" t="n">
        <f aca="false">-Investimentos!H23</f>
        <v>-0</v>
      </c>
      <c r="I12" s="113" t="n">
        <f aca="false">-Investimentos!I23</f>
        <v>-0</v>
      </c>
      <c r="J12" s="113" t="n">
        <f aca="false">-Investimentos!J23</f>
        <v>-0</v>
      </c>
      <c r="K12" s="113" t="n">
        <f aca="false">-Investimentos!K23</f>
        <v>-0</v>
      </c>
      <c r="L12" s="113" t="n">
        <f aca="false">-Investimentos!L23</f>
        <v>-0</v>
      </c>
      <c r="M12" s="113" t="n">
        <f aca="false">-Investimentos!M23</f>
        <v>-0</v>
      </c>
      <c r="N12" s="113" t="n">
        <f aca="false">-Investimentos!N23</f>
        <v>-0</v>
      </c>
      <c r="O12" s="113" t="n">
        <f aca="false">-Investimentos!O23</f>
        <v>-0</v>
      </c>
      <c r="P12" s="113" t="n">
        <f aca="false">-Investimentos!P23</f>
        <v>-12000</v>
      </c>
      <c r="Q12" s="113" t="n">
        <f aca="false">-Investimentos!Q23</f>
        <v>-0</v>
      </c>
      <c r="R12" s="113" t="n">
        <f aca="false">-Investimentos!R23</f>
        <v>-0</v>
      </c>
      <c r="S12" s="113" t="n">
        <f aca="false">-Investimentos!S23</f>
        <v>-0</v>
      </c>
      <c r="T12" s="113" t="n">
        <f aca="false">-Investimentos!T23</f>
        <v>-25000</v>
      </c>
      <c r="U12" s="113" t="n">
        <f aca="false">-Investimentos!U23</f>
        <v>-0</v>
      </c>
      <c r="V12" s="113" t="n">
        <f aca="false">-Investimentos!V23</f>
        <v>-0</v>
      </c>
      <c r="W12" s="113" t="n">
        <f aca="false">-Investimentos!W23</f>
        <v>-0</v>
      </c>
      <c r="X12" s="113" t="n">
        <f aca="false">-Investimentos!X23</f>
        <v>-0</v>
      </c>
      <c r="Y12" s="113" t="n">
        <f aca="false">-Investimentos!Y23</f>
        <v>-0</v>
      </c>
      <c r="Z12" s="113" t="n">
        <f aca="false">-Investimentos!Z23</f>
        <v>-0</v>
      </c>
      <c r="AA12" s="113" t="n">
        <f aca="false">-Investimentos!AA23</f>
        <v>-0</v>
      </c>
      <c r="AB12" s="113" t="n">
        <f aca="false">-Investimentos!AB23</f>
        <v>-0</v>
      </c>
      <c r="AC12" s="113" t="n">
        <f aca="false">-Investimentos!AC23</f>
        <v>-0</v>
      </c>
      <c r="AD12" s="113" t="n">
        <f aca="false">-Investimentos!AD23</f>
        <v>-0</v>
      </c>
      <c r="AE12" s="113" t="n">
        <f aca="false">-Investimentos!AE23</f>
        <v>-0</v>
      </c>
      <c r="AF12" s="113" t="n">
        <f aca="false">-Investimentos!AF23</f>
        <v>-0</v>
      </c>
      <c r="AG12" s="113" t="n">
        <f aca="false">-Investimentos!AG23</f>
        <v>-0</v>
      </c>
      <c r="AH12" s="113" t="n">
        <f aca="false">-Investimentos!AH23</f>
        <v>-0</v>
      </c>
      <c r="AI12" s="113" t="n">
        <f aca="false">-Investimentos!AI23</f>
        <v>-0</v>
      </c>
      <c r="AJ12" s="113" t="n">
        <f aca="false">-Investimentos!AJ23</f>
        <v>-0</v>
      </c>
      <c r="AK12" s="113" t="n">
        <f aca="false">-Investimentos!AK23</f>
        <v>-0</v>
      </c>
      <c r="AL12" s="113" t="n">
        <f aca="false">-Investimentos!AL23</f>
        <v>-0</v>
      </c>
      <c r="AM12" s="113" t="n">
        <f aca="false">-Investimentos!AM23</f>
        <v>-0</v>
      </c>
      <c r="AN12" s="113" t="n">
        <f aca="false">-Investimentos!AN23</f>
        <v>-0</v>
      </c>
      <c r="AO12" s="113" t="n">
        <f aca="false">-Investimentos!AO23</f>
        <v>-0</v>
      </c>
      <c r="AP12" s="113" t="n">
        <f aca="false">-Investimentos!AP23</f>
        <v>-0</v>
      </c>
      <c r="AQ12" s="113" t="n">
        <f aca="false">-Investimentos!AQ23</f>
        <v>-0</v>
      </c>
      <c r="AR12" s="113" t="n">
        <f aca="false">-Investimentos!AR23</f>
        <v>-0</v>
      </c>
      <c r="AS12" s="113" t="n">
        <f aca="false">-Investimentos!AS23</f>
        <v>-0</v>
      </c>
      <c r="AT12" s="113" t="n">
        <f aca="false">-Investimentos!AT23</f>
        <v>-0</v>
      </c>
      <c r="AU12" s="113" t="n">
        <f aca="false">-Investimentos!AU23</f>
        <v>-0</v>
      </c>
      <c r="AV12" s="113" t="n">
        <f aca="false">-Investimentos!AV23</f>
        <v>-0</v>
      </c>
      <c r="AW12" s="113" t="n">
        <f aca="false">-Investimentos!AW23</f>
        <v>-0</v>
      </c>
      <c r="AX12" s="113" t="n">
        <f aca="false">-Investimentos!AX23</f>
        <v>-0</v>
      </c>
      <c r="AY12" s="113" t="n">
        <f aca="false">-Investimentos!AY23</f>
        <v>-0</v>
      </c>
      <c r="AZ12" s="113" t="n">
        <f aca="false">-Investimentos!AZ23</f>
        <v>-0</v>
      </c>
      <c r="BA12" s="113" t="n">
        <f aca="false">-Investimentos!BA23</f>
        <v>-0</v>
      </c>
      <c r="BB12" s="113" t="n">
        <f aca="false">-Investimentos!BB23</f>
        <v>-0</v>
      </c>
      <c r="BC12" s="113" t="n">
        <f aca="false">-Investimentos!BC23</f>
        <v>-0</v>
      </c>
      <c r="BD12" s="113" t="n">
        <f aca="false">-Investimentos!BD23</f>
        <v>-0</v>
      </c>
      <c r="BE12" s="113" t="n">
        <f aca="false">-Investimentos!BE23</f>
        <v>-0</v>
      </c>
      <c r="BF12" s="113" t="n">
        <f aca="false">-Investimentos!BF23</f>
        <v>-0</v>
      </c>
      <c r="BG12" s="113" t="n">
        <f aca="false">-Investimentos!BG23</f>
        <v>-0</v>
      </c>
      <c r="BH12" s="113" t="n">
        <f aca="false">-Investimentos!BH23</f>
        <v>-0</v>
      </c>
      <c r="BI12" s="113" t="n">
        <f aca="false">-Investimentos!BI23</f>
        <v>-0</v>
      </c>
      <c r="BJ12" s="111" t="n">
        <f aca="false">SUM(B12:BI12)</f>
        <v>-37000</v>
      </c>
      <c r="BK12" s="141" t="n">
        <f aca="false">IFERROR(BJ12/BJ$13,0)</f>
        <v>0.248109306499619</v>
      </c>
    </row>
    <row r="13" customFormat="false" ht="15" hidden="false" customHeight="false" outlineLevel="0" collapsed="false">
      <c r="A13" s="51" t="s">
        <v>470</v>
      </c>
      <c r="B13" s="111" t="n">
        <f aca="false">SUM(B9:B12)</f>
        <v>0</v>
      </c>
      <c r="C13" s="111" t="n">
        <f aca="false">SUM(C9:C12)</f>
        <v>0</v>
      </c>
      <c r="D13" s="111" t="n">
        <f aca="false">SUM(D9:D12)</f>
        <v>0</v>
      </c>
      <c r="E13" s="111" t="n">
        <f aca="false">SUM(E9:E12)</f>
        <v>0</v>
      </c>
      <c r="F13" s="111" t="n">
        <f aca="false">SUM(F9:F12)</f>
        <v>-6000</v>
      </c>
      <c r="G13" s="111" t="n">
        <f aca="false">SUM(G9:G12)</f>
        <v>0</v>
      </c>
      <c r="H13" s="111" t="n">
        <f aca="false">SUM(H9:H12)</f>
        <v>0</v>
      </c>
      <c r="I13" s="111" t="n">
        <f aca="false">SUM(I9:I12)</f>
        <v>-9127.82</v>
      </c>
      <c r="J13" s="111" t="n">
        <f aca="false">SUM(J9:J12)</f>
        <v>-10500</v>
      </c>
      <c r="K13" s="111" t="n">
        <f aca="false">SUM(K9:K12)</f>
        <v>-10500</v>
      </c>
      <c r="L13" s="111" t="n">
        <f aca="false">SUM(L9:L12)</f>
        <v>0</v>
      </c>
      <c r="M13" s="111" t="n">
        <f aca="false">SUM(M9:M12)</f>
        <v>0</v>
      </c>
      <c r="N13" s="111" t="n">
        <f aca="false">SUM(N9:N12)</f>
        <v>0</v>
      </c>
      <c r="O13" s="111" t="n">
        <f aca="false">SUM(O9:O12)</f>
        <v>0</v>
      </c>
      <c r="P13" s="111" t="n">
        <f aca="false">SUM(P9:P12)</f>
        <v>-12000</v>
      </c>
      <c r="Q13" s="111" t="n">
        <f aca="false">SUM(Q9:Q12)</f>
        <v>0</v>
      </c>
      <c r="R13" s="111" t="n">
        <f aca="false">SUM(R9:R12)</f>
        <v>0</v>
      </c>
      <c r="S13" s="111" t="n">
        <f aca="false">SUM(S9:S12)</f>
        <v>-6000</v>
      </c>
      <c r="T13" s="111" t="n">
        <f aca="false">SUM(T9:T12)</f>
        <v>-25000</v>
      </c>
      <c r="U13" s="111" t="n">
        <f aca="false">SUM(U9:U12)</f>
        <v>0</v>
      </c>
      <c r="V13" s="111" t="n">
        <f aca="false">SUM(V9:V12)</f>
        <v>0</v>
      </c>
      <c r="W13" s="111" t="n">
        <f aca="false">SUM(W9:W12)</f>
        <v>0</v>
      </c>
      <c r="X13" s="111" t="n">
        <f aca="false">SUM(X9:X12)</f>
        <v>0</v>
      </c>
      <c r="Y13" s="111" t="n">
        <f aca="false">SUM(Y9:Y12)</f>
        <v>0</v>
      </c>
      <c r="Z13" s="111" t="n">
        <f aca="false">SUM(Z9:Z12)</f>
        <v>0</v>
      </c>
      <c r="AA13" s="111" t="n">
        <f aca="false">SUM(AA9:AA12)</f>
        <v>0</v>
      </c>
      <c r="AB13" s="111" t="n">
        <f aca="false">SUM(AB9:AB12)</f>
        <v>0</v>
      </c>
      <c r="AC13" s="111" t="n">
        <f aca="false">SUM(AC9:AC12)</f>
        <v>0</v>
      </c>
      <c r="AD13" s="111" t="n">
        <f aca="false">SUM(AD9:AD12)</f>
        <v>0</v>
      </c>
      <c r="AE13" s="111" t="n">
        <f aca="false">SUM(AE9:AE12)</f>
        <v>-15000</v>
      </c>
      <c r="AF13" s="111" t="n">
        <f aca="false">SUM(AF9:AF12)</f>
        <v>0</v>
      </c>
      <c r="AG13" s="111" t="n">
        <f aca="false">SUM(AG9:AG12)</f>
        <v>0</v>
      </c>
      <c r="AH13" s="111" t="n">
        <f aca="false">SUM(AH9:AH12)</f>
        <v>0</v>
      </c>
      <c r="AI13" s="111" t="n">
        <f aca="false">SUM(AI9:AI12)</f>
        <v>0</v>
      </c>
      <c r="AJ13" s="111" t="n">
        <f aca="false">SUM(AJ9:AJ12)</f>
        <v>0</v>
      </c>
      <c r="AK13" s="111" t="n">
        <f aca="false">SUM(AK9:AK12)</f>
        <v>0</v>
      </c>
      <c r="AL13" s="111" t="n">
        <f aca="false">SUM(AL9:AL12)</f>
        <v>0</v>
      </c>
      <c r="AM13" s="111" t="n">
        <f aca="false">SUM(AM9:AM12)</f>
        <v>0</v>
      </c>
      <c r="AN13" s="111" t="n">
        <f aca="false">SUM(AN9:AN12)</f>
        <v>0</v>
      </c>
      <c r="AO13" s="111" t="n">
        <f aca="false">SUM(AO9:AO12)</f>
        <v>0</v>
      </c>
      <c r="AP13" s="111" t="n">
        <f aca="false">SUM(AP9:AP12)</f>
        <v>0</v>
      </c>
      <c r="AQ13" s="111" t="n">
        <f aca="false">SUM(AQ9:AQ12)</f>
        <v>-25000</v>
      </c>
      <c r="AR13" s="111" t="n">
        <f aca="false">SUM(AR9:AR12)</f>
        <v>0</v>
      </c>
      <c r="AS13" s="111" t="n">
        <f aca="false">SUM(AS9:AS12)</f>
        <v>0</v>
      </c>
      <c r="AT13" s="111" t="n">
        <f aca="false">SUM(AT9:AT12)</f>
        <v>0</v>
      </c>
      <c r="AU13" s="111" t="n">
        <f aca="false">SUM(AU9:AU12)</f>
        <v>0</v>
      </c>
      <c r="AV13" s="111" t="n">
        <f aca="false">SUM(AV9:AV12)</f>
        <v>0</v>
      </c>
      <c r="AW13" s="111" t="n">
        <f aca="false">SUM(AW9:AW12)</f>
        <v>0</v>
      </c>
      <c r="AX13" s="111" t="n">
        <f aca="false">SUM(AX9:AX12)</f>
        <v>0</v>
      </c>
      <c r="AY13" s="111" t="n">
        <f aca="false">SUM(AY9:AY12)</f>
        <v>0</v>
      </c>
      <c r="AZ13" s="111" t="n">
        <f aca="false">SUM(AZ9:AZ12)</f>
        <v>0</v>
      </c>
      <c r="BA13" s="111" t="n">
        <f aca="false">SUM(BA9:BA12)</f>
        <v>0</v>
      </c>
      <c r="BB13" s="111" t="n">
        <f aca="false">SUM(BB9:BB12)</f>
        <v>0</v>
      </c>
      <c r="BC13" s="111" t="n">
        <f aca="false">SUM(BC9:BC12)</f>
        <v>-30000</v>
      </c>
      <c r="BD13" s="111" t="n">
        <f aca="false">SUM(BD9:BD12)</f>
        <v>0</v>
      </c>
      <c r="BE13" s="111" t="n">
        <f aca="false">SUM(BE9:BE12)</f>
        <v>0</v>
      </c>
      <c r="BF13" s="111" t="n">
        <f aca="false">SUM(BF9:BF12)</f>
        <v>0</v>
      </c>
      <c r="BG13" s="111" t="n">
        <f aca="false">SUM(BG9:BG12)</f>
        <v>0</v>
      </c>
      <c r="BH13" s="111" t="n">
        <f aca="false">SUM(BH9:BH12)</f>
        <v>0</v>
      </c>
      <c r="BI13" s="111" t="n">
        <f aca="false">SUM(BI9:BI12)</f>
        <v>0</v>
      </c>
      <c r="BJ13" s="111" t="n">
        <f aca="false">SUM(B13:BI13)</f>
        <v>-149127.82</v>
      </c>
    </row>
    <row r="15" customFormat="false" ht="18" hidden="false" customHeight="true" outlineLevel="0" collapsed="false">
      <c r="A15" s="25" t="s">
        <v>471</v>
      </c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</row>
    <row r="16" customFormat="false" ht="15" hidden="false" customHeight="false" outlineLevel="0" collapsed="false">
      <c r="A16" s="27" t="s">
        <v>472</v>
      </c>
      <c r="B16" s="110" t="n">
        <f aca="false">CHOOSE(Premissas!$B$6,Cenários!B32,Cenários!B78,Cenários!B124)</f>
        <v>-0</v>
      </c>
      <c r="C16" s="110" t="n">
        <f aca="false">CHOOSE(Premissas!$B$6,Cenários!C32,Cenários!C78,Cenários!C124)</f>
        <v>-0</v>
      </c>
      <c r="D16" s="110" t="n">
        <f aca="false">CHOOSE(Premissas!$B$6,Cenários!D32,Cenários!D78,Cenários!D124)</f>
        <v>-0</v>
      </c>
      <c r="E16" s="110" t="n">
        <f aca="false">CHOOSE(Premissas!$B$6,Cenários!E32,Cenários!E78,Cenários!E124)</f>
        <v>-0</v>
      </c>
      <c r="F16" s="110" t="n">
        <f aca="false">CHOOSE(Premissas!$B$6,Cenários!F32,Cenários!F78,Cenários!F124)</f>
        <v>-600</v>
      </c>
      <c r="G16" s="110" t="n">
        <f aca="false">CHOOSE(Premissas!$B$6,Cenários!G32,Cenários!G78,Cenários!G124)</f>
        <v>-600</v>
      </c>
      <c r="H16" s="110" t="n">
        <f aca="false">CHOOSE(Premissas!$B$6,Cenários!H32,Cenários!H78,Cenários!H124)</f>
        <v>-600</v>
      </c>
      <c r="I16" s="110" t="n">
        <f aca="false">CHOOSE(Premissas!$B$6,Cenários!I32,Cenários!I78,Cenários!I124)</f>
        <v>-600</v>
      </c>
      <c r="J16" s="110" t="n">
        <f aca="false">CHOOSE(Premissas!$B$6,Cenários!J32,Cenários!J78,Cenários!J124)</f>
        <v>-600</v>
      </c>
      <c r="K16" s="110" t="n">
        <f aca="false">CHOOSE(Premissas!$B$6,Cenários!K32,Cenários!K78,Cenários!K124)</f>
        <v>-1185.48</v>
      </c>
      <c r="L16" s="110" t="n">
        <f aca="false">CHOOSE(Premissas!$B$6,Cenários!L32,Cenários!L78,Cenários!L124)</f>
        <v>-2151.96</v>
      </c>
      <c r="M16" s="110" t="n">
        <f aca="false">CHOOSE(Premissas!$B$6,Cenários!M32,Cenários!M78,Cenários!M124)</f>
        <v>-3454.3968</v>
      </c>
      <c r="N16" s="110" t="n">
        <f aca="false">CHOOSE(Premissas!$B$6,Cenários!N32,Cenários!N78,Cenários!N124)</f>
        <v>-7485.64875264</v>
      </c>
      <c r="O16" s="110" t="n">
        <f aca="false">CHOOSE(Premissas!$B$6,Cenários!O32,Cenários!O78,Cenários!O124)</f>
        <v>-10092.7202704415</v>
      </c>
      <c r="P16" s="110" t="n">
        <f aca="false">CHOOSE(Premissas!$B$6,Cenários!P32,Cenários!P78,Cenários!P124)</f>
        <v>-13066.2661701043</v>
      </c>
      <c r="Q16" s="110" t="n">
        <f aca="false">CHOOSE(Premissas!$B$6,Cenários!Q32,Cenários!Q78,Cenários!Q124)</f>
        <v>-14764.8523781124</v>
      </c>
      <c r="R16" s="110" t="n">
        <f aca="false">CHOOSE(Premissas!$B$6,Cenários!R32,Cenários!R78,Cenários!R124)</f>
        <v>-16335.8708872784</v>
      </c>
      <c r="S16" s="110" t="n">
        <f aca="false">CHOOSE(Premissas!$B$6,Cenários!S32,Cenários!S78,Cenários!S124)</f>
        <v>-17788.063588555</v>
      </c>
      <c r="T16" s="110" t="n">
        <f aca="false">CHOOSE(Premissas!$B$6,Cenários!T32,Cenários!T78,Cenários!T124)</f>
        <v>-19131.3450626957</v>
      </c>
      <c r="U16" s="110" t="n">
        <f aca="false">CHOOSE(Premissas!$B$6,Cenários!U32,Cenários!U78,Cenários!U124)</f>
        <v>-20374.154409981</v>
      </c>
      <c r="V16" s="110" t="n">
        <f aca="false">CHOOSE(Premissas!$B$6,Cenários!V32,Cenários!V78,Cenários!V124)</f>
        <v>-21522.1361903504</v>
      </c>
      <c r="W16" s="110" t="n">
        <f aca="false">CHOOSE(Premissas!$B$6,Cenários!W32,Cenários!W78,Cenários!W124)</f>
        <v>-22584.8005408361</v>
      </c>
      <c r="X16" s="110" t="n">
        <f aca="false">CHOOSE(Premissas!$B$6,Cenários!X32,Cenários!X78,Cenários!X124)</f>
        <v>-23567.5525321652</v>
      </c>
      <c r="Y16" s="110" t="n">
        <f aca="false">CHOOSE(Premissas!$B$6,Cenários!Y32,Cenários!Y78,Cenários!Y124)</f>
        <v>-24475.6908217464</v>
      </c>
      <c r="Z16" s="110" t="n">
        <f aca="false">CHOOSE(Premissas!$B$6,Cenários!Z32,Cenários!Z78,Cenários!Z124)</f>
        <v>-30109.4172093089</v>
      </c>
      <c r="AA16" s="110" t="n">
        <f aca="false">CHOOSE(Premissas!$B$6,Cenários!AA32,Cenários!AA78,Cenários!AA124)</f>
        <v>-31967.9254947693</v>
      </c>
      <c r="AB16" s="110" t="n">
        <f aca="false">CHOOSE(Premissas!$B$6,Cenários!AB32,Cenários!AB78,Cenários!AB124)</f>
        <v>-33695.271819187</v>
      </c>
      <c r="AC16" s="110" t="n">
        <f aca="false">CHOOSE(Premissas!$B$6,Cenários!AC32,Cenários!AC78,Cenários!AC124)</f>
        <v>-35300.2380470083</v>
      </c>
      <c r="AD16" s="110" t="n">
        <f aca="false">CHOOSE(Premissas!$B$6,Cenários!AD32,Cenários!AD78,Cenários!AD124)</f>
        <v>-36792.5973831414</v>
      </c>
      <c r="AE16" s="110" t="n">
        <f aca="false">CHOOSE(Premissas!$B$6,Cenários!AE32,Cenários!AE78,Cenários!AE124)</f>
        <v>-38178.5963158979</v>
      </c>
      <c r="AF16" s="110" t="n">
        <f aca="false">CHOOSE(Premissas!$B$6,Cenários!AF32,Cenários!AF78,Cenários!AF124)</f>
        <v>-39466.6238570877</v>
      </c>
      <c r="AG16" s="110" t="n">
        <f aca="false">CHOOSE(Premissas!$B$6,Cenários!AG32,Cenários!AG78,Cenários!AG124)</f>
        <v>-40663.8241289499</v>
      </c>
      <c r="AH16" s="110" t="n">
        <f aca="false">CHOOSE(Premissas!$B$6,Cenários!AH32,Cenários!AH78,Cenários!AH124)</f>
        <v>-41777.2363440907</v>
      </c>
      <c r="AI16" s="110" t="n">
        <f aca="false">CHOOSE(Premissas!$B$6,Cenários!AI32,Cenários!AI78,Cenários!AI124)</f>
        <v>-42811.5382213356</v>
      </c>
      <c r="AJ16" s="110" t="n">
        <f aca="false">CHOOSE(Premissas!$B$6,Cenários!AJ32,Cenários!AJ78,Cenários!AJ124)</f>
        <v>-43772.4488773698</v>
      </c>
      <c r="AK16" s="110" t="n">
        <f aca="false">CHOOSE(Premissas!$B$6,Cenários!AK32,Cenários!AK78,Cenários!AK124)</f>
        <v>-44664.4712312223</v>
      </c>
      <c r="AL16" s="110" t="n">
        <f aca="false">CHOOSE(Premissas!$B$6,Cenários!AL32,Cenários!AL78,Cenários!AL124)</f>
        <v>-54092.6320937844</v>
      </c>
      <c r="AM16" s="110" t="n">
        <f aca="false">CHOOSE(Premissas!$B$6,Cenários!AM32,Cenários!AM78,Cenários!AM124)</f>
        <v>-56400.7017415393</v>
      </c>
      <c r="AN16" s="110" t="n">
        <f aca="false">CHOOSE(Premissas!$B$6,Cenários!AN32,Cenários!AN78,Cenários!AN124)</f>
        <v>-58554.8019178997</v>
      </c>
      <c r="AO16" s="110" t="n">
        <f aca="false">CHOOSE(Premissas!$B$6,Cenários!AO32,Cenários!AO78,Cenários!AO124)</f>
        <v>-60566.7666868007</v>
      </c>
      <c r="AP16" s="110" t="n">
        <f aca="false">CHOOSE(Premissas!$B$6,Cenários!AP32,Cenários!AP78,Cenários!AP124)</f>
        <v>-62444.3582776368</v>
      </c>
      <c r="AQ16" s="110" t="n">
        <f aca="false">CHOOSE(Premissas!$B$6,Cenários!AQ32,Cenários!AQ78,Cenários!AQ124)</f>
        <v>-64197.1858452342</v>
      </c>
      <c r="AR16" s="110" t="n">
        <f aca="false">CHOOSE(Premissas!$B$6,Cenários!AR32,Cenários!AR78,Cenários!AR124)</f>
        <v>-65833.7586477527</v>
      </c>
      <c r="AS16" s="110" t="n">
        <f aca="false">CHOOSE(Premissas!$B$6,Cenários!AS32,Cenários!AS78,Cenários!AS124)</f>
        <v>-67361.4936811923</v>
      </c>
      <c r="AT16" s="110" t="n">
        <f aca="false">CHOOSE(Premissas!$B$6,Cenários!AT32,Cenários!AT78,Cenários!AT124)</f>
        <v>-68787.7078066116</v>
      </c>
      <c r="AU16" s="110" t="n">
        <f aca="false">CHOOSE(Premissas!$B$6,Cenários!AU32,Cenários!AU78,Cenários!AU124)</f>
        <v>-70119.6244037662</v>
      </c>
      <c r="AV16" s="110" t="n">
        <f aca="false">CHOOSE(Premissas!$B$6,Cenários!AV32,Cenários!AV78,Cenários!AV124)</f>
        <v>-71362.4095826352</v>
      </c>
      <c r="AW16" s="110" t="n">
        <f aca="false">CHOOSE(Premissas!$B$6,Cenários!AW32,Cenários!AW78,Cenários!AW124)</f>
        <v>-72523.1179822109</v>
      </c>
      <c r="AX16" s="110" t="n">
        <f aca="false">CHOOSE(Premissas!$B$6,Cenários!AX32,Cenários!AX78,Cenários!AX124)</f>
        <v>-86787.8473718731</v>
      </c>
      <c r="AY16" s="110" t="n">
        <f aca="false">CHOOSE(Premissas!$B$6,Cenários!AY32,Cenários!AY78,Cenários!AY124)</f>
        <v>-90131.9471902462</v>
      </c>
      <c r="AZ16" s="110" t="n">
        <f aca="false">CHOOSE(Premissas!$B$6,Cenários!AZ32,Cenários!AZ78,Cenários!AZ124)</f>
        <v>-93267.1228169561</v>
      </c>
      <c r="BA16" s="110" t="n">
        <f aca="false">CHOOSE(Premissas!$B$6,Cenários!BA32,Cenários!BA78,Cenários!BA124)</f>
        <v>-96205.7112816479</v>
      </c>
      <c r="BB16" s="110" t="n">
        <f aca="false">CHOOSE(Premissas!$B$6,Cenários!BB32,Cenários!BB78,Cenários!BB124)</f>
        <v>-98961.6570914118</v>
      </c>
      <c r="BC16" s="110" t="n">
        <f aca="false">CHOOSE(Premissas!$B$6,Cenários!BC32,Cenários!BC78,Cenários!BC124)</f>
        <v>-101545.212381928</v>
      </c>
      <c r="BD16" s="110" t="n">
        <f aca="false">CHOOSE(Premissas!$B$6,Cenários!BD32,Cenários!BD78,Cenários!BD124)</f>
        <v>-103967.371434572</v>
      </c>
      <c r="BE16" s="110" t="n">
        <f aca="false">CHOOSE(Premissas!$B$6,Cenários!BE32,Cenários!BE78,Cenários!BE124)</f>
        <v>-106238.109599084</v>
      </c>
      <c r="BF16" s="110" t="n">
        <f aca="false">CHOOSE(Premissas!$B$6,Cenários!BF32,Cenários!BF78,Cenários!BF124)</f>
        <v>-108367.276658926</v>
      </c>
      <c r="BG16" s="110" t="n">
        <f aca="false">CHOOSE(Premissas!$B$6,Cenários!BG32,Cenários!BG78,Cenários!BG124)</f>
        <v>-110362.834674142</v>
      </c>
      <c r="BH16" s="110" t="n">
        <f aca="false">CHOOSE(Premissas!$B$6,Cenários!BH32,Cenários!BH78,Cenários!BH124)</f>
        <v>-112234.405334352</v>
      </c>
      <c r="BI16" s="110" t="n">
        <f aca="false">CHOOSE(Premissas!$B$6,Cenários!BI32,Cenários!BI78,Cenários!BI124)</f>
        <v>-113988.851852481</v>
      </c>
      <c r="BJ16" s="111" t="n">
        <f aca="false">SUM(B16:BI16)</f>
        <v>-2674484.03368896</v>
      </c>
      <c r="BK16" s="141" t="n">
        <f aca="false">IFERROR(BJ16/BJ$28,0)</f>
        <v>0.0604378102736758</v>
      </c>
    </row>
    <row r="17" customFormat="false" ht="15" hidden="false" customHeight="false" outlineLevel="0" collapsed="false">
      <c r="A17" s="27" t="s">
        <v>473</v>
      </c>
      <c r="B17" s="110" t="n">
        <f aca="false">CHOOSE(Premissas!$B$6,Cenários!B33,Cenários!B79,Cenários!B125)</f>
        <v>-0</v>
      </c>
      <c r="C17" s="110" t="n">
        <f aca="false">CHOOSE(Premissas!$B$6,Cenários!C33,Cenários!C79,Cenários!C125)</f>
        <v>-0</v>
      </c>
      <c r="D17" s="110" t="n">
        <f aca="false">CHOOSE(Premissas!$B$6,Cenários!D33,Cenários!D79,Cenários!D125)</f>
        <v>-0</v>
      </c>
      <c r="E17" s="110" t="n">
        <f aca="false">CHOOSE(Premissas!$B$6,Cenários!E33,Cenários!E79,Cenários!E125)</f>
        <v>-0</v>
      </c>
      <c r="F17" s="110" t="n">
        <f aca="false">CHOOSE(Premissas!$B$6,Cenários!F33,Cenários!F79,Cenários!F125)</f>
        <v>-0</v>
      </c>
      <c r="G17" s="110" t="n">
        <f aca="false">CHOOSE(Premissas!$B$6,Cenários!G33,Cenários!G79,Cenários!G125)</f>
        <v>-0</v>
      </c>
      <c r="H17" s="110" t="n">
        <f aca="false">CHOOSE(Premissas!$B$6,Cenários!H33,Cenários!H79,Cenários!H125)</f>
        <v>-0</v>
      </c>
      <c r="I17" s="110" t="n">
        <f aca="false">CHOOSE(Premissas!$B$6,Cenários!I33,Cenários!I79,Cenários!I125)</f>
        <v>-0</v>
      </c>
      <c r="J17" s="110" t="n">
        <f aca="false">CHOOSE(Premissas!$B$6,Cenários!J33,Cenários!J79,Cenários!J125)</f>
        <v>-0</v>
      </c>
      <c r="K17" s="110" t="n">
        <f aca="false">CHOOSE(Premissas!$B$6,Cenários!K33,Cenários!K79,Cenários!K125)</f>
        <v>-52.85</v>
      </c>
      <c r="L17" s="110" t="n">
        <f aca="false">CHOOSE(Premissas!$B$6,Cenários!L33,Cenários!L79,Cenários!L125)</f>
        <v>-202.65</v>
      </c>
      <c r="M17" s="110" t="n">
        <f aca="false">CHOOSE(Premissas!$B$6,Cenários!M33,Cenários!M79,Cenários!M125)</f>
        <v>-438.2</v>
      </c>
      <c r="N17" s="110" t="n">
        <f aca="false">CHOOSE(Premissas!$B$6,Cenários!N33,Cenários!N79,Cenários!N125)</f>
        <v>-925.4</v>
      </c>
      <c r="O17" s="110" t="n">
        <f aca="false">CHOOSE(Premissas!$B$6,Cenários!O33,Cenários!O79,Cenários!O125)</f>
        <v>-1497.65</v>
      </c>
      <c r="P17" s="110" t="n">
        <f aca="false">CHOOSE(Premissas!$B$6,Cenários!P33,Cenários!P79,Cenários!P125)</f>
        <v>-2174.9</v>
      </c>
      <c r="Q17" s="110" t="n">
        <f aca="false">CHOOSE(Premissas!$B$6,Cenários!Q33,Cenários!Q79,Cenários!Q125)</f>
        <v>-2524.55</v>
      </c>
      <c r="R17" s="110" t="n">
        <f aca="false">CHOOSE(Premissas!$B$6,Cenários!R33,Cenários!R79,Cenários!R125)</f>
        <v>-2847.95</v>
      </c>
      <c r="S17" s="110" t="n">
        <f aca="false">CHOOSE(Premissas!$B$6,Cenários!S33,Cenários!S79,Cenários!S125)</f>
        <v>-3146.85</v>
      </c>
      <c r="T17" s="110" t="n">
        <f aca="false">CHOOSE(Premissas!$B$6,Cenários!T33,Cenários!T79,Cenários!T125)</f>
        <v>-3423.35</v>
      </c>
      <c r="U17" s="110" t="n">
        <f aca="false">CHOOSE(Premissas!$B$6,Cenários!U33,Cenários!U79,Cenários!U125)</f>
        <v>-3679.2</v>
      </c>
      <c r="V17" s="110" t="n">
        <f aca="false">CHOOSE(Premissas!$B$6,Cenários!V33,Cenários!V79,Cenários!V125)</f>
        <v>-3915.45</v>
      </c>
      <c r="W17" s="110" t="n">
        <f aca="false">CHOOSE(Premissas!$B$6,Cenários!W33,Cenários!W79,Cenários!W125)</f>
        <v>-4134.2</v>
      </c>
      <c r="X17" s="110" t="n">
        <f aca="false">CHOOSE(Premissas!$B$6,Cenários!X33,Cenários!X79,Cenários!X125)</f>
        <v>-4336.5</v>
      </c>
      <c r="Y17" s="110" t="n">
        <f aca="false">CHOOSE(Premissas!$B$6,Cenários!Y33,Cenários!Y79,Cenários!Y125)</f>
        <v>-4523.4</v>
      </c>
      <c r="Z17" s="110" t="n">
        <f aca="false">CHOOSE(Premissas!$B$6,Cenários!Z33,Cenários!Z79,Cenários!Z125)</f>
        <v>-4604.1</v>
      </c>
      <c r="AA17" s="110" t="n">
        <f aca="false">CHOOSE(Premissas!$B$6,Cenários!AA33,Cenários!AA79,Cenários!AA125)</f>
        <v>-4991.1</v>
      </c>
      <c r="AB17" s="110" t="n">
        <f aca="false">CHOOSE(Premissas!$B$6,Cenários!AB33,Cenários!AB79,Cenários!AB125)</f>
        <v>-5350.8</v>
      </c>
      <c r="AC17" s="110" t="n">
        <f aca="false">CHOOSE(Premissas!$B$6,Cenários!AC33,Cenários!AC79,Cenários!AC125)</f>
        <v>-5685</v>
      </c>
      <c r="AD17" s="110" t="n">
        <f aca="false">CHOOSE(Premissas!$B$6,Cenários!AD33,Cenários!AD79,Cenários!AD125)</f>
        <v>-5995.8</v>
      </c>
      <c r="AE17" s="110" t="n">
        <f aca="false">CHOOSE(Premissas!$B$6,Cenários!AE33,Cenários!AE79,Cenários!AE125)</f>
        <v>-6284.4</v>
      </c>
      <c r="AF17" s="110" t="n">
        <f aca="false">CHOOSE(Premissas!$B$6,Cenários!AF33,Cenários!AF79,Cenários!AF125)</f>
        <v>-6552.6</v>
      </c>
      <c r="AG17" s="110" t="n">
        <f aca="false">CHOOSE(Premissas!$B$6,Cenários!AG33,Cenários!AG79,Cenários!AG125)</f>
        <v>-6801.9</v>
      </c>
      <c r="AH17" s="110" t="n">
        <f aca="false">CHOOSE(Premissas!$B$6,Cenários!AH33,Cenários!AH79,Cenários!AH125)</f>
        <v>-7033.8</v>
      </c>
      <c r="AI17" s="110" t="n">
        <f aca="false">CHOOSE(Premissas!$B$6,Cenários!AI33,Cenários!AI79,Cenários!AI125)</f>
        <v>-7249.2</v>
      </c>
      <c r="AJ17" s="110" t="n">
        <f aca="false">CHOOSE(Premissas!$B$6,Cenários!AJ33,Cenários!AJ79,Cenários!AJ125)</f>
        <v>-7449.3</v>
      </c>
      <c r="AK17" s="110" t="n">
        <f aca="false">CHOOSE(Premissas!$B$6,Cenários!AK33,Cenários!AK79,Cenários!AK125)</f>
        <v>-7635</v>
      </c>
      <c r="AL17" s="110" t="n">
        <f aca="false">CHOOSE(Premissas!$B$6,Cenários!AL33,Cenários!AL79,Cenários!AL125)</f>
        <v>-8262.24</v>
      </c>
      <c r="AM17" s="110" t="n">
        <f aca="false">CHOOSE(Premissas!$B$6,Cenários!AM33,Cenários!AM79,Cenários!AM125)</f>
        <v>-8790.6</v>
      </c>
      <c r="AN17" s="110" t="n">
        <f aca="false">CHOOSE(Premissas!$B$6,Cenários!AN33,Cenários!AN79,Cenários!AN125)</f>
        <v>-9283.68</v>
      </c>
      <c r="AO17" s="110" t="n">
        <f aca="false">CHOOSE(Premissas!$B$6,Cenários!AO33,Cenários!AO79,Cenários!AO125)</f>
        <v>-9744.28</v>
      </c>
      <c r="AP17" s="110" t="n">
        <f aca="false">CHOOSE(Premissas!$B$6,Cenários!AP33,Cenários!AP79,Cenários!AP125)</f>
        <v>-10174.08</v>
      </c>
      <c r="AQ17" s="110" t="n">
        <f aca="false">CHOOSE(Premissas!$B$6,Cenários!AQ33,Cenários!AQ79,Cenários!AQ125)</f>
        <v>-10575.32</v>
      </c>
      <c r="AR17" s="110" t="n">
        <f aca="false">CHOOSE(Premissas!$B$6,Cenários!AR33,Cenários!AR79,Cenários!AR125)</f>
        <v>-10949.96</v>
      </c>
      <c r="AS17" s="110" t="n">
        <f aca="false">CHOOSE(Premissas!$B$6,Cenários!AS33,Cenários!AS79,Cenários!AS125)</f>
        <v>-11299.68</v>
      </c>
      <c r="AT17" s="110" t="n">
        <f aca="false">CHOOSE(Premissas!$B$6,Cenários!AT33,Cenários!AT79,Cenários!AT125)</f>
        <v>-11626.16</v>
      </c>
      <c r="AU17" s="110" t="n">
        <f aca="false">CHOOSE(Premissas!$B$6,Cenários!AU33,Cenários!AU79,Cenários!AU125)</f>
        <v>-11931.08</v>
      </c>
      <c r="AV17" s="110" t="n">
        <f aca="false">CHOOSE(Premissas!$B$6,Cenários!AV33,Cenários!AV79,Cenários!AV125)</f>
        <v>-12215.56</v>
      </c>
      <c r="AW17" s="110" t="n">
        <f aca="false">CHOOSE(Premissas!$B$6,Cenários!AW33,Cenários!AW79,Cenários!AW125)</f>
        <v>-12481.28</v>
      </c>
      <c r="AX17" s="110" t="n">
        <f aca="false">CHOOSE(Premissas!$B$6,Cenários!AX33,Cenários!AX79,Cenários!AX125)</f>
        <v>-12842</v>
      </c>
      <c r="AY17" s="110" t="n">
        <f aca="false">CHOOSE(Premissas!$B$6,Cenários!AY33,Cenários!AY79,Cenários!AY125)</f>
        <v>-13598.25</v>
      </c>
      <c r="AZ17" s="110" t="n">
        <f aca="false">CHOOSE(Premissas!$B$6,Cenários!AZ33,Cenários!AZ79,Cenários!AZ125)</f>
        <v>-14307.25</v>
      </c>
      <c r="BA17" s="110" t="n">
        <f aca="false">CHOOSE(Premissas!$B$6,Cenários!BA33,Cenários!BA79,Cenários!BA125)</f>
        <v>-14971.75</v>
      </c>
      <c r="BB17" s="110" t="n">
        <f aca="false">CHOOSE(Premissas!$B$6,Cenários!BB33,Cenários!BB79,Cenários!BB125)</f>
        <v>-15595</v>
      </c>
      <c r="BC17" s="110" t="n">
        <f aca="false">CHOOSE(Premissas!$B$6,Cenários!BC33,Cenários!BC79,Cenários!BC125)</f>
        <v>-16179.25</v>
      </c>
      <c r="BD17" s="110" t="n">
        <f aca="false">CHOOSE(Premissas!$B$6,Cenários!BD33,Cenários!BD79,Cenários!BD125)</f>
        <v>-16727</v>
      </c>
      <c r="BE17" s="110" t="n">
        <f aca="false">CHOOSE(Premissas!$B$6,Cenários!BE33,Cenários!BE79,Cenários!BE125)</f>
        <v>-17240.5</v>
      </c>
      <c r="BF17" s="110" t="n">
        <f aca="false">CHOOSE(Premissas!$B$6,Cenários!BF33,Cenários!BF79,Cenários!BF125)</f>
        <v>-17722</v>
      </c>
      <c r="BG17" s="110" t="n">
        <f aca="false">CHOOSE(Premissas!$B$6,Cenários!BG33,Cenários!BG79,Cenários!BG125)</f>
        <v>-18173.25</v>
      </c>
      <c r="BH17" s="110" t="n">
        <f aca="false">CHOOSE(Premissas!$B$6,Cenários!BH33,Cenários!BH79,Cenários!BH125)</f>
        <v>-18596.5</v>
      </c>
      <c r="BI17" s="110" t="n">
        <f aca="false">CHOOSE(Premissas!$B$6,Cenários!BI33,Cenários!BI79,Cenários!BI125)</f>
        <v>-18993.25</v>
      </c>
      <c r="BJ17" s="111" t="n">
        <f aca="false">SUM(B17:BI17)</f>
        <v>-435736.02</v>
      </c>
      <c r="BK17" s="141" t="n">
        <f aca="false">IFERROR(BJ17/BJ$28,0)</f>
        <v>0.00984673326684341</v>
      </c>
    </row>
    <row r="18" customFormat="false" ht="15" hidden="false" customHeight="false" outlineLevel="0" collapsed="false">
      <c r="A18" s="27" t="s">
        <v>474</v>
      </c>
      <c r="B18" s="110" t="n">
        <f aca="false">-Pessoas!B42</f>
        <v>-0</v>
      </c>
      <c r="C18" s="110" t="n">
        <f aca="false">-Pessoas!C42</f>
        <v>-0</v>
      </c>
      <c r="D18" s="110" t="n">
        <f aca="false">-Pessoas!D42</f>
        <v>-0</v>
      </c>
      <c r="E18" s="110" t="n">
        <f aca="false">-Pessoas!E42</f>
        <v>-0</v>
      </c>
      <c r="F18" s="110" t="n">
        <f aca="false">-Pessoas!F42</f>
        <v>-0</v>
      </c>
      <c r="G18" s="110" t="n">
        <f aca="false">-Pessoas!G42</f>
        <v>-0</v>
      </c>
      <c r="H18" s="110" t="n">
        <f aca="false">-Pessoas!H42</f>
        <v>-0</v>
      </c>
      <c r="I18" s="110" t="n">
        <f aca="false">-Pessoas!I42</f>
        <v>-0</v>
      </c>
      <c r="J18" s="110" t="n">
        <f aca="false">-Pessoas!J42</f>
        <v>-0</v>
      </c>
      <c r="K18" s="110" t="n">
        <f aca="false">-Pessoas!K42</f>
        <v>-0</v>
      </c>
      <c r="L18" s="110" t="n">
        <f aca="false">-Pessoas!L42</f>
        <v>-0</v>
      </c>
      <c r="M18" s="110" t="n">
        <f aca="false">-Pessoas!M42</f>
        <v>-0</v>
      </c>
      <c r="N18" s="110" t="n">
        <f aca="false">-Pessoas!N42</f>
        <v>-27500</v>
      </c>
      <c r="O18" s="110" t="n">
        <f aca="false">-Pessoas!O42</f>
        <v>-27500</v>
      </c>
      <c r="P18" s="110" t="n">
        <f aca="false">-Pessoas!P42</f>
        <v>-27500</v>
      </c>
      <c r="Q18" s="110" t="n">
        <f aca="false">-Pessoas!Q42</f>
        <v>-27500</v>
      </c>
      <c r="R18" s="110" t="n">
        <f aca="false">-Pessoas!R42</f>
        <v>-27500</v>
      </c>
      <c r="S18" s="110" t="n">
        <f aca="false">-Pessoas!S42</f>
        <v>-27500</v>
      </c>
      <c r="T18" s="110" t="n">
        <f aca="false">-Pessoas!T42</f>
        <v>-27500</v>
      </c>
      <c r="U18" s="110" t="n">
        <f aca="false">-Pessoas!U42</f>
        <v>-27500</v>
      </c>
      <c r="V18" s="110" t="n">
        <f aca="false">-Pessoas!V42</f>
        <v>-27500</v>
      </c>
      <c r="W18" s="110" t="n">
        <f aca="false">-Pessoas!W42</f>
        <v>-27500</v>
      </c>
      <c r="X18" s="110" t="n">
        <f aca="false">-Pessoas!X42</f>
        <v>-27500</v>
      </c>
      <c r="Y18" s="110" t="n">
        <f aca="false">-Pessoas!Y42</f>
        <v>-27500</v>
      </c>
      <c r="Z18" s="110" t="n">
        <f aca="false">-Pessoas!Z42</f>
        <v>-102500</v>
      </c>
      <c r="AA18" s="110" t="n">
        <f aca="false">-Pessoas!AA42</f>
        <v>-102500</v>
      </c>
      <c r="AB18" s="110" t="n">
        <f aca="false">-Pessoas!AB42</f>
        <v>-102500</v>
      </c>
      <c r="AC18" s="110" t="n">
        <f aca="false">-Pessoas!AC42</f>
        <v>-102500</v>
      </c>
      <c r="AD18" s="110" t="n">
        <f aca="false">-Pessoas!AD42</f>
        <v>-102500</v>
      </c>
      <c r="AE18" s="110" t="n">
        <f aca="false">-Pessoas!AE42</f>
        <v>-102500</v>
      </c>
      <c r="AF18" s="110" t="n">
        <f aca="false">-Pessoas!AF42</f>
        <v>-102500</v>
      </c>
      <c r="AG18" s="110" t="n">
        <f aca="false">-Pessoas!AG42</f>
        <v>-102500</v>
      </c>
      <c r="AH18" s="110" t="n">
        <f aca="false">-Pessoas!AH42</f>
        <v>-102500</v>
      </c>
      <c r="AI18" s="110" t="n">
        <f aca="false">-Pessoas!AI42</f>
        <v>-102500</v>
      </c>
      <c r="AJ18" s="110" t="n">
        <f aca="false">-Pessoas!AJ42</f>
        <v>-102500</v>
      </c>
      <c r="AK18" s="110" t="n">
        <f aca="false">-Pessoas!AK42</f>
        <v>-102500</v>
      </c>
      <c r="AL18" s="110" t="n">
        <f aca="false">-Pessoas!AL42</f>
        <v>-221300</v>
      </c>
      <c r="AM18" s="110" t="n">
        <f aca="false">-Pessoas!AM42</f>
        <v>-221300</v>
      </c>
      <c r="AN18" s="110" t="n">
        <f aca="false">-Pessoas!AN42</f>
        <v>-221300</v>
      </c>
      <c r="AO18" s="110" t="n">
        <f aca="false">-Pessoas!AO42</f>
        <v>-221300</v>
      </c>
      <c r="AP18" s="110" t="n">
        <f aca="false">-Pessoas!AP42</f>
        <v>-221300</v>
      </c>
      <c r="AQ18" s="110" t="n">
        <f aca="false">-Pessoas!AQ42</f>
        <v>-221300</v>
      </c>
      <c r="AR18" s="110" t="n">
        <f aca="false">-Pessoas!AR42</f>
        <v>-221300</v>
      </c>
      <c r="AS18" s="110" t="n">
        <f aca="false">-Pessoas!AS42</f>
        <v>-221300</v>
      </c>
      <c r="AT18" s="110" t="n">
        <f aca="false">-Pessoas!AT42</f>
        <v>-221300</v>
      </c>
      <c r="AU18" s="110" t="n">
        <f aca="false">-Pessoas!AU42</f>
        <v>-221300</v>
      </c>
      <c r="AV18" s="110" t="n">
        <f aca="false">-Pessoas!AV42</f>
        <v>-221300</v>
      </c>
      <c r="AW18" s="110" t="n">
        <f aca="false">-Pessoas!AW42</f>
        <v>-221300</v>
      </c>
      <c r="AX18" s="110" t="n">
        <f aca="false">-Pessoas!AX42</f>
        <v>-342300</v>
      </c>
      <c r="AY18" s="110" t="n">
        <f aca="false">-Pessoas!AY42</f>
        <v>-342300</v>
      </c>
      <c r="AZ18" s="110" t="n">
        <f aca="false">-Pessoas!AZ42</f>
        <v>-342300</v>
      </c>
      <c r="BA18" s="110" t="n">
        <f aca="false">-Pessoas!BA42</f>
        <v>-342300</v>
      </c>
      <c r="BB18" s="110" t="n">
        <f aca="false">-Pessoas!BB42</f>
        <v>-342300</v>
      </c>
      <c r="BC18" s="110" t="n">
        <f aca="false">-Pessoas!BC42</f>
        <v>-342300</v>
      </c>
      <c r="BD18" s="110" t="n">
        <f aca="false">-Pessoas!BD42</f>
        <v>-342300</v>
      </c>
      <c r="BE18" s="110" t="n">
        <f aca="false">-Pessoas!BE42</f>
        <v>-342300</v>
      </c>
      <c r="BF18" s="110" t="n">
        <f aca="false">-Pessoas!BF42</f>
        <v>-342300</v>
      </c>
      <c r="BG18" s="110" t="n">
        <f aca="false">-Pessoas!BG42</f>
        <v>-342300</v>
      </c>
      <c r="BH18" s="110" t="n">
        <f aca="false">-Pessoas!BH42</f>
        <v>-342300</v>
      </c>
      <c r="BI18" s="110" t="n">
        <f aca="false">-Pessoas!BI42</f>
        <v>-342300</v>
      </c>
      <c r="BJ18" s="111" t="n">
        <f aca="false">SUM(B18:BI18)</f>
        <v>-8323200</v>
      </c>
      <c r="BK18" s="141" t="n">
        <f aca="false">IFERROR(BJ18/BJ$28,0)</f>
        <v>0.188087113676283</v>
      </c>
    </row>
    <row r="19" customFormat="false" ht="15" hidden="false" customHeight="false" outlineLevel="0" collapsed="false">
      <c r="A19" s="27" t="s">
        <v>475</v>
      </c>
      <c r="B19" s="110" t="n">
        <f aca="false">-Pessoas!B43</f>
        <v>-0</v>
      </c>
      <c r="C19" s="110" t="n">
        <f aca="false">-Pessoas!C43</f>
        <v>-0</v>
      </c>
      <c r="D19" s="110" t="n">
        <f aca="false">-Pessoas!D43</f>
        <v>-0</v>
      </c>
      <c r="E19" s="110" t="n">
        <f aca="false">-Pessoas!E43</f>
        <v>-0</v>
      </c>
      <c r="F19" s="110" t="n">
        <f aca="false">-Pessoas!F43</f>
        <v>-0</v>
      </c>
      <c r="G19" s="110" t="n">
        <f aca="false">-Pessoas!G43</f>
        <v>-0</v>
      </c>
      <c r="H19" s="110" t="n">
        <f aca="false">-Pessoas!H43</f>
        <v>-0</v>
      </c>
      <c r="I19" s="110" t="n">
        <f aca="false">-Pessoas!I43</f>
        <v>-0</v>
      </c>
      <c r="J19" s="110" t="n">
        <f aca="false">-Pessoas!J43</f>
        <v>-0</v>
      </c>
      <c r="K19" s="110" t="n">
        <f aca="false">-Pessoas!K43</f>
        <v>-0</v>
      </c>
      <c r="L19" s="110" t="n">
        <f aca="false">-Pessoas!L43</f>
        <v>-0</v>
      </c>
      <c r="M19" s="110" t="n">
        <f aca="false">-Pessoas!M43</f>
        <v>-0</v>
      </c>
      <c r="N19" s="110" t="n">
        <f aca="false">-Pessoas!N43</f>
        <v>-0</v>
      </c>
      <c r="O19" s="110" t="n">
        <f aca="false">-Pessoas!O43</f>
        <v>-0</v>
      </c>
      <c r="P19" s="110" t="n">
        <f aca="false">-Pessoas!P43</f>
        <v>-0</v>
      </c>
      <c r="Q19" s="110" t="n">
        <f aca="false">-Pessoas!Q43</f>
        <v>-0</v>
      </c>
      <c r="R19" s="110" t="n">
        <f aca="false">-Pessoas!R43</f>
        <v>-0</v>
      </c>
      <c r="S19" s="110" t="n">
        <f aca="false">-Pessoas!S43</f>
        <v>-0</v>
      </c>
      <c r="T19" s="110" t="n">
        <f aca="false">-Pessoas!T43</f>
        <v>-0</v>
      </c>
      <c r="U19" s="110" t="n">
        <f aca="false">-Pessoas!U43</f>
        <v>-0</v>
      </c>
      <c r="V19" s="110" t="n">
        <f aca="false">-Pessoas!V43</f>
        <v>-0</v>
      </c>
      <c r="W19" s="110" t="n">
        <f aca="false">-Pessoas!W43</f>
        <v>-0</v>
      </c>
      <c r="X19" s="110" t="n">
        <f aca="false">-Pessoas!X43</f>
        <v>-0</v>
      </c>
      <c r="Y19" s="110" t="n">
        <f aca="false">-Pessoas!Y43</f>
        <v>-0</v>
      </c>
      <c r="Z19" s="110" t="n">
        <f aca="false">-Pessoas!Z43</f>
        <v>-0</v>
      </c>
      <c r="AA19" s="110" t="n">
        <f aca="false">-Pessoas!AA43</f>
        <v>-0</v>
      </c>
      <c r="AB19" s="110" t="n">
        <f aca="false">-Pessoas!AB43</f>
        <v>-0</v>
      </c>
      <c r="AC19" s="110" t="n">
        <f aca="false">-Pessoas!AC43</f>
        <v>-0</v>
      </c>
      <c r="AD19" s="110" t="n">
        <f aca="false">-Pessoas!AD43</f>
        <v>-0</v>
      </c>
      <c r="AE19" s="110" t="n">
        <f aca="false">-Pessoas!AE43</f>
        <v>-0</v>
      </c>
      <c r="AF19" s="110" t="n">
        <f aca="false">-Pessoas!AF43</f>
        <v>-0</v>
      </c>
      <c r="AG19" s="110" t="n">
        <f aca="false">-Pessoas!AG43</f>
        <v>-0</v>
      </c>
      <c r="AH19" s="110" t="n">
        <f aca="false">-Pessoas!AH43</f>
        <v>-0</v>
      </c>
      <c r="AI19" s="110" t="n">
        <f aca="false">-Pessoas!AI43</f>
        <v>-0</v>
      </c>
      <c r="AJ19" s="110" t="n">
        <f aca="false">-Pessoas!AJ43</f>
        <v>-0</v>
      </c>
      <c r="AK19" s="110" t="n">
        <f aca="false">-Pessoas!AK43</f>
        <v>-0</v>
      </c>
      <c r="AL19" s="110" t="n">
        <f aca="false">-Pessoas!AL43</f>
        <v>-0</v>
      </c>
      <c r="AM19" s="110" t="n">
        <f aca="false">-Pessoas!AM43</f>
        <v>-0</v>
      </c>
      <c r="AN19" s="110" t="n">
        <f aca="false">-Pessoas!AN43</f>
        <v>-0</v>
      </c>
      <c r="AO19" s="110" t="n">
        <f aca="false">-Pessoas!AO43</f>
        <v>-0</v>
      </c>
      <c r="AP19" s="110" t="n">
        <f aca="false">-Pessoas!AP43</f>
        <v>-0</v>
      </c>
      <c r="AQ19" s="110" t="n">
        <f aca="false">-Pessoas!AQ43</f>
        <v>-0</v>
      </c>
      <c r="AR19" s="110" t="n">
        <f aca="false">-Pessoas!AR43</f>
        <v>-0</v>
      </c>
      <c r="AS19" s="110" t="n">
        <f aca="false">-Pessoas!AS43</f>
        <v>-0</v>
      </c>
      <c r="AT19" s="110" t="n">
        <f aca="false">-Pessoas!AT43</f>
        <v>-0</v>
      </c>
      <c r="AU19" s="110" t="n">
        <f aca="false">-Pessoas!AU43</f>
        <v>-0</v>
      </c>
      <c r="AV19" s="110" t="n">
        <f aca="false">-Pessoas!AV43</f>
        <v>-0</v>
      </c>
      <c r="AW19" s="110" t="n">
        <f aca="false">-Pessoas!AW43</f>
        <v>-0</v>
      </c>
      <c r="AX19" s="110" t="n">
        <f aca="false">-Pessoas!AX43</f>
        <v>-0</v>
      </c>
      <c r="AY19" s="110" t="n">
        <f aca="false">-Pessoas!AY43</f>
        <v>-0</v>
      </c>
      <c r="AZ19" s="110" t="n">
        <f aca="false">-Pessoas!AZ43</f>
        <v>-0</v>
      </c>
      <c r="BA19" s="110" t="n">
        <f aca="false">-Pessoas!BA43</f>
        <v>-0</v>
      </c>
      <c r="BB19" s="110" t="n">
        <f aca="false">-Pessoas!BB43</f>
        <v>-0</v>
      </c>
      <c r="BC19" s="110" t="n">
        <f aca="false">-Pessoas!BC43</f>
        <v>-0</v>
      </c>
      <c r="BD19" s="110" t="n">
        <f aca="false">-Pessoas!BD43</f>
        <v>-0</v>
      </c>
      <c r="BE19" s="110" t="n">
        <f aca="false">-Pessoas!BE43</f>
        <v>-0</v>
      </c>
      <c r="BF19" s="110" t="n">
        <f aca="false">-Pessoas!BF43</f>
        <v>-0</v>
      </c>
      <c r="BG19" s="110" t="n">
        <f aca="false">-Pessoas!BG43</f>
        <v>-0</v>
      </c>
      <c r="BH19" s="110" t="n">
        <f aca="false">-Pessoas!BH43</f>
        <v>-0</v>
      </c>
      <c r="BI19" s="110" t="n">
        <f aca="false">-Pessoas!BI43</f>
        <v>-0</v>
      </c>
      <c r="BJ19" s="111" t="n">
        <f aca="false">SUM(B19:BI19)</f>
        <v>0</v>
      </c>
      <c r="BK19" s="141" t="n">
        <f aca="false">IFERROR(BJ19/BJ$28,0)</f>
        <v>-0</v>
      </c>
    </row>
    <row r="20" customFormat="false" ht="15" hidden="false" customHeight="false" outlineLevel="0" collapsed="false">
      <c r="A20" s="27" t="s">
        <v>476</v>
      </c>
      <c r="B20" s="110" t="n">
        <f aca="false">-Pessoas!B44</f>
        <v>-0</v>
      </c>
      <c r="C20" s="110" t="n">
        <f aca="false">-Pessoas!C44</f>
        <v>-0</v>
      </c>
      <c r="D20" s="110" t="n">
        <f aca="false">-Pessoas!D44</f>
        <v>-0</v>
      </c>
      <c r="E20" s="110" t="n">
        <f aca="false">-Pessoas!E44</f>
        <v>-0</v>
      </c>
      <c r="F20" s="110" t="n">
        <f aca="false">-Pessoas!F44</f>
        <v>-0</v>
      </c>
      <c r="G20" s="110" t="n">
        <f aca="false">-Pessoas!G44</f>
        <v>-0</v>
      </c>
      <c r="H20" s="110" t="n">
        <f aca="false">-Pessoas!H44</f>
        <v>-0</v>
      </c>
      <c r="I20" s="110" t="n">
        <f aca="false">-Pessoas!I44</f>
        <v>-0</v>
      </c>
      <c r="J20" s="110" t="n">
        <f aca="false">-Pessoas!J44</f>
        <v>-0</v>
      </c>
      <c r="K20" s="110" t="n">
        <f aca="false">-Pessoas!K44</f>
        <v>-0</v>
      </c>
      <c r="L20" s="110" t="n">
        <f aca="false">-Pessoas!L44</f>
        <v>-0</v>
      </c>
      <c r="M20" s="110" t="n">
        <f aca="false">-Pessoas!M44</f>
        <v>-0</v>
      </c>
      <c r="N20" s="110" t="n">
        <f aca="false">-Pessoas!N44</f>
        <v>-15000</v>
      </c>
      <c r="O20" s="110" t="n">
        <f aca="false">-Pessoas!O44</f>
        <v>-15000</v>
      </c>
      <c r="P20" s="110" t="n">
        <f aca="false">-Pessoas!P44</f>
        <v>-15000</v>
      </c>
      <c r="Q20" s="110" t="n">
        <f aca="false">-Pessoas!Q44</f>
        <v>-15000</v>
      </c>
      <c r="R20" s="110" t="n">
        <f aca="false">-Pessoas!R44</f>
        <v>-15000</v>
      </c>
      <c r="S20" s="110" t="n">
        <f aca="false">-Pessoas!S44</f>
        <v>-15000</v>
      </c>
      <c r="T20" s="110" t="n">
        <f aca="false">-Pessoas!T44</f>
        <v>-15000</v>
      </c>
      <c r="U20" s="110" t="n">
        <f aca="false">-Pessoas!U44</f>
        <v>-15000</v>
      </c>
      <c r="V20" s="110" t="n">
        <f aca="false">-Pessoas!V44</f>
        <v>-15000</v>
      </c>
      <c r="W20" s="110" t="n">
        <f aca="false">-Pessoas!W44</f>
        <v>-15000</v>
      </c>
      <c r="X20" s="110" t="n">
        <f aca="false">-Pessoas!X44</f>
        <v>-15000</v>
      </c>
      <c r="Y20" s="110" t="n">
        <f aca="false">-Pessoas!Y44</f>
        <v>-15000</v>
      </c>
      <c r="Z20" s="110" t="n">
        <f aca="false">-Pessoas!Z44</f>
        <v>-15000</v>
      </c>
      <c r="AA20" s="110" t="n">
        <f aca="false">-Pessoas!AA44</f>
        <v>-15000</v>
      </c>
      <c r="AB20" s="110" t="n">
        <f aca="false">-Pessoas!AB44</f>
        <v>-15000</v>
      </c>
      <c r="AC20" s="110" t="n">
        <f aca="false">-Pessoas!AC44</f>
        <v>-15000</v>
      </c>
      <c r="AD20" s="110" t="n">
        <f aca="false">-Pessoas!AD44</f>
        <v>-15000</v>
      </c>
      <c r="AE20" s="110" t="n">
        <f aca="false">-Pessoas!AE44</f>
        <v>-15000</v>
      </c>
      <c r="AF20" s="110" t="n">
        <f aca="false">-Pessoas!AF44</f>
        <v>-15000</v>
      </c>
      <c r="AG20" s="110" t="n">
        <f aca="false">-Pessoas!AG44</f>
        <v>-15000</v>
      </c>
      <c r="AH20" s="110" t="n">
        <f aca="false">-Pessoas!AH44</f>
        <v>-15000</v>
      </c>
      <c r="AI20" s="110" t="n">
        <f aca="false">-Pessoas!AI44</f>
        <v>-15000</v>
      </c>
      <c r="AJ20" s="110" t="n">
        <f aca="false">-Pessoas!AJ44</f>
        <v>-15000</v>
      </c>
      <c r="AK20" s="110" t="n">
        <f aca="false">-Pessoas!AK44</f>
        <v>-15000</v>
      </c>
      <c r="AL20" s="110" t="n">
        <f aca="false">-Pessoas!AL44</f>
        <v>-32000</v>
      </c>
      <c r="AM20" s="110" t="n">
        <f aca="false">-Pessoas!AM44</f>
        <v>-32000</v>
      </c>
      <c r="AN20" s="110" t="n">
        <f aca="false">-Pessoas!AN44</f>
        <v>-32000</v>
      </c>
      <c r="AO20" s="110" t="n">
        <f aca="false">-Pessoas!AO44</f>
        <v>-32000</v>
      </c>
      <c r="AP20" s="110" t="n">
        <f aca="false">-Pessoas!AP44</f>
        <v>-32000</v>
      </c>
      <c r="AQ20" s="110" t="n">
        <f aca="false">-Pessoas!AQ44</f>
        <v>-32000</v>
      </c>
      <c r="AR20" s="110" t="n">
        <f aca="false">-Pessoas!AR44</f>
        <v>-32000</v>
      </c>
      <c r="AS20" s="110" t="n">
        <f aca="false">-Pessoas!AS44</f>
        <v>-32000</v>
      </c>
      <c r="AT20" s="110" t="n">
        <f aca="false">-Pessoas!AT44</f>
        <v>-32000</v>
      </c>
      <c r="AU20" s="110" t="n">
        <f aca="false">-Pessoas!AU44</f>
        <v>-32000</v>
      </c>
      <c r="AV20" s="110" t="n">
        <f aca="false">-Pessoas!AV44</f>
        <v>-32000</v>
      </c>
      <c r="AW20" s="110" t="n">
        <f aca="false">-Pessoas!AW44</f>
        <v>-32000</v>
      </c>
      <c r="AX20" s="110" t="n">
        <f aca="false">-Pessoas!AX44</f>
        <v>-32000</v>
      </c>
      <c r="AY20" s="110" t="n">
        <f aca="false">-Pessoas!AY44</f>
        <v>-32000</v>
      </c>
      <c r="AZ20" s="110" t="n">
        <f aca="false">-Pessoas!AZ44</f>
        <v>-32000</v>
      </c>
      <c r="BA20" s="110" t="n">
        <f aca="false">-Pessoas!BA44</f>
        <v>-32000</v>
      </c>
      <c r="BB20" s="110" t="n">
        <f aca="false">-Pessoas!BB44</f>
        <v>-32000</v>
      </c>
      <c r="BC20" s="110" t="n">
        <f aca="false">-Pessoas!BC44</f>
        <v>-32000</v>
      </c>
      <c r="BD20" s="110" t="n">
        <f aca="false">-Pessoas!BD44</f>
        <v>-32000</v>
      </c>
      <c r="BE20" s="110" t="n">
        <f aca="false">-Pessoas!BE44</f>
        <v>-32000</v>
      </c>
      <c r="BF20" s="110" t="n">
        <f aca="false">-Pessoas!BF44</f>
        <v>-32000</v>
      </c>
      <c r="BG20" s="110" t="n">
        <f aca="false">-Pessoas!BG44</f>
        <v>-32000</v>
      </c>
      <c r="BH20" s="110" t="n">
        <f aca="false">-Pessoas!BH44</f>
        <v>-32000</v>
      </c>
      <c r="BI20" s="110" t="n">
        <f aca="false">-Pessoas!BI44</f>
        <v>-32000</v>
      </c>
      <c r="BJ20" s="111" t="n">
        <f aca="false">SUM(B20:BI20)</f>
        <v>-1128000</v>
      </c>
      <c r="BK20" s="141" t="n">
        <f aca="false">IFERROR(BJ20/BJ$28,0)</f>
        <v>0.0254904681164513</v>
      </c>
    </row>
    <row r="21" customFormat="false" ht="15" hidden="false" customHeight="false" outlineLevel="0" collapsed="false">
      <c r="A21" s="27" t="s">
        <v>477</v>
      </c>
      <c r="B21" s="110" t="n">
        <f aca="false">-CHOOSE(Premissas!$B$6,Cenários!B10,Cenários!B56,Cenários!B102)*(1-INDEX(Premissas!$C$59:$G$59,B$7))*CHOOSE(Premissas!$B$6,INDEX(Premissas!$C$56:$G$56,B$7),INDEX(Premissas!$C$57:$G$57,B$7),INDEX(Premissas!$C$58:$G$58,B$7))</f>
        <v>-0</v>
      </c>
      <c r="C21" s="110" t="n">
        <f aca="false">-CHOOSE(Premissas!$B$6,Cenários!C10,Cenários!C56,Cenários!C102)*(1-INDEX(Premissas!$C$59:$G$59,C$7))*CHOOSE(Premissas!$B$6,INDEX(Premissas!$C$56:$G$56,C$7),INDEX(Premissas!$C$57:$G$57,C$7),INDEX(Premissas!$C$58:$G$58,C$7))</f>
        <v>-0</v>
      </c>
      <c r="D21" s="110" t="n">
        <f aca="false">-CHOOSE(Premissas!$B$6,Cenários!D10,Cenários!D56,Cenários!D102)*(1-INDEX(Premissas!$C$59:$G$59,D$7))*CHOOSE(Premissas!$B$6,INDEX(Premissas!$C$56:$G$56,D$7),INDEX(Premissas!$C$57:$G$57,D$7),INDEX(Premissas!$C$58:$G$58,D$7))</f>
        <v>-0</v>
      </c>
      <c r="E21" s="110" t="n">
        <f aca="false">-CHOOSE(Premissas!$B$6,Cenários!E10,Cenários!E56,Cenários!E102)*(1-INDEX(Premissas!$C$59:$G$59,E$7))*CHOOSE(Premissas!$B$6,INDEX(Premissas!$C$56:$G$56,E$7),INDEX(Premissas!$C$57:$G$57,E$7),INDEX(Premissas!$C$58:$G$58,E$7))</f>
        <v>-0</v>
      </c>
      <c r="F21" s="110" t="n">
        <f aca="false">-CHOOSE(Premissas!$B$6,Cenários!F10,Cenários!F56,Cenários!F102)*(1-INDEX(Premissas!$C$59:$G$59,F$7))*CHOOSE(Premissas!$B$6,INDEX(Premissas!$C$56:$G$56,F$7),INDEX(Premissas!$C$57:$G$57,F$7),INDEX(Premissas!$C$58:$G$58,F$7))</f>
        <v>-0</v>
      </c>
      <c r="G21" s="110" t="n">
        <f aca="false">-CHOOSE(Premissas!$B$6,Cenários!G10,Cenários!G56,Cenários!G102)*(1-INDEX(Premissas!$C$59:$G$59,G$7))*CHOOSE(Premissas!$B$6,INDEX(Premissas!$C$56:$G$56,G$7),INDEX(Premissas!$C$57:$G$57,G$7),INDEX(Premissas!$C$58:$G$58,G$7))</f>
        <v>-0</v>
      </c>
      <c r="H21" s="110" t="n">
        <f aca="false">-CHOOSE(Premissas!$B$6,Cenários!H10,Cenários!H56,Cenários!H102)*(1-INDEX(Premissas!$C$59:$G$59,H$7))*CHOOSE(Premissas!$B$6,INDEX(Premissas!$C$56:$G$56,H$7),INDEX(Premissas!$C$57:$G$57,H$7),INDEX(Premissas!$C$58:$G$58,H$7))</f>
        <v>-0</v>
      </c>
      <c r="I21" s="110" t="n">
        <f aca="false">-CHOOSE(Premissas!$B$6,Cenários!I10,Cenários!I56,Cenários!I102)*(1-INDEX(Premissas!$C$59:$G$59,I$7))*CHOOSE(Premissas!$B$6,INDEX(Premissas!$C$56:$G$56,I$7),INDEX(Premissas!$C$57:$G$57,I$7),INDEX(Premissas!$C$58:$G$58,I$7))</f>
        <v>-0</v>
      </c>
      <c r="J21" s="110" t="n">
        <f aca="false">-CHOOSE(Premissas!$B$6,Cenários!J10,Cenários!J56,Cenários!J102)*(1-INDEX(Premissas!$C$59:$G$59,J$7))*CHOOSE(Premissas!$B$6,INDEX(Premissas!$C$56:$G$56,J$7),INDEX(Premissas!$C$57:$G$57,J$7),INDEX(Premissas!$C$58:$G$58,J$7))</f>
        <v>-0</v>
      </c>
      <c r="K21" s="110" t="n">
        <f aca="false">-CHOOSE(Premissas!$B$6,Cenários!K10,Cenários!K56,Cenários!K102)*(1-INDEX(Premissas!$C$59:$G$59,K$7))*CHOOSE(Premissas!$B$6,INDEX(Premissas!$C$56:$G$56,K$7),INDEX(Premissas!$C$57:$G$57,K$7),INDEX(Premissas!$C$58:$G$58,K$7))</f>
        <v>-31675</v>
      </c>
      <c r="L21" s="110" t="n">
        <f aca="false">-CHOOSE(Premissas!$B$6,Cenários!L10,Cenários!L56,Cenários!L102)*(1-INDEX(Premissas!$C$59:$G$59,L$7))*CHOOSE(Premissas!$B$6,INDEX(Premissas!$C$56:$G$56,L$7),INDEX(Premissas!$C$57:$G$57,L$7),INDEX(Premissas!$C$58:$G$58,L$7))</f>
        <v>-31675</v>
      </c>
      <c r="M21" s="110" t="n">
        <f aca="false">-CHOOSE(Premissas!$B$6,Cenários!M10,Cenários!M56,Cenários!M102)*(1-INDEX(Premissas!$C$59:$G$59,M$7))*CHOOSE(Premissas!$B$6,INDEX(Premissas!$C$56:$G$56,M$7),INDEX(Premissas!$C$57:$G$57,M$7),INDEX(Premissas!$C$58:$G$58,M$7))</f>
        <v>-31675</v>
      </c>
      <c r="N21" s="110" t="n">
        <f aca="false">-CHOOSE(Premissas!$B$6,Cenários!N10,Cenários!N56,Cenários!N102)*(1-INDEX(Premissas!$C$59:$G$59,N$7))*CHOOSE(Premissas!$B$6,INDEX(Premissas!$C$56:$G$56,N$7),INDEX(Premissas!$C$57:$G$57,N$7),INDEX(Premissas!$C$58:$G$58,N$7))</f>
        <v>-53078.25</v>
      </c>
      <c r="O21" s="110" t="n">
        <f aca="false">-CHOOSE(Premissas!$B$6,Cenários!O10,Cenários!O56,Cenários!O102)*(1-INDEX(Premissas!$C$59:$G$59,O$7))*CHOOSE(Premissas!$B$6,INDEX(Premissas!$C$56:$G$56,O$7),INDEX(Premissas!$C$57:$G$57,O$7),INDEX(Premissas!$C$58:$G$58,O$7))</f>
        <v>-53078.25</v>
      </c>
      <c r="P21" s="110" t="n">
        <f aca="false">-CHOOSE(Premissas!$B$6,Cenários!P10,Cenários!P56,Cenários!P102)*(1-INDEX(Premissas!$C$59:$G$59,P$7))*CHOOSE(Premissas!$B$6,INDEX(Premissas!$C$56:$G$56,P$7),INDEX(Premissas!$C$57:$G$57,P$7),INDEX(Premissas!$C$58:$G$58,P$7))</f>
        <v>-53078.25</v>
      </c>
      <c r="Q21" s="110" t="n">
        <f aca="false">-CHOOSE(Premissas!$B$6,Cenários!Q10,Cenários!Q56,Cenários!Q102)*(1-INDEX(Premissas!$C$59:$G$59,Q$7))*CHOOSE(Premissas!$B$6,INDEX(Premissas!$C$56:$G$56,Q$7),INDEX(Premissas!$C$57:$G$57,Q$7),INDEX(Premissas!$C$58:$G$58,Q$7))</f>
        <v>-53078.25</v>
      </c>
      <c r="R21" s="110" t="n">
        <f aca="false">-CHOOSE(Premissas!$B$6,Cenários!R10,Cenários!R56,Cenários!R102)*(1-INDEX(Premissas!$C$59:$G$59,R$7))*CHOOSE(Premissas!$B$6,INDEX(Premissas!$C$56:$G$56,R$7),INDEX(Premissas!$C$57:$G$57,R$7),INDEX(Premissas!$C$58:$G$58,R$7))</f>
        <v>-53078.25</v>
      </c>
      <c r="S21" s="110" t="n">
        <f aca="false">-CHOOSE(Premissas!$B$6,Cenários!S10,Cenários!S56,Cenários!S102)*(1-INDEX(Premissas!$C$59:$G$59,S$7))*CHOOSE(Premissas!$B$6,INDEX(Premissas!$C$56:$G$56,S$7),INDEX(Premissas!$C$57:$G$57,S$7),INDEX(Premissas!$C$58:$G$58,S$7))</f>
        <v>-53078.25</v>
      </c>
      <c r="T21" s="110" t="n">
        <f aca="false">-CHOOSE(Premissas!$B$6,Cenários!T10,Cenários!T56,Cenários!T102)*(1-INDEX(Premissas!$C$59:$G$59,T$7))*CHOOSE(Premissas!$B$6,INDEX(Premissas!$C$56:$G$56,T$7),INDEX(Premissas!$C$57:$G$57,T$7),INDEX(Premissas!$C$58:$G$58,T$7))</f>
        <v>-53078.25</v>
      </c>
      <c r="U21" s="110" t="n">
        <f aca="false">-CHOOSE(Premissas!$B$6,Cenários!U10,Cenários!U56,Cenários!U102)*(1-INDEX(Premissas!$C$59:$G$59,U$7))*CHOOSE(Premissas!$B$6,INDEX(Premissas!$C$56:$G$56,U$7),INDEX(Premissas!$C$57:$G$57,U$7),INDEX(Premissas!$C$58:$G$58,U$7))</f>
        <v>-53078.25</v>
      </c>
      <c r="V21" s="110" t="n">
        <f aca="false">-CHOOSE(Premissas!$B$6,Cenários!V10,Cenários!V56,Cenários!V102)*(1-INDEX(Premissas!$C$59:$G$59,V$7))*CHOOSE(Premissas!$B$6,INDEX(Premissas!$C$56:$G$56,V$7),INDEX(Premissas!$C$57:$G$57,V$7),INDEX(Premissas!$C$58:$G$58,V$7))</f>
        <v>-53078.25</v>
      </c>
      <c r="W21" s="110" t="n">
        <f aca="false">-CHOOSE(Premissas!$B$6,Cenários!W10,Cenários!W56,Cenários!W102)*(1-INDEX(Premissas!$C$59:$G$59,W$7))*CHOOSE(Premissas!$B$6,INDEX(Premissas!$C$56:$G$56,W$7),INDEX(Premissas!$C$57:$G$57,W$7),INDEX(Premissas!$C$58:$G$58,W$7))</f>
        <v>-53078.25</v>
      </c>
      <c r="X21" s="110" t="n">
        <f aca="false">-CHOOSE(Premissas!$B$6,Cenários!X10,Cenários!X56,Cenários!X102)*(1-INDEX(Premissas!$C$59:$G$59,X$7))*CHOOSE(Premissas!$B$6,INDEX(Premissas!$C$56:$G$56,X$7),INDEX(Premissas!$C$57:$G$57,X$7),INDEX(Premissas!$C$58:$G$58,X$7))</f>
        <v>-53078.25</v>
      </c>
      <c r="Y21" s="110" t="n">
        <f aca="false">-CHOOSE(Premissas!$B$6,Cenários!Y10,Cenários!Y56,Cenários!Y102)*(1-INDEX(Premissas!$C$59:$G$59,Y$7))*CHOOSE(Premissas!$B$6,INDEX(Premissas!$C$56:$G$56,Y$7),INDEX(Premissas!$C$57:$G$57,Y$7),INDEX(Premissas!$C$58:$G$58,Y$7))</f>
        <v>-53078.25</v>
      </c>
      <c r="Z21" s="110" t="n">
        <f aca="false">-CHOOSE(Premissas!$B$6,Cenários!Z10,Cenários!Z56,Cenários!Z102)*(1-INDEX(Premissas!$C$59:$G$59,Z$7))*CHOOSE(Premissas!$B$6,INDEX(Premissas!$C$56:$G$56,Z$7),INDEX(Premissas!$C$57:$G$57,Z$7),INDEX(Premissas!$C$58:$G$58,Z$7))</f>
        <v>-87520.5703125</v>
      </c>
      <c r="AA21" s="110" t="n">
        <f aca="false">-CHOOSE(Premissas!$B$6,Cenários!AA10,Cenários!AA56,Cenários!AA102)*(1-INDEX(Premissas!$C$59:$G$59,AA$7))*CHOOSE(Premissas!$B$6,INDEX(Premissas!$C$56:$G$56,AA$7),INDEX(Premissas!$C$57:$G$57,AA$7),INDEX(Premissas!$C$58:$G$58,AA$7))</f>
        <v>-87520.5703125</v>
      </c>
      <c r="AB21" s="110" t="n">
        <f aca="false">-CHOOSE(Premissas!$B$6,Cenários!AB10,Cenários!AB56,Cenários!AB102)*(1-INDEX(Premissas!$C$59:$G$59,AB$7))*CHOOSE(Premissas!$B$6,INDEX(Premissas!$C$56:$G$56,AB$7),INDEX(Premissas!$C$57:$G$57,AB$7),INDEX(Premissas!$C$58:$G$58,AB$7))</f>
        <v>-87520.5703125</v>
      </c>
      <c r="AC21" s="110" t="n">
        <f aca="false">-CHOOSE(Premissas!$B$6,Cenários!AC10,Cenários!AC56,Cenários!AC102)*(1-INDEX(Premissas!$C$59:$G$59,AC$7))*CHOOSE(Premissas!$B$6,INDEX(Premissas!$C$56:$G$56,AC$7),INDEX(Premissas!$C$57:$G$57,AC$7),INDEX(Premissas!$C$58:$G$58,AC$7))</f>
        <v>-87520.5703125</v>
      </c>
      <c r="AD21" s="110" t="n">
        <f aca="false">-CHOOSE(Premissas!$B$6,Cenários!AD10,Cenários!AD56,Cenários!AD102)*(1-INDEX(Premissas!$C$59:$G$59,AD$7))*CHOOSE(Premissas!$B$6,INDEX(Premissas!$C$56:$G$56,AD$7),INDEX(Premissas!$C$57:$G$57,AD$7),INDEX(Premissas!$C$58:$G$58,AD$7))</f>
        <v>-87520.5703125</v>
      </c>
      <c r="AE21" s="110" t="n">
        <f aca="false">-CHOOSE(Premissas!$B$6,Cenários!AE10,Cenários!AE56,Cenários!AE102)*(1-INDEX(Premissas!$C$59:$G$59,AE$7))*CHOOSE(Premissas!$B$6,INDEX(Premissas!$C$56:$G$56,AE$7),INDEX(Premissas!$C$57:$G$57,AE$7),INDEX(Premissas!$C$58:$G$58,AE$7))</f>
        <v>-87520.5703125</v>
      </c>
      <c r="AF21" s="110" t="n">
        <f aca="false">-CHOOSE(Premissas!$B$6,Cenários!AF10,Cenários!AF56,Cenários!AF102)*(1-INDEX(Premissas!$C$59:$G$59,AF$7))*CHOOSE(Premissas!$B$6,INDEX(Premissas!$C$56:$G$56,AF$7),INDEX(Premissas!$C$57:$G$57,AF$7),INDEX(Premissas!$C$58:$G$58,AF$7))</f>
        <v>-87520.5703125</v>
      </c>
      <c r="AG21" s="110" t="n">
        <f aca="false">-CHOOSE(Premissas!$B$6,Cenários!AG10,Cenários!AG56,Cenários!AG102)*(1-INDEX(Premissas!$C$59:$G$59,AG$7))*CHOOSE(Premissas!$B$6,INDEX(Premissas!$C$56:$G$56,AG$7),INDEX(Premissas!$C$57:$G$57,AG$7),INDEX(Premissas!$C$58:$G$58,AG$7))</f>
        <v>-87520.5703125</v>
      </c>
      <c r="AH21" s="110" t="n">
        <f aca="false">-CHOOSE(Premissas!$B$6,Cenários!AH10,Cenários!AH56,Cenários!AH102)*(1-INDEX(Premissas!$C$59:$G$59,AH$7))*CHOOSE(Premissas!$B$6,INDEX(Premissas!$C$56:$G$56,AH$7),INDEX(Premissas!$C$57:$G$57,AH$7),INDEX(Premissas!$C$58:$G$58,AH$7))</f>
        <v>-87520.5703125</v>
      </c>
      <c r="AI21" s="110" t="n">
        <f aca="false">-CHOOSE(Premissas!$B$6,Cenários!AI10,Cenários!AI56,Cenários!AI102)*(1-INDEX(Premissas!$C$59:$G$59,AI$7))*CHOOSE(Premissas!$B$6,INDEX(Premissas!$C$56:$G$56,AI$7),INDEX(Premissas!$C$57:$G$57,AI$7),INDEX(Premissas!$C$58:$G$58,AI$7))</f>
        <v>-87520.5703125</v>
      </c>
      <c r="AJ21" s="110" t="n">
        <f aca="false">-CHOOSE(Premissas!$B$6,Cenários!AJ10,Cenários!AJ56,Cenários!AJ102)*(1-INDEX(Premissas!$C$59:$G$59,AJ$7))*CHOOSE(Premissas!$B$6,INDEX(Premissas!$C$56:$G$56,AJ$7),INDEX(Premissas!$C$57:$G$57,AJ$7),INDEX(Premissas!$C$58:$G$58,AJ$7))</f>
        <v>-87520.5703125</v>
      </c>
      <c r="AK21" s="110" t="n">
        <f aca="false">-CHOOSE(Premissas!$B$6,Cenários!AK10,Cenários!AK56,Cenários!AK102)*(1-INDEX(Premissas!$C$59:$G$59,AK$7))*CHOOSE(Premissas!$B$6,INDEX(Premissas!$C$56:$G$56,AK$7),INDEX(Premissas!$C$57:$G$57,AK$7),INDEX(Premissas!$C$58:$G$58,AK$7))</f>
        <v>-87520.5703125</v>
      </c>
      <c r="AL21" s="110" t="n">
        <f aca="false">-CHOOSE(Premissas!$B$6,Cenários!AL10,Cenários!AL56,Cenários!AL102)*(1-INDEX(Premissas!$C$59:$G$59,AL$7))*CHOOSE(Premissas!$B$6,INDEX(Premissas!$C$56:$G$56,AL$7),INDEX(Premissas!$C$57:$G$57,AL$7),INDEX(Premissas!$C$58:$G$58,AL$7))</f>
        <v>-144004.999921875</v>
      </c>
      <c r="AM21" s="110" t="n">
        <f aca="false">-CHOOSE(Premissas!$B$6,Cenários!AM10,Cenários!AM56,Cenários!AM102)*(1-INDEX(Premissas!$C$59:$G$59,AM$7))*CHOOSE(Premissas!$B$6,INDEX(Premissas!$C$56:$G$56,AM$7),INDEX(Premissas!$C$57:$G$57,AM$7),INDEX(Premissas!$C$58:$G$58,AM$7))</f>
        <v>-144004.999921875</v>
      </c>
      <c r="AN21" s="110" t="n">
        <f aca="false">-CHOOSE(Premissas!$B$6,Cenários!AN10,Cenários!AN56,Cenários!AN102)*(1-INDEX(Premissas!$C$59:$G$59,AN$7))*CHOOSE(Premissas!$B$6,INDEX(Premissas!$C$56:$G$56,AN$7),INDEX(Premissas!$C$57:$G$57,AN$7),INDEX(Premissas!$C$58:$G$58,AN$7))</f>
        <v>-144004.999921875</v>
      </c>
      <c r="AO21" s="110" t="n">
        <f aca="false">-CHOOSE(Premissas!$B$6,Cenários!AO10,Cenários!AO56,Cenários!AO102)*(1-INDEX(Premissas!$C$59:$G$59,AO$7))*CHOOSE(Premissas!$B$6,INDEX(Premissas!$C$56:$G$56,AO$7),INDEX(Premissas!$C$57:$G$57,AO$7),INDEX(Premissas!$C$58:$G$58,AO$7))</f>
        <v>-144004.999921875</v>
      </c>
      <c r="AP21" s="110" t="n">
        <f aca="false">-CHOOSE(Premissas!$B$6,Cenários!AP10,Cenários!AP56,Cenários!AP102)*(1-INDEX(Premissas!$C$59:$G$59,AP$7))*CHOOSE(Premissas!$B$6,INDEX(Premissas!$C$56:$G$56,AP$7),INDEX(Premissas!$C$57:$G$57,AP$7),INDEX(Premissas!$C$58:$G$58,AP$7))</f>
        <v>-144004.999921875</v>
      </c>
      <c r="AQ21" s="110" t="n">
        <f aca="false">-CHOOSE(Premissas!$B$6,Cenários!AQ10,Cenários!AQ56,Cenários!AQ102)*(1-INDEX(Premissas!$C$59:$G$59,AQ$7))*CHOOSE(Premissas!$B$6,INDEX(Premissas!$C$56:$G$56,AQ$7),INDEX(Premissas!$C$57:$G$57,AQ$7),INDEX(Premissas!$C$58:$G$58,AQ$7))</f>
        <v>-144004.999921875</v>
      </c>
      <c r="AR21" s="110" t="n">
        <f aca="false">-CHOOSE(Premissas!$B$6,Cenários!AR10,Cenários!AR56,Cenários!AR102)*(1-INDEX(Premissas!$C$59:$G$59,AR$7))*CHOOSE(Premissas!$B$6,INDEX(Premissas!$C$56:$G$56,AR$7),INDEX(Premissas!$C$57:$G$57,AR$7),INDEX(Premissas!$C$58:$G$58,AR$7))</f>
        <v>-144004.999921875</v>
      </c>
      <c r="AS21" s="110" t="n">
        <f aca="false">-CHOOSE(Premissas!$B$6,Cenários!AS10,Cenários!AS56,Cenários!AS102)*(1-INDEX(Premissas!$C$59:$G$59,AS$7))*CHOOSE(Premissas!$B$6,INDEX(Premissas!$C$56:$G$56,AS$7),INDEX(Premissas!$C$57:$G$57,AS$7),INDEX(Premissas!$C$58:$G$58,AS$7))</f>
        <v>-144004.999921875</v>
      </c>
      <c r="AT21" s="110" t="n">
        <f aca="false">-CHOOSE(Premissas!$B$6,Cenários!AT10,Cenários!AT56,Cenários!AT102)*(1-INDEX(Premissas!$C$59:$G$59,AT$7))*CHOOSE(Premissas!$B$6,INDEX(Premissas!$C$56:$G$56,AT$7),INDEX(Premissas!$C$57:$G$57,AT$7),INDEX(Premissas!$C$58:$G$58,AT$7))</f>
        <v>-144004.999921875</v>
      </c>
      <c r="AU21" s="110" t="n">
        <f aca="false">-CHOOSE(Premissas!$B$6,Cenários!AU10,Cenários!AU56,Cenários!AU102)*(1-INDEX(Premissas!$C$59:$G$59,AU$7))*CHOOSE(Premissas!$B$6,INDEX(Premissas!$C$56:$G$56,AU$7),INDEX(Premissas!$C$57:$G$57,AU$7),INDEX(Premissas!$C$58:$G$58,AU$7))</f>
        <v>-144004.999921875</v>
      </c>
      <c r="AV21" s="110" t="n">
        <f aca="false">-CHOOSE(Premissas!$B$6,Cenários!AV10,Cenários!AV56,Cenários!AV102)*(1-INDEX(Premissas!$C$59:$G$59,AV$7))*CHOOSE(Premissas!$B$6,INDEX(Premissas!$C$56:$G$56,AV$7),INDEX(Premissas!$C$57:$G$57,AV$7),INDEX(Premissas!$C$58:$G$58,AV$7))</f>
        <v>-144004.999921875</v>
      </c>
      <c r="AW21" s="110" t="n">
        <f aca="false">-CHOOSE(Premissas!$B$6,Cenários!AW10,Cenários!AW56,Cenários!AW102)*(1-INDEX(Premissas!$C$59:$G$59,AW$7))*CHOOSE(Premissas!$B$6,INDEX(Premissas!$C$56:$G$56,AW$7),INDEX(Premissas!$C$57:$G$57,AW$7),INDEX(Premissas!$C$58:$G$58,AW$7))</f>
        <v>-144004.999921875</v>
      </c>
      <c r="AX21" s="110" t="n">
        <f aca="false">-CHOOSE(Premissas!$B$6,Cenários!AX10,Cenários!AX56,Cenários!AX102)*(1-INDEX(Premissas!$C$59:$G$59,AX$7))*CHOOSE(Premissas!$B$6,INDEX(Premissas!$C$56:$G$56,AX$7),INDEX(Premissas!$C$57:$G$57,AX$7),INDEX(Premissas!$C$58:$G$58,AX$7))</f>
        <v>-240395.443417969</v>
      </c>
      <c r="AY21" s="110" t="n">
        <f aca="false">-CHOOSE(Premissas!$B$6,Cenários!AY10,Cenários!AY56,Cenários!AY102)*(1-INDEX(Premissas!$C$59:$G$59,AY$7))*CHOOSE(Premissas!$B$6,INDEX(Premissas!$C$56:$G$56,AY$7),INDEX(Premissas!$C$57:$G$57,AY$7),INDEX(Premissas!$C$58:$G$58,AY$7))</f>
        <v>-240395.443417969</v>
      </c>
      <c r="AZ21" s="110" t="n">
        <f aca="false">-CHOOSE(Premissas!$B$6,Cenários!AZ10,Cenários!AZ56,Cenários!AZ102)*(1-INDEX(Premissas!$C$59:$G$59,AZ$7))*CHOOSE(Premissas!$B$6,INDEX(Premissas!$C$56:$G$56,AZ$7),INDEX(Premissas!$C$57:$G$57,AZ$7),INDEX(Premissas!$C$58:$G$58,AZ$7))</f>
        <v>-240395.443417969</v>
      </c>
      <c r="BA21" s="110" t="n">
        <f aca="false">-CHOOSE(Premissas!$B$6,Cenários!BA10,Cenários!BA56,Cenários!BA102)*(1-INDEX(Premissas!$C$59:$G$59,BA$7))*CHOOSE(Premissas!$B$6,INDEX(Premissas!$C$56:$G$56,BA$7),INDEX(Premissas!$C$57:$G$57,BA$7),INDEX(Premissas!$C$58:$G$58,BA$7))</f>
        <v>-240395.443417969</v>
      </c>
      <c r="BB21" s="110" t="n">
        <f aca="false">-CHOOSE(Premissas!$B$6,Cenários!BB10,Cenários!BB56,Cenários!BB102)*(1-INDEX(Premissas!$C$59:$G$59,BB$7))*CHOOSE(Premissas!$B$6,INDEX(Premissas!$C$56:$G$56,BB$7),INDEX(Premissas!$C$57:$G$57,BB$7),INDEX(Premissas!$C$58:$G$58,BB$7))</f>
        <v>-240395.443417969</v>
      </c>
      <c r="BC21" s="110" t="n">
        <f aca="false">-CHOOSE(Premissas!$B$6,Cenários!BC10,Cenários!BC56,Cenários!BC102)*(1-INDEX(Premissas!$C$59:$G$59,BC$7))*CHOOSE(Premissas!$B$6,INDEX(Premissas!$C$56:$G$56,BC$7),INDEX(Premissas!$C$57:$G$57,BC$7),INDEX(Premissas!$C$58:$G$58,BC$7))</f>
        <v>-240395.443417969</v>
      </c>
      <c r="BD21" s="110" t="n">
        <f aca="false">-CHOOSE(Premissas!$B$6,Cenários!BD10,Cenários!BD56,Cenários!BD102)*(1-INDEX(Premissas!$C$59:$G$59,BD$7))*CHOOSE(Premissas!$B$6,INDEX(Premissas!$C$56:$G$56,BD$7),INDEX(Premissas!$C$57:$G$57,BD$7),INDEX(Premissas!$C$58:$G$58,BD$7))</f>
        <v>-240395.443417969</v>
      </c>
      <c r="BE21" s="110" t="n">
        <f aca="false">-CHOOSE(Premissas!$B$6,Cenários!BE10,Cenários!BE56,Cenários!BE102)*(1-INDEX(Premissas!$C$59:$G$59,BE$7))*CHOOSE(Premissas!$B$6,INDEX(Premissas!$C$56:$G$56,BE$7),INDEX(Premissas!$C$57:$G$57,BE$7),INDEX(Premissas!$C$58:$G$58,BE$7))</f>
        <v>-240395.443417969</v>
      </c>
      <c r="BF21" s="110" t="n">
        <f aca="false">-CHOOSE(Premissas!$B$6,Cenários!BF10,Cenários!BF56,Cenários!BF102)*(1-INDEX(Premissas!$C$59:$G$59,BF$7))*CHOOSE(Premissas!$B$6,INDEX(Premissas!$C$56:$G$56,BF$7),INDEX(Premissas!$C$57:$G$57,BF$7),INDEX(Premissas!$C$58:$G$58,BF$7))</f>
        <v>-240395.443417969</v>
      </c>
      <c r="BG21" s="110" t="n">
        <f aca="false">-CHOOSE(Premissas!$B$6,Cenários!BG10,Cenários!BG56,Cenários!BG102)*(1-INDEX(Premissas!$C$59:$G$59,BG$7))*CHOOSE(Premissas!$B$6,INDEX(Premissas!$C$56:$G$56,BG$7),INDEX(Premissas!$C$57:$G$57,BG$7),INDEX(Premissas!$C$58:$G$58,BG$7))</f>
        <v>-240395.443417969</v>
      </c>
      <c r="BH21" s="110" t="n">
        <f aca="false">-CHOOSE(Premissas!$B$6,Cenários!BH10,Cenários!BH56,Cenários!BH102)*(1-INDEX(Premissas!$C$59:$G$59,BH$7))*CHOOSE(Premissas!$B$6,INDEX(Premissas!$C$56:$G$56,BH$7),INDEX(Premissas!$C$57:$G$57,BH$7),INDEX(Premissas!$C$58:$G$58,BH$7))</f>
        <v>-240395.443417969</v>
      </c>
      <c r="BI21" s="110" t="n">
        <f aca="false">-CHOOSE(Premissas!$B$6,Cenários!BI10,Cenários!BI56,Cenários!BI102)*(1-INDEX(Premissas!$C$59:$G$59,BI$7))*CHOOSE(Premissas!$B$6,INDEX(Premissas!$C$56:$G$56,BI$7),INDEX(Premissas!$C$57:$G$57,BI$7),INDEX(Premissas!$C$58:$G$58,BI$7))</f>
        <v>-240395.443417969</v>
      </c>
      <c r="BJ21" s="111" t="n">
        <f aca="false">SUM(B21:BI21)</f>
        <v>-6395016.16382812</v>
      </c>
      <c r="BK21" s="141" t="n">
        <f aca="false">IFERROR(BJ21/BJ$28,0)</f>
        <v>0.144514145060506</v>
      </c>
    </row>
    <row r="22" customFormat="false" ht="15" hidden="false" customHeight="false" outlineLevel="0" collapsed="false">
      <c r="A22" s="27" t="s">
        <v>478</v>
      </c>
      <c r="B22" s="110" t="n">
        <f aca="false">-IF(B$4&gt;=Premissas!$B$79,INDEX(Premissas!$C$78:$G$78,B$7),0)</f>
        <v>-0</v>
      </c>
      <c r="C22" s="110" t="n">
        <f aca="false">-IF(C$4&gt;=Premissas!$B$79,INDEX(Premissas!$C$78:$G$78,C$7),0)</f>
        <v>-0</v>
      </c>
      <c r="D22" s="110" t="n">
        <f aca="false">-IF(D$4&gt;=Premissas!$B$79,INDEX(Premissas!$C$78:$G$78,D$7),0)</f>
        <v>-0</v>
      </c>
      <c r="E22" s="110" t="n">
        <f aca="false">-IF(E$4&gt;=Premissas!$B$79,INDEX(Premissas!$C$78:$G$78,E$7),0)</f>
        <v>-0</v>
      </c>
      <c r="F22" s="110" t="n">
        <f aca="false">-IF(F$4&gt;=Premissas!$B$79,INDEX(Premissas!$C$78:$G$78,F$7),0)</f>
        <v>-0</v>
      </c>
      <c r="G22" s="110" t="n">
        <f aca="false">-IF(G$4&gt;=Premissas!$B$79,INDEX(Premissas!$C$78:$G$78,G$7),0)</f>
        <v>-0</v>
      </c>
      <c r="H22" s="110" t="n">
        <f aca="false">-IF(H$4&gt;=Premissas!$B$79,INDEX(Premissas!$C$78:$G$78,H$7),0)</f>
        <v>-0</v>
      </c>
      <c r="I22" s="110" t="n">
        <f aca="false">-IF(I$4&gt;=Premissas!$B$79,INDEX(Premissas!$C$78:$G$78,I$7),0)</f>
        <v>-0</v>
      </c>
      <c r="J22" s="110" t="n">
        <f aca="false">-IF(J$4&gt;=Premissas!$B$79,INDEX(Premissas!$C$78:$G$78,J$7),0)</f>
        <v>-0</v>
      </c>
      <c r="K22" s="110" t="n">
        <f aca="false">-IF(K$4&gt;=Premissas!$B$79,INDEX(Premissas!$C$78:$G$78,K$7),0)</f>
        <v>-3000</v>
      </c>
      <c r="L22" s="110" t="n">
        <f aca="false">-IF(L$4&gt;=Premissas!$B$79,INDEX(Premissas!$C$78:$G$78,L$7),0)</f>
        <v>-3000</v>
      </c>
      <c r="M22" s="110" t="n">
        <f aca="false">-IF(M$4&gt;=Premissas!$B$79,INDEX(Premissas!$C$78:$G$78,M$7),0)</f>
        <v>-3000</v>
      </c>
      <c r="N22" s="110" t="n">
        <f aca="false">-IF(N$4&gt;=Premissas!$B$79,INDEX(Premissas!$C$78:$G$78,N$7),0)</f>
        <v>-15000</v>
      </c>
      <c r="O22" s="110" t="n">
        <f aca="false">-IF(O$4&gt;=Premissas!$B$79,INDEX(Premissas!$C$78:$G$78,O$7),0)</f>
        <v>-15000</v>
      </c>
      <c r="P22" s="110" t="n">
        <f aca="false">-IF(P$4&gt;=Premissas!$B$79,INDEX(Premissas!$C$78:$G$78,P$7),0)</f>
        <v>-15000</v>
      </c>
      <c r="Q22" s="110" t="n">
        <f aca="false">-IF(Q$4&gt;=Premissas!$B$79,INDEX(Premissas!$C$78:$G$78,Q$7),0)</f>
        <v>-15000</v>
      </c>
      <c r="R22" s="110" t="n">
        <f aca="false">-IF(R$4&gt;=Premissas!$B$79,INDEX(Premissas!$C$78:$G$78,R$7),0)</f>
        <v>-15000</v>
      </c>
      <c r="S22" s="110" t="n">
        <f aca="false">-IF(S$4&gt;=Premissas!$B$79,INDEX(Premissas!$C$78:$G$78,S$7),0)</f>
        <v>-15000</v>
      </c>
      <c r="T22" s="110" t="n">
        <f aca="false">-IF(T$4&gt;=Premissas!$B$79,INDEX(Premissas!$C$78:$G$78,T$7),0)</f>
        <v>-15000</v>
      </c>
      <c r="U22" s="110" t="n">
        <f aca="false">-IF(U$4&gt;=Premissas!$B$79,INDEX(Premissas!$C$78:$G$78,U$7),0)</f>
        <v>-15000</v>
      </c>
      <c r="V22" s="110" t="n">
        <f aca="false">-IF(V$4&gt;=Premissas!$B$79,INDEX(Premissas!$C$78:$G$78,V$7),0)</f>
        <v>-15000</v>
      </c>
      <c r="W22" s="110" t="n">
        <f aca="false">-IF(W$4&gt;=Premissas!$B$79,INDEX(Premissas!$C$78:$G$78,W$7),0)</f>
        <v>-15000</v>
      </c>
      <c r="X22" s="110" t="n">
        <f aca="false">-IF(X$4&gt;=Premissas!$B$79,INDEX(Premissas!$C$78:$G$78,X$7),0)</f>
        <v>-15000</v>
      </c>
      <c r="Y22" s="110" t="n">
        <f aca="false">-IF(Y$4&gt;=Premissas!$B$79,INDEX(Premissas!$C$78:$G$78,Y$7),0)</f>
        <v>-15000</v>
      </c>
      <c r="Z22" s="110" t="n">
        <f aca="false">-IF(Z$4&gt;=Premissas!$B$79,INDEX(Premissas!$C$78:$G$78,Z$7),0)</f>
        <v>-60000</v>
      </c>
      <c r="AA22" s="110" t="n">
        <f aca="false">-IF(AA$4&gt;=Premissas!$B$79,INDEX(Premissas!$C$78:$G$78,AA$7),0)</f>
        <v>-60000</v>
      </c>
      <c r="AB22" s="110" t="n">
        <f aca="false">-IF(AB$4&gt;=Premissas!$B$79,INDEX(Premissas!$C$78:$G$78,AB$7),0)</f>
        <v>-60000</v>
      </c>
      <c r="AC22" s="110" t="n">
        <f aca="false">-IF(AC$4&gt;=Premissas!$B$79,INDEX(Premissas!$C$78:$G$78,AC$7),0)</f>
        <v>-60000</v>
      </c>
      <c r="AD22" s="110" t="n">
        <f aca="false">-IF(AD$4&gt;=Premissas!$B$79,INDEX(Premissas!$C$78:$G$78,AD$7),0)</f>
        <v>-60000</v>
      </c>
      <c r="AE22" s="110" t="n">
        <f aca="false">-IF(AE$4&gt;=Premissas!$B$79,INDEX(Premissas!$C$78:$G$78,AE$7),0)</f>
        <v>-60000</v>
      </c>
      <c r="AF22" s="110" t="n">
        <f aca="false">-IF(AF$4&gt;=Premissas!$B$79,INDEX(Premissas!$C$78:$G$78,AF$7),0)</f>
        <v>-60000</v>
      </c>
      <c r="AG22" s="110" t="n">
        <f aca="false">-IF(AG$4&gt;=Premissas!$B$79,INDEX(Premissas!$C$78:$G$78,AG$7),0)</f>
        <v>-60000</v>
      </c>
      <c r="AH22" s="110" t="n">
        <f aca="false">-IF(AH$4&gt;=Premissas!$B$79,INDEX(Premissas!$C$78:$G$78,AH$7),0)</f>
        <v>-60000</v>
      </c>
      <c r="AI22" s="110" t="n">
        <f aca="false">-IF(AI$4&gt;=Premissas!$B$79,INDEX(Premissas!$C$78:$G$78,AI$7),0)</f>
        <v>-60000</v>
      </c>
      <c r="AJ22" s="110" t="n">
        <f aca="false">-IF(AJ$4&gt;=Premissas!$B$79,INDEX(Premissas!$C$78:$G$78,AJ$7),0)</f>
        <v>-60000</v>
      </c>
      <c r="AK22" s="110" t="n">
        <f aca="false">-IF(AK$4&gt;=Premissas!$B$79,INDEX(Premissas!$C$78:$G$78,AK$7),0)</f>
        <v>-60000</v>
      </c>
      <c r="AL22" s="110" t="n">
        <f aca="false">-IF(AL$4&gt;=Premissas!$B$79,INDEX(Premissas!$C$78:$G$78,AL$7),0)</f>
        <v>-140000</v>
      </c>
      <c r="AM22" s="110" t="n">
        <f aca="false">-IF(AM$4&gt;=Premissas!$B$79,INDEX(Premissas!$C$78:$G$78,AM$7),0)</f>
        <v>-140000</v>
      </c>
      <c r="AN22" s="110" t="n">
        <f aca="false">-IF(AN$4&gt;=Premissas!$B$79,INDEX(Premissas!$C$78:$G$78,AN$7),0)</f>
        <v>-140000</v>
      </c>
      <c r="AO22" s="110" t="n">
        <f aca="false">-IF(AO$4&gt;=Premissas!$B$79,INDEX(Premissas!$C$78:$G$78,AO$7),0)</f>
        <v>-140000</v>
      </c>
      <c r="AP22" s="110" t="n">
        <f aca="false">-IF(AP$4&gt;=Premissas!$B$79,INDEX(Premissas!$C$78:$G$78,AP$7),0)</f>
        <v>-140000</v>
      </c>
      <c r="AQ22" s="110" t="n">
        <f aca="false">-IF(AQ$4&gt;=Premissas!$B$79,INDEX(Premissas!$C$78:$G$78,AQ$7),0)</f>
        <v>-140000</v>
      </c>
      <c r="AR22" s="110" t="n">
        <f aca="false">-IF(AR$4&gt;=Premissas!$B$79,INDEX(Premissas!$C$78:$G$78,AR$7),0)</f>
        <v>-140000</v>
      </c>
      <c r="AS22" s="110" t="n">
        <f aca="false">-IF(AS$4&gt;=Premissas!$B$79,INDEX(Premissas!$C$78:$G$78,AS$7),0)</f>
        <v>-140000</v>
      </c>
      <c r="AT22" s="110" t="n">
        <f aca="false">-IF(AT$4&gt;=Premissas!$B$79,INDEX(Premissas!$C$78:$G$78,AT$7),0)</f>
        <v>-140000</v>
      </c>
      <c r="AU22" s="110" t="n">
        <f aca="false">-IF(AU$4&gt;=Premissas!$B$79,INDEX(Premissas!$C$78:$G$78,AU$7),0)</f>
        <v>-140000</v>
      </c>
      <c r="AV22" s="110" t="n">
        <f aca="false">-IF(AV$4&gt;=Premissas!$B$79,INDEX(Premissas!$C$78:$G$78,AV$7),0)</f>
        <v>-140000</v>
      </c>
      <c r="AW22" s="110" t="n">
        <f aca="false">-IF(AW$4&gt;=Premissas!$B$79,INDEX(Premissas!$C$78:$G$78,AW$7),0)</f>
        <v>-140000</v>
      </c>
      <c r="AX22" s="110" t="n">
        <f aca="false">-IF(AX$4&gt;=Premissas!$B$79,INDEX(Premissas!$C$78:$G$78,AX$7),0)</f>
        <v>-250000</v>
      </c>
      <c r="AY22" s="110" t="n">
        <f aca="false">-IF(AY$4&gt;=Premissas!$B$79,INDEX(Premissas!$C$78:$G$78,AY$7),0)</f>
        <v>-250000</v>
      </c>
      <c r="AZ22" s="110" t="n">
        <f aca="false">-IF(AZ$4&gt;=Premissas!$B$79,INDEX(Premissas!$C$78:$G$78,AZ$7),0)</f>
        <v>-250000</v>
      </c>
      <c r="BA22" s="110" t="n">
        <f aca="false">-IF(BA$4&gt;=Premissas!$B$79,INDEX(Premissas!$C$78:$G$78,BA$7),0)</f>
        <v>-250000</v>
      </c>
      <c r="BB22" s="110" t="n">
        <f aca="false">-IF(BB$4&gt;=Premissas!$B$79,INDEX(Premissas!$C$78:$G$78,BB$7),0)</f>
        <v>-250000</v>
      </c>
      <c r="BC22" s="110" t="n">
        <f aca="false">-IF(BC$4&gt;=Premissas!$B$79,INDEX(Premissas!$C$78:$G$78,BC$7),0)</f>
        <v>-250000</v>
      </c>
      <c r="BD22" s="110" t="n">
        <f aca="false">-IF(BD$4&gt;=Premissas!$B$79,INDEX(Premissas!$C$78:$G$78,BD$7),0)</f>
        <v>-250000</v>
      </c>
      <c r="BE22" s="110" t="n">
        <f aca="false">-IF(BE$4&gt;=Premissas!$B$79,INDEX(Premissas!$C$78:$G$78,BE$7),0)</f>
        <v>-250000</v>
      </c>
      <c r="BF22" s="110" t="n">
        <f aca="false">-IF(BF$4&gt;=Premissas!$B$79,INDEX(Premissas!$C$78:$G$78,BF$7),0)</f>
        <v>-250000</v>
      </c>
      <c r="BG22" s="110" t="n">
        <f aca="false">-IF(BG$4&gt;=Premissas!$B$79,INDEX(Premissas!$C$78:$G$78,BG$7),0)</f>
        <v>-250000</v>
      </c>
      <c r="BH22" s="110" t="n">
        <f aca="false">-IF(BH$4&gt;=Premissas!$B$79,INDEX(Premissas!$C$78:$G$78,BH$7),0)</f>
        <v>-250000</v>
      </c>
      <c r="BI22" s="110" t="n">
        <f aca="false">-IF(BI$4&gt;=Premissas!$B$79,INDEX(Premissas!$C$78:$G$78,BI$7),0)</f>
        <v>-250000</v>
      </c>
      <c r="BJ22" s="111" t="n">
        <f aca="false">SUM(B22:BI22)</f>
        <v>-5589000</v>
      </c>
      <c r="BK22" s="141" t="n">
        <f aca="false">IFERROR(BJ22/BJ$28,0)</f>
        <v>0.126299846013161</v>
      </c>
    </row>
    <row r="23" customFormat="false" ht="15" hidden="false" customHeight="false" outlineLevel="0" collapsed="false">
      <c r="A23" s="27" t="s">
        <v>479</v>
      </c>
      <c r="B23" s="110" t="n">
        <f aca="false">-IF(B$4=DATE(YEAR(Premissas!$B$81),MONTH(Premissas!$B$81),1),Premissas!$B$80,0)</f>
        <v>-0</v>
      </c>
      <c r="C23" s="110" t="n">
        <f aca="false">-IF(C$4=DATE(YEAR(Premissas!$B$81),MONTH(Premissas!$B$81),1),Premissas!$B$80,0)</f>
        <v>-0</v>
      </c>
      <c r="D23" s="110" t="n">
        <f aca="false">-IF(D$4=DATE(YEAR(Premissas!$B$81),MONTH(Premissas!$B$81),1),Premissas!$B$80,0)</f>
        <v>-0</v>
      </c>
      <c r="E23" s="110" t="n">
        <f aca="false">-IF(E$4=DATE(YEAR(Premissas!$B$81),MONTH(Premissas!$B$81),1),Premissas!$B$80,0)</f>
        <v>-0</v>
      </c>
      <c r="F23" s="110" t="n">
        <f aca="false">-IF(F$4=DATE(YEAR(Premissas!$B$81),MONTH(Premissas!$B$81),1),Premissas!$B$80,0)</f>
        <v>-0</v>
      </c>
      <c r="G23" s="110" t="n">
        <f aca="false">-IF(G$4=DATE(YEAR(Premissas!$B$81),MONTH(Premissas!$B$81),1),Premissas!$B$80,0)</f>
        <v>-0</v>
      </c>
      <c r="H23" s="110" t="n">
        <f aca="false">-IF(H$4=DATE(YEAR(Premissas!$B$81),MONTH(Premissas!$B$81),1),Premissas!$B$80,0)</f>
        <v>-0</v>
      </c>
      <c r="I23" s="110" t="n">
        <f aca="false">-IF(I$4=DATE(YEAR(Premissas!$B$81),MONTH(Premissas!$B$81),1),Premissas!$B$80,0)</f>
        <v>-0</v>
      </c>
      <c r="J23" s="110" t="n">
        <f aca="false">-IF(J$4=DATE(YEAR(Premissas!$B$81),MONTH(Premissas!$B$81),1),Premissas!$B$80,0)</f>
        <v>-0</v>
      </c>
      <c r="K23" s="110" t="n">
        <f aca="false">-IF(K$4=DATE(YEAR(Premissas!$B$81),MONTH(Premissas!$B$81),1),Premissas!$B$80,0)</f>
        <v>-25000</v>
      </c>
      <c r="L23" s="110" t="n">
        <f aca="false">-IF(L$4=DATE(YEAR(Premissas!$B$81),MONTH(Premissas!$B$81),1),Premissas!$B$80,0)</f>
        <v>-0</v>
      </c>
      <c r="M23" s="110" t="n">
        <f aca="false">-IF(M$4=DATE(YEAR(Premissas!$B$81),MONTH(Premissas!$B$81),1),Premissas!$B$80,0)</f>
        <v>-0</v>
      </c>
      <c r="N23" s="110" t="n">
        <f aca="false">-IF(N$4=DATE(YEAR(Premissas!$B$81),MONTH(Premissas!$B$81),1),Premissas!$B$80,0)</f>
        <v>-0</v>
      </c>
      <c r="O23" s="110" t="n">
        <f aca="false">-IF(O$4=DATE(YEAR(Premissas!$B$81),MONTH(Premissas!$B$81),1),Premissas!$B$80,0)</f>
        <v>-0</v>
      </c>
      <c r="P23" s="110" t="n">
        <f aca="false">-IF(P$4=DATE(YEAR(Premissas!$B$81),MONTH(Premissas!$B$81),1),Premissas!$B$80,0)</f>
        <v>-0</v>
      </c>
      <c r="Q23" s="110" t="n">
        <f aca="false">-IF(Q$4=DATE(YEAR(Premissas!$B$81),MONTH(Premissas!$B$81),1),Premissas!$B$80,0)</f>
        <v>-0</v>
      </c>
      <c r="R23" s="110" t="n">
        <f aca="false">-IF(R$4=DATE(YEAR(Premissas!$B$81),MONTH(Premissas!$B$81),1),Premissas!$B$80,0)</f>
        <v>-0</v>
      </c>
      <c r="S23" s="110" t="n">
        <f aca="false">-IF(S$4=DATE(YEAR(Premissas!$B$81),MONTH(Premissas!$B$81),1),Premissas!$B$80,0)</f>
        <v>-0</v>
      </c>
      <c r="T23" s="110" t="n">
        <f aca="false">-IF(T$4=DATE(YEAR(Premissas!$B$81),MONTH(Premissas!$B$81),1),Premissas!$B$80,0)</f>
        <v>-0</v>
      </c>
      <c r="U23" s="110" t="n">
        <f aca="false">-IF(U$4=DATE(YEAR(Premissas!$B$81),MONTH(Premissas!$B$81),1),Premissas!$B$80,0)</f>
        <v>-0</v>
      </c>
      <c r="V23" s="110" t="n">
        <f aca="false">-IF(V$4=DATE(YEAR(Premissas!$B$81),MONTH(Premissas!$B$81),1),Premissas!$B$80,0)</f>
        <v>-0</v>
      </c>
      <c r="W23" s="110" t="n">
        <f aca="false">-IF(W$4=DATE(YEAR(Premissas!$B$81),MONTH(Premissas!$B$81),1),Premissas!$B$80,0)</f>
        <v>-0</v>
      </c>
      <c r="X23" s="110" t="n">
        <f aca="false">-IF(X$4=DATE(YEAR(Premissas!$B$81),MONTH(Premissas!$B$81),1),Premissas!$B$80,0)</f>
        <v>-0</v>
      </c>
      <c r="Y23" s="110" t="n">
        <f aca="false">-IF(Y$4=DATE(YEAR(Premissas!$B$81),MONTH(Premissas!$B$81),1),Premissas!$B$80,0)</f>
        <v>-0</v>
      </c>
      <c r="Z23" s="110" t="n">
        <f aca="false">-IF(Z$4=DATE(YEAR(Premissas!$B$81),MONTH(Premissas!$B$81),1),Premissas!$B$80,0)</f>
        <v>-0</v>
      </c>
      <c r="AA23" s="110" t="n">
        <f aca="false">-IF(AA$4=DATE(YEAR(Premissas!$B$81),MONTH(Premissas!$B$81),1),Premissas!$B$80,0)</f>
        <v>-0</v>
      </c>
      <c r="AB23" s="110" t="n">
        <f aca="false">-IF(AB$4=DATE(YEAR(Premissas!$B$81),MONTH(Premissas!$B$81),1),Premissas!$B$80,0)</f>
        <v>-0</v>
      </c>
      <c r="AC23" s="110" t="n">
        <f aca="false">-IF(AC$4=DATE(YEAR(Premissas!$B$81),MONTH(Premissas!$B$81),1),Premissas!$B$80,0)</f>
        <v>-0</v>
      </c>
      <c r="AD23" s="110" t="n">
        <f aca="false">-IF(AD$4=DATE(YEAR(Premissas!$B$81),MONTH(Premissas!$B$81),1),Premissas!$B$80,0)</f>
        <v>-0</v>
      </c>
      <c r="AE23" s="110" t="n">
        <f aca="false">-IF(AE$4=DATE(YEAR(Premissas!$B$81),MONTH(Premissas!$B$81),1),Premissas!$B$80,0)</f>
        <v>-0</v>
      </c>
      <c r="AF23" s="110" t="n">
        <f aca="false">-IF(AF$4=DATE(YEAR(Premissas!$B$81),MONTH(Premissas!$B$81),1),Premissas!$B$80,0)</f>
        <v>-0</v>
      </c>
      <c r="AG23" s="110" t="n">
        <f aca="false">-IF(AG$4=DATE(YEAR(Premissas!$B$81),MONTH(Premissas!$B$81),1),Premissas!$B$80,0)</f>
        <v>-0</v>
      </c>
      <c r="AH23" s="110" t="n">
        <f aca="false">-IF(AH$4=DATE(YEAR(Premissas!$B$81),MONTH(Premissas!$B$81),1),Premissas!$B$80,0)</f>
        <v>-0</v>
      </c>
      <c r="AI23" s="110" t="n">
        <f aca="false">-IF(AI$4=DATE(YEAR(Premissas!$B$81),MONTH(Premissas!$B$81),1),Premissas!$B$80,0)</f>
        <v>-0</v>
      </c>
      <c r="AJ23" s="110" t="n">
        <f aca="false">-IF(AJ$4=DATE(YEAR(Premissas!$B$81),MONTH(Premissas!$B$81),1),Premissas!$B$80,0)</f>
        <v>-0</v>
      </c>
      <c r="AK23" s="110" t="n">
        <f aca="false">-IF(AK$4=DATE(YEAR(Premissas!$B$81),MONTH(Premissas!$B$81),1),Premissas!$B$80,0)</f>
        <v>-0</v>
      </c>
      <c r="AL23" s="110" t="n">
        <f aca="false">-IF(AL$4=DATE(YEAR(Premissas!$B$81),MONTH(Premissas!$B$81),1),Premissas!$B$80,0)</f>
        <v>-0</v>
      </c>
      <c r="AM23" s="110" t="n">
        <f aca="false">-IF(AM$4=DATE(YEAR(Premissas!$B$81),MONTH(Premissas!$B$81),1),Premissas!$B$80,0)</f>
        <v>-0</v>
      </c>
      <c r="AN23" s="110" t="n">
        <f aca="false">-IF(AN$4=DATE(YEAR(Premissas!$B$81),MONTH(Premissas!$B$81),1),Premissas!$B$80,0)</f>
        <v>-0</v>
      </c>
      <c r="AO23" s="110" t="n">
        <f aca="false">-IF(AO$4=DATE(YEAR(Premissas!$B$81),MONTH(Premissas!$B$81),1),Premissas!$B$80,0)</f>
        <v>-0</v>
      </c>
      <c r="AP23" s="110" t="n">
        <f aca="false">-IF(AP$4=DATE(YEAR(Premissas!$B$81),MONTH(Premissas!$B$81),1),Premissas!$B$80,0)</f>
        <v>-0</v>
      </c>
      <c r="AQ23" s="110" t="n">
        <f aca="false">-IF(AQ$4=DATE(YEAR(Premissas!$B$81),MONTH(Premissas!$B$81),1),Premissas!$B$80,0)</f>
        <v>-0</v>
      </c>
      <c r="AR23" s="110" t="n">
        <f aca="false">-IF(AR$4=DATE(YEAR(Premissas!$B$81),MONTH(Premissas!$B$81),1),Premissas!$B$80,0)</f>
        <v>-0</v>
      </c>
      <c r="AS23" s="110" t="n">
        <f aca="false">-IF(AS$4=DATE(YEAR(Premissas!$B$81),MONTH(Premissas!$B$81),1),Premissas!$B$80,0)</f>
        <v>-0</v>
      </c>
      <c r="AT23" s="110" t="n">
        <f aca="false">-IF(AT$4=DATE(YEAR(Premissas!$B$81),MONTH(Premissas!$B$81),1),Premissas!$B$80,0)</f>
        <v>-0</v>
      </c>
      <c r="AU23" s="110" t="n">
        <f aca="false">-IF(AU$4=DATE(YEAR(Premissas!$B$81),MONTH(Premissas!$B$81),1),Premissas!$B$80,0)</f>
        <v>-0</v>
      </c>
      <c r="AV23" s="110" t="n">
        <f aca="false">-IF(AV$4=DATE(YEAR(Premissas!$B$81),MONTH(Premissas!$B$81),1),Premissas!$B$80,0)</f>
        <v>-0</v>
      </c>
      <c r="AW23" s="110" t="n">
        <f aca="false">-IF(AW$4=DATE(YEAR(Premissas!$B$81),MONTH(Premissas!$B$81),1),Premissas!$B$80,0)</f>
        <v>-0</v>
      </c>
      <c r="AX23" s="110" t="n">
        <f aca="false">-IF(AX$4=DATE(YEAR(Premissas!$B$81),MONTH(Premissas!$B$81),1),Premissas!$B$80,0)</f>
        <v>-0</v>
      </c>
      <c r="AY23" s="110" t="n">
        <f aca="false">-IF(AY$4=DATE(YEAR(Premissas!$B$81),MONTH(Premissas!$B$81),1),Premissas!$B$80,0)</f>
        <v>-0</v>
      </c>
      <c r="AZ23" s="110" t="n">
        <f aca="false">-IF(AZ$4=DATE(YEAR(Premissas!$B$81),MONTH(Premissas!$B$81),1),Premissas!$B$80,0)</f>
        <v>-0</v>
      </c>
      <c r="BA23" s="110" t="n">
        <f aca="false">-IF(BA$4=DATE(YEAR(Premissas!$B$81),MONTH(Premissas!$B$81),1),Premissas!$B$80,0)</f>
        <v>-0</v>
      </c>
      <c r="BB23" s="110" t="n">
        <f aca="false">-IF(BB$4=DATE(YEAR(Premissas!$B$81),MONTH(Premissas!$B$81),1),Premissas!$B$80,0)</f>
        <v>-0</v>
      </c>
      <c r="BC23" s="110" t="n">
        <f aca="false">-IF(BC$4=DATE(YEAR(Premissas!$B$81),MONTH(Premissas!$B$81),1),Premissas!$B$80,0)</f>
        <v>-0</v>
      </c>
      <c r="BD23" s="110" t="n">
        <f aca="false">-IF(BD$4=DATE(YEAR(Premissas!$B$81),MONTH(Premissas!$B$81),1),Premissas!$B$80,0)</f>
        <v>-0</v>
      </c>
      <c r="BE23" s="110" t="n">
        <f aca="false">-IF(BE$4=DATE(YEAR(Premissas!$B$81),MONTH(Premissas!$B$81),1),Premissas!$B$80,0)</f>
        <v>-0</v>
      </c>
      <c r="BF23" s="110" t="n">
        <f aca="false">-IF(BF$4=DATE(YEAR(Premissas!$B$81),MONTH(Premissas!$B$81),1),Premissas!$B$80,0)</f>
        <v>-0</v>
      </c>
      <c r="BG23" s="110" t="n">
        <f aca="false">-IF(BG$4=DATE(YEAR(Premissas!$B$81),MONTH(Premissas!$B$81),1),Premissas!$B$80,0)</f>
        <v>-0</v>
      </c>
      <c r="BH23" s="110" t="n">
        <f aca="false">-IF(BH$4=DATE(YEAR(Premissas!$B$81),MONTH(Premissas!$B$81),1),Premissas!$B$80,0)</f>
        <v>-0</v>
      </c>
      <c r="BI23" s="110" t="n">
        <f aca="false">-IF(BI$4=DATE(YEAR(Premissas!$B$81),MONTH(Premissas!$B$81),1),Premissas!$B$80,0)</f>
        <v>-0</v>
      </c>
      <c r="BJ23" s="111" t="n">
        <f aca="false">SUM(B23:BI23)</f>
        <v>-25000</v>
      </c>
      <c r="BK23" s="141" t="n">
        <f aca="false">IFERROR(BJ23/BJ$28,0)</f>
        <v>0.00056494831818376</v>
      </c>
    </row>
    <row r="24" customFormat="false" ht="15" hidden="false" customHeight="false" outlineLevel="0" collapsed="false">
      <c r="A24" s="27" t="s">
        <v>480</v>
      </c>
      <c r="B24" s="110" t="n">
        <f aca="false">CHOOSE(Premissas!$B$6,Cenários!B29,Cenários!B75,Cenários!B121)</f>
        <v>-0</v>
      </c>
      <c r="C24" s="110" t="n">
        <f aca="false">CHOOSE(Premissas!$B$6,Cenários!C29,Cenários!C75,Cenários!C121)</f>
        <v>-0</v>
      </c>
      <c r="D24" s="110" t="n">
        <f aca="false">CHOOSE(Premissas!$B$6,Cenários!D29,Cenários!D75,Cenários!D121)</f>
        <v>-0</v>
      </c>
      <c r="E24" s="110" t="n">
        <f aca="false">CHOOSE(Premissas!$B$6,Cenários!E29,Cenários!E75,Cenários!E121)</f>
        <v>-0</v>
      </c>
      <c r="F24" s="110" t="n">
        <f aca="false">CHOOSE(Premissas!$B$6,Cenários!F29,Cenários!F75,Cenários!F121)</f>
        <v>-0</v>
      </c>
      <c r="G24" s="110" t="n">
        <f aca="false">CHOOSE(Premissas!$B$6,Cenários!G29,Cenários!G75,Cenários!G121)</f>
        <v>-0</v>
      </c>
      <c r="H24" s="110" t="n">
        <f aca="false">CHOOSE(Premissas!$B$6,Cenários!H29,Cenários!H75,Cenários!H121)</f>
        <v>-0</v>
      </c>
      <c r="I24" s="110" t="n">
        <f aca="false">CHOOSE(Premissas!$B$6,Cenários!I29,Cenários!I75,Cenários!I121)</f>
        <v>-0</v>
      </c>
      <c r="J24" s="110" t="n">
        <f aca="false">CHOOSE(Premissas!$B$6,Cenários!J29,Cenários!J75,Cenários!J121)</f>
        <v>-0</v>
      </c>
      <c r="K24" s="110" t="n">
        <f aca="false">CHOOSE(Premissas!$B$6,Cenários!K29,Cenários!K75,Cenários!K121)</f>
        <v>-520.82475</v>
      </c>
      <c r="L24" s="110" t="n">
        <f aca="false">CHOOSE(Premissas!$B$6,Cenários!L29,Cenários!L75,Cenários!L121)</f>
        <v>-1986.71775</v>
      </c>
      <c r="M24" s="110" t="n">
        <f aca="false">CHOOSE(Premissas!$B$6,Cenários!M29,Cenários!M75,Cenários!M121)</f>
        <v>-4296.087</v>
      </c>
      <c r="N24" s="110" t="n">
        <f aca="false">CHOOSE(Premissas!$B$6,Cenários!N29,Cenários!N75,Cenários!N121)</f>
        <v>-9246.44424</v>
      </c>
      <c r="O24" s="110" t="n">
        <f aca="false">CHOOSE(Premissas!$B$6,Cenários!O29,Cenários!O75,Cenários!O121)</f>
        <v>-14971.76934</v>
      </c>
      <c r="P24" s="110" t="n">
        <f aca="false">CHOOSE(Premissas!$B$6,Cenários!P29,Cenários!P75,Cenários!P121)</f>
        <v>-21741.67644</v>
      </c>
      <c r="Q24" s="110" t="n">
        <f aca="false">CHOOSE(Premissas!$B$6,Cenários!Q29,Cenários!Q75,Cenários!Q121)</f>
        <v>-25237.84098</v>
      </c>
      <c r="R24" s="110" t="n">
        <f aca="false">CHOOSE(Premissas!$B$6,Cenários!R29,Cenários!R75,Cenários!R121)</f>
        <v>-28466.59002</v>
      </c>
      <c r="S24" s="110" t="n">
        <f aca="false">CHOOSE(Premissas!$B$6,Cenários!S29,Cenários!S75,Cenários!S121)</f>
        <v>-31452.94086</v>
      </c>
      <c r="T24" s="110" t="n">
        <f aca="false">CHOOSE(Premissas!$B$6,Cenários!T29,Cenários!T75,Cenários!T121)</f>
        <v>-34221.89826</v>
      </c>
      <c r="U24" s="110" t="n">
        <f aca="false">CHOOSE(Premissas!$B$6,Cenários!U29,Cenários!U75,Cenários!U121)</f>
        <v>-36773.39952</v>
      </c>
      <c r="V24" s="110" t="n">
        <f aca="false">CHOOSE(Premissas!$B$6,Cenários!V29,Cenários!V75,Cenários!V121)</f>
        <v>-39137.50302</v>
      </c>
      <c r="W24" s="110" t="n">
        <f aca="false">CHOOSE(Premissas!$B$6,Cenários!W29,Cenários!W75,Cenários!W121)</f>
        <v>-41321.65752</v>
      </c>
      <c r="X24" s="110" t="n">
        <f aca="false">CHOOSE(Premissas!$B$6,Cenários!X29,Cenários!X75,Cenários!X121)</f>
        <v>-43345.8894</v>
      </c>
      <c r="Y24" s="110" t="n">
        <f aca="false">CHOOSE(Premissas!$B$6,Cenários!Y29,Cenários!Y75,Cenários!Y121)</f>
        <v>-45220.19304</v>
      </c>
      <c r="Z24" s="110" t="n">
        <f aca="false">CHOOSE(Premissas!$B$6,Cenários!Z29,Cenários!Z75,Cenários!Z121)</f>
        <v>-55621.0334511562</v>
      </c>
      <c r="AA24" s="110" t="n">
        <f aca="false">CHOOSE(Premissas!$B$6,Cenários!AA29,Cenários!AA75,Cenários!AA121)</f>
        <v>-60295.7058195937</v>
      </c>
      <c r="AB24" s="110" t="n">
        <f aca="false">CHOOSE(Premissas!$B$6,Cenários!AB29,Cenários!AB75,Cenários!AB121)</f>
        <v>-64642.250611125</v>
      </c>
      <c r="AC24" s="110" t="n">
        <f aca="false">CHOOSE(Premissas!$B$6,Cenários!AC29,Cenários!AC75,Cenários!AC121)</f>
        <v>-68677.7935078125</v>
      </c>
      <c r="AD24" s="110" t="n">
        <f aca="false">CHOOSE(Premissas!$B$6,Cenários!AD29,Cenários!AD75,Cenários!AD121)</f>
        <v>-72434.1902439375</v>
      </c>
      <c r="AE24" s="110" t="n">
        <f aca="false">CHOOSE(Premissas!$B$6,Cenários!AE29,Cenários!AE75,Cenários!AE121)</f>
        <v>-75913.848734625</v>
      </c>
      <c r="AF24" s="110" t="n">
        <f aca="false">CHOOSE(Premissas!$B$6,Cenários!AF29,Cenários!AF75,Cenários!AF121)</f>
        <v>-79156.0081681875</v>
      </c>
      <c r="AG24" s="110" t="n">
        <f aca="false">CHOOSE(Premissas!$B$6,Cenários!AG29,Cenários!AG75,Cenários!AG121)</f>
        <v>-82165.5212307187</v>
      </c>
      <c r="AH24" s="110" t="n">
        <f aca="false">CHOOSE(Premissas!$B$6,Cenários!AH29,Cenários!AH75,Cenários!AH121)</f>
        <v>-84974.2682270625</v>
      </c>
      <c r="AI24" s="110" t="n">
        <f aca="false">CHOOSE(Premissas!$B$6,Cenários!AI29,Cenários!AI75,Cenários!AI121)</f>
        <v>-87572.384076375</v>
      </c>
      <c r="AJ24" s="110" t="n">
        <f aca="false">CHOOSE(Premissas!$B$6,Cenários!AJ29,Cenários!AJ75,Cenários!AJ121)</f>
        <v>-89994.2184250312</v>
      </c>
      <c r="AK24" s="110" t="n">
        <f aca="false">CHOOSE(Premissas!$B$6,Cenários!AK29,Cenários!AK75,Cenários!AK121)</f>
        <v>-92234.8203046875</v>
      </c>
      <c r="AL24" s="110" t="n">
        <f aca="false">CHOOSE(Premissas!$B$6,Cenários!AL29,Cenários!AL75,Cenários!AL121)</f>
        <v>-113103.934377212</v>
      </c>
      <c r="AM24" s="110" t="n">
        <f aca="false">CHOOSE(Premissas!$B$6,Cenários!AM29,Cenários!AM75,Cenários!AM121)</f>
        <v>-120332.469065911</v>
      </c>
      <c r="AN24" s="110" t="n">
        <f aca="false">CHOOSE(Premissas!$B$6,Cenários!AN29,Cenários!AN75,Cenários!AN121)</f>
        <v>-127081.897481623</v>
      </c>
      <c r="AO24" s="110" t="n">
        <f aca="false">CHOOSE(Premissas!$B$6,Cenários!AO29,Cenários!AO75,Cenários!AO121)</f>
        <v>-133389.070160856</v>
      </c>
      <c r="AP24" s="110" t="n">
        <f aca="false">CHOOSE(Premissas!$B$6,Cenários!AP29,Cenários!AP75,Cenários!AP121)</f>
        <v>-139276.097425516</v>
      </c>
      <c r="AQ24" s="110" t="n">
        <f aca="false">CHOOSE(Premissas!$B$6,Cenários!AQ29,Cenários!AQ75,Cenários!AQ121)</f>
        <v>-144767.529867149</v>
      </c>
      <c r="AR24" s="110" t="n">
        <f aca="false">CHOOSE(Premissas!$B$6,Cenários!AR29,Cenários!AR75,Cenários!AR121)</f>
        <v>-149897.790077216</v>
      </c>
      <c r="AS24" s="110" t="n">
        <f aca="false">CHOOSE(Premissas!$B$6,Cenários!AS29,Cenários!AS75,Cenários!AS121)</f>
        <v>-154679.128702303</v>
      </c>
      <c r="AT24" s="110" t="n">
        <f aca="false">CHOOSE(Premissas!$B$6,Cenários!AT29,Cenários!AT75,Cenários!AT121)</f>
        <v>-159150.910496124</v>
      </c>
      <c r="AU24" s="110" t="n">
        <f aca="false">CHOOSE(Premissas!$B$6,Cenários!AU29,Cenários!AU75,Cenários!AU121)</f>
        <v>-163325.386105264</v>
      </c>
      <c r="AV24" s="110" t="n">
        <f aca="false">CHOOSE(Premissas!$B$6,Cenários!AV29,Cenários!AV75,Cenários!AV121)</f>
        <v>-167222.225581988</v>
      </c>
      <c r="AW24" s="110" t="n">
        <f aca="false">CHOOSE(Premissas!$B$6,Cenários!AW29,Cenários!AW75,Cenários!AW121)</f>
        <v>-170853.67957288</v>
      </c>
      <c r="AX24" s="110" t="n">
        <f aca="false">CHOOSE(Premissas!$B$6,Cenários!AX29,Cenários!AX75,Cenários!AX121)</f>
        <v>-210325.621789641</v>
      </c>
      <c r="AY24" s="110" t="n">
        <f aca="false">CHOOSE(Premissas!$B$6,Cenários!AY29,Cenários!AY75,Cenários!AY121)</f>
        <v>-222711.52245076</v>
      </c>
      <c r="AZ24" s="110" t="n">
        <f aca="false">CHOOSE(Premissas!$B$6,Cenários!AZ29,Cenários!AZ75,Cenários!AZ121)</f>
        <v>-234328.468634158</v>
      </c>
      <c r="BA24" s="110" t="n">
        <f aca="false">CHOOSE(Premissas!$B$6,Cenários!BA29,Cenários!BA75,Cenários!BA121)</f>
        <v>-245211.382650794</v>
      </c>
      <c r="BB24" s="110" t="n">
        <f aca="false">CHOOSE(Premissas!$B$6,Cenários!BB29,Cenários!BB75,Cenários!BB121)</f>
        <v>-255417.700370291</v>
      </c>
      <c r="BC24" s="110" t="n">
        <f aca="false">CHOOSE(Premissas!$B$6,Cenários!BC29,Cenários!BC75,Cenários!BC121)</f>
        <v>-264984.873435559</v>
      </c>
      <c r="BD24" s="110" t="n">
        <f aca="false">CHOOSE(Premissas!$B$6,Cenários!BD29,Cenários!BD75,Cenários!BD121)</f>
        <v>-273955.349546188</v>
      </c>
      <c r="BE24" s="110" t="n">
        <f aca="false">CHOOSE(Premissas!$B$6,Cenários!BE29,Cenários!BE75,Cenários!BE121)</f>
        <v>-282369.084634151</v>
      </c>
      <c r="BF24" s="110" t="n">
        <f aca="false">CHOOSE(Premissas!$B$6,Cenários!BF29,Cenários!BF75,Cenários!BF121)</f>
        <v>-290248.504607993</v>
      </c>
      <c r="BG24" s="110" t="n">
        <f aca="false">CHOOSE(Premissas!$B$6,Cenários!BG29,Cenários!BG75,Cenários!BG121)</f>
        <v>-297641.103309761</v>
      </c>
      <c r="BH24" s="110" t="n">
        <f aca="false">CHOOSE(Premissas!$B$6,Cenários!BH29,Cenários!BH75,Cenários!BH121)</f>
        <v>-304571.81093706</v>
      </c>
      <c r="BI24" s="110" t="n">
        <f aca="false">CHOOSE(Premissas!$B$6,Cenários!BI29,Cenários!BI75,Cenários!BI121)</f>
        <v>-311073.108119017</v>
      </c>
      <c r="BJ24" s="111" t="n">
        <f aca="false">SUM(B24:BI24)</f>
        <v>-6227542.12433972</v>
      </c>
      <c r="BK24" s="141" t="n">
        <f aca="false">IFERROR(BJ24/BJ$28,0)</f>
        <v>0.14072957798257</v>
      </c>
    </row>
    <row r="25" customFormat="false" ht="15" hidden="false" customHeight="false" outlineLevel="0" collapsed="false">
      <c r="A25" s="27" t="s">
        <v>481</v>
      </c>
      <c r="B25" s="110" t="n">
        <f aca="false">CHOOSE(Premissas!$B$6,Cenários!B30,Cenários!B76,Cenários!B122)</f>
        <v>-0</v>
      </c>
      <c r="C25" s="110" t="n">
        <f aca="false">CHOOSE(Premissas!$B$6,Cenários!C30,Cenários!C76,Cenários!C122)</f>
        <v>-0</v>
      </c>
      <c r="D25" s="110" t="n">
        <f aca="false">CHOOSE(Premissas!$B$6,Cenários!D30,Cenários!D76,Cenários!D122)</f>
        <v>-0</v>
      </c>
      <c r="E25" s="110" t="n">
        <f aca="false">CHOOSE(Premissas!$B$6,Cenários!E30,Cenários!E76,Cenários!E122)</f>
        <v>-0</v>
      </c>
      <c r="F25" s="110" t="n">
        <f aca="false">CHOOSE(Premissas!$B$6,Cenários!F30,Cenários!F76,Cenários!F122)</f>
        <v>-0</v>
      </c>
      <c r="G25" s="110" t="n">
        <f aca="false">CHOOSE(Premissas!$B$6,Cenários!G30,Cenários!G76,Cenários!G122)</f>
        <v>-0</v>
      </c>
      <c r="H25" s="110" t="n">
        <f aca="false">CHOOSE(Premissas!$B$6,Cenários!H30,Cenários!H76,Cenários!H122)</f>
        <v>-0</v>
      </c>
      <c r="I25" s="110" t="n">
        <f aca="false">CHOOSE(Premissas!$B$6,Cenários!I30,Cenários!I76,Cenários!I122)</f>
        <v>-0</v>
      </c>
      <c r="J25" s="110" t="n">
        <f aca="false">CHOOSE(Premissas!$B$6,Cenários!J30,Cenários!J76,Cenários!J122)</f>
        <v>-0</v>
      </c>
      <c r="K25" s="110" t="n">
        <f aca="false">CHOOSE(Premissas!$B$6,Cenários!K30,Cenários!K76,Cenários!K122)</f>
        <v>-27.573075</v>
      </c>
      <c r="L25" s="110" t="n">
        <f aca="false">CHOOSE(Premissas!$B$6,Cenários!L30,Cenários!L76,Cenários!L122)</f>
        <v>-105.179175</v>
      </c>
      <c r="M25" s="110" t="n">
        <f aca="false">CHOOSE(Premissas!$B$6,Cenários!M30,Cenários!M76,Cenários!M122)</f>
        <v>-227.4399</v>
      </c>
      <c r="N25" s="110" t="n">
        <f aca="false">CHOOSE(Premissas!$B$6,Cenários!N30,Cenários!N76,Cenários!N122)</f>
        <v>-867.0241519056</v>
      </c>
      <c r="O25" s="110" t="n">
        <f aca="false">CHOOSE(Premissas!$B$6,Cenários!O30,Cenários!O76,Cenários!O122)</f>
        <v>-1347.5151386959</v>
      </c>
      <c r="P25" s="110" t="n">
        <f aca="false">CHOOSE(Premissas!$B$6,Cenários!P30,Cenários!P76,Cenários!P122)</f>
        <v>-1902.50768684357</v>
      </c>
      <c r="Q25" s="110" t="n">
        <f aca="false">CHOOSE(Premissas!$B$6,Cenários!Q30,Cenários!Q76,Cenários!Q122)</f>
        <v>-2208.41637941453</v>
      </c>
      <c r="R25" s="110" t="n">
        <f aca="false">CHOOSE(Premissas!$B$6,Cenários!R30,Cenários!R76,Cenários!R122)</f>
        <v>-2490.98294380976</v>
      </c>
      <c r="S25" s="110" t="n">
        <f aca="false">CHOOSE(Premissas!$B$6,Cenários!S30,Cenários!S76,Cenários!S122)</f>
        <v>-2752.33078214806</v>
      </c>
      <c r="T25" s="110" t="n">
        <f aca="false">CHOOSE(Premissas!$B$6,Cenários!T30,Cenários!T76,Cenários!T122)</f>
        <v>-2994.56377378093</v>
      </c>
      <c r="U25" s="110" t="n">
        <f aca="false">CHOOSE(Premissas!$B$6,Cenários!U30,Cenários!U76,Cenários!U122)</f>
        <v>-3217.888553679</v>
      </c>
      <c r="V25" s="110" t="n">
        <f aca="false">CHOOSE(Premissas!$B$6,Cenários!V30,Cenários!V76,Cenários!V122)</f>
        <v>-3424.75494523514</v>
      </c>
      <c r="W25" s="110" t="n">
        <f aca="false">CHOOSE(Premissas!$B$6,Cenários!W30,Cenários!W76,Cenários!W122)</f>
        <v>-3615.90235288626</v>
      </c>
      <c r="X25" s="110" t="n">
        <f aca="false">CHOOSE(Premissas!$B$6,Cenários!X30,Cenários!X76,Cenários!X122)</f>
        <v>-3792.99991036201</v>
      </c>
      <c r="Y25" s="110" t="n">
        <f aca="false">CHOOSE(Premissas!$B$6,Cenários!Y30,Cenários!Y76,Cenários!Y122)</f>
        <v>-3956.95178131879</v>
      </c>
      <c r="Z25" s="110" t="n">
        <f aca="false">CHOOSE(Premissas!$B$6,Cenários!Z30,Cenários!Z76,Cenários!Z122)</f>
        <v>-6598.23748465194</v>
      </c>
      <c r="AA25" s="110" t="n">
        <f aca="false">CHOOSE(Premissas!$B$6,Cenários!AA30,Cenários!AA76,Cenários!AA122)</f>
        <v>-7152.81715894015</v>
      </c>
      <c r="AB25" s="110" t="n">
        <f aca="false">CHOOSE(Premissas!$B$6,Cenários!AB30,Cenários!AB76,Cenários!AB122)</f>
        <v>-7668.42627155966</v>
      </c>
      <c r="AC25" s="110" t="n">
        <f aca="false">CHOOSE(Premissas!$B$6,Cenários!AC30,Cenários!AC76,Cenários!AC122)</f>
        <v>-8147.21267356432</v>
      </c>
      <c r="AD25" s="110" t="n">
        <f aca="false">CHOOSE(Premissas!$B$6,Cenários!AD30,Cenários!AD76,Cenários!AD122)</f>
        <v>-8592.76645195593</v>
      </c>
      <c r="AE25" s="110" t="n">
        <f aca="false">CHOOSE(Premissas!$B$6,Cenários!AE30,Cenários!AE76,Cenários!AE122)</f>
        <v>-9005.70431756516</v>
      </c>
      <c r="AF25" s="110" t="n">
        <f aca="false">CHOOSE(Premissas!$B$6,Cenários!AF30,Cenários!AF76,Cenários!AF122)</f>
        <v>-9390.29953555668</v>
      </c>
      <c r="AG25" s="110" t="n">
        <f aca="false">CHOOSE(Premissas!$B$6,Cenários!AG30,Cenários!AG76,Cenários!AG122)</f>
        <v>-9747.36202627966</v>
      </c>
      <c r="AH25" s="110" t="n">
        <f aca="false">CHOOSE(Premissas!$B$6,Cenários!AH30,Cenários!AH76,Cenários!AH122)</f>
        <v>-10080.3815229761</v>
      </c>
      <c r="AI25" s="110" t="n">
        <f aca="false">CHOOSE(Premissas!$B$6,Cenários!AI30,Cenários!AI76,Cenários!AI122)</f>
        <v>-10388.6518935547</v>
      </c>
      <c r="AJ25" s="110" t="n">
        <f aca="false">CHOOSE(Premissas!$B$6,Cenários!AJ30,Cenários!AJ76,Cenários!AJ122)</f>
        <v>-10675.8686594278</v>
      </c>
      <c r="AK25" s="110" t="n">
        <f aca="false">CHOOSE(Premissas!$B$6,Cenários!AK30,Cenários!AK76,Cenários!AK122)</f>
        <v>-10941.7788622986</v>
      </c>
      <c r="AL25" s="110" t="n">
        <f aca="false">CHOOSE(Premissas!$B$6,Cenários!AL30,Cenários!AL76,Cenários!AL122)</f>
        <v>-16146.9048900641</v>
      </c>
      <c r="AM25" s="110" t="n">
        <f aca="false">CHOOSE(Premissas!$B$6,Cenários!AM30,Cenários!AM76,Cenários!AM122)</f>
        <v>-17178.9712891361</v>
      </c>
      <c r="AN25" s="110" t="n">
        <f aca="false">CHOOSE(Premissas!$B$6,Cenários!AN30,Cenários!AN76,Cenários!AN122)</f>
        <v>-18142.6009783738</v>
      </c>
      <c r="AO25" s="110" t="n">
        <f aca="false">CHOOSE(Premissas!$B$6,Cenários!AO30,Cenários!AO76,Cenários!AO122)</f>
        <v>-19042.9264938895</v>
      </c>
      <c r="AP25" s="110" t="n">
        <f aca="false">CHOOSE(Premissas!$B$6,Cenários!AP30,Cenários!AP76,Cenários!AP122)</f>
        <v>-19883.3053095843</v>
      </c>
      <c r="AQ25" s="110" t="n">
        <f aca="false">CHOOSE(Premissas!$B$6,Cenários!AQ30,Cenários!AQ76,Cenários!AQ122)</f>
        <v>-20667.3279061657</v>
      </c>
      <c r="AR25" s="110" t="n">
        <f aca="false">CHOOSE(Premissas!$B$6,Cenários!AR30,Cenários!AR76,Cenários!AR122)</f>
        <v>-21399.6882410647</v>
      </c>
      <c r="AS25" s="110" t="n">
        <f aca="false">CHOOSE(Premissas!$B$6,Cenários!AS30,Cenários!AS76,Cenários!AS122)</f>
        <v>-22082.4484947027</v>
      </c>
      <c r="AT25" s="110" t="n">
        <f aca="false">CHOOSE(Premissas!$B$6,Cenários!AT30,Cenários!AT76,Cenários!AT122)</f>
        <v>-22720.7921033246</v>
      </c>
      <c r="AU25" s="110" t="n">
        <f aca="false">CHOOSE(Premissas!$B$6,Cenários!AU30,Cenários!AU76,Cenários!AU122)</f>
        <v>-23316.6999285293</v>
      </c>
      <c r="AV25" s="110" t="n">
        <f aca="false">CHOOSE(Premissas!$B$6,Cenários!AV30,Cenários!AV76,Cenários!AV122)</f>
        <v>-23872.9817759387</v>
      </c>
      <c r="AW25" s="110" t="n">
        <f aca="false">CHOOSE(Premissas!$B$6,Cenários!AW30,Cenários!AW76,Cenários!AW122)</f>
        <v>-24391.5476360312</v>
      </c>
      <c r="AX25" s="110" t="n">
        <f aca="false">CHOOSE(Premissas!$B$6,Cenários!AX30,Cenários!AX76,Cenários!AX122)</f>
        <v>-32988.6285289016</v>
      </c>
      <c r="AY25" s="110" t="n">
        <f aca="false">CHOOSE(Premissas!$B$6,Cenários!AY30,Cenários!AY76,Cenários!AY122)</f>
        <v>-34931.2632506913</v>
      </c>
      <c r="AZ25" s="110" t="n">
        <f aca="false">CHOOSE(Premissas!$B$6,Cenários!AZ30,Cenários!AZ76,Cenários!AZ122)</f>
        <v>-36753.1613211508</v>
      </c>
      <c r="BA25" s="110" t="n">
        <f aca="false">CHOOSE(Premissas!$B$6,Cenários!BA30,Cenários!BA76,Cenários!BA122)</f>
        <v>-38460.178817253</v>
      </c>
      <c r="BB25" s="110" t="n">
        <f aca="false">CHOOSE(Premissas!$B$6,Cenários!BB30,Cenários!BB76,Cenários!BB122)</f>
        <v>-40060.9810920285</v>
      </c>
      <c r="BC25" s="110" t="n">
        <f aca="false">CHOOSE(Premissas!$B$6,Cenários!BC30,Cenários!BC76,Cenários!BC122)</f>
        <v>-41561.5841029411</v>
      </c>
      <c r="BD25" s="110" t="n">
        <f aca="false">CHOOSE(Premissas!$B$6,Cenários!BD30,Cenários!BD76,Cenários!BD122)</f>
        <v>-42968.5711590888</v>
      </c>
      <c r="BE25" s="110" t="n">
        <f aca="false">CHOOSE(Premissas!$B$6,Cenários!BE30,Cenários!BE76,Cenários!BE122)</f>
        <v>-44288.1348853387</v>
      </c>
      <c r="BF25" s="110" t="n">
        <f aca="false">CHOOSE(Premissas!$B$6,Cenários!BF30,Cenários!BF76,Cenários!BF122)</f>
        <v>-45524.1481241068</v>
      </c>
      <c r="BG25" s="110" t="n">
        <f aca="false">CHOOSE(Premissas!$B$6,Cenários!BG30,Cenários!BG76,Cenários!BG122)</f>
        <v>-46683.6449330366</v>
      </c>
      <c r="BH25" s="110" t="n">
        <f aca="false">CHOOSE(Premissas!$B$6,Cenários!BH30,Cenários!BH76,Cenários!BH122)</f>
        <v>-47770.7003852996</v>
      </c>
      <c r="BI25" s="110" t="n">
        <f aca="false">CHOOSE(Premissas!$B$6,Cenários!BI30,Cenários!BI76,Cenários!BI122)</f>
        <v>-48790.3059985689</v>
      </c>
      <c r="BJ25" s="111" t="n">
        <f aca="false">SUM(B25:BI25)</f>
        <v>-890949.035053621</v>
      </c>
      <c r="BK25" s="141" t="n">
        <f aca="false">IFERROR(BJ25/BJ$28,0)</f>
        <v>0.0201336063576395</v>
      </c>
    </row>
    <row r="26" customFormat="false" ht="15" hidden="false" customHeight="false" outlineLevel="0" collapsed="false">
      <c r="A26" s="27" t="s">
        <v>482</v>
      </c>
      <c r="B26" s="110" t="n">
        <f aca="false">CHOOSE(Premissas!$B$6,Cenários!B28,Cenários!B74,Cenários!B120)</f>
        <v>-0</v>
      </c>
      <c r="C26" s="110" t="n">
        <f aca="false">CHOOSE(Premissas!$B$6,Cenários!C28,Cenários!C74,Cenários!C120)</f>
        <v>-0</v>
      </c>
      <c r="D26" s="110" t="n">
        <f aca="false">CHOOSE(Premissas!$B$6,Cenários!D28,Cenários!D74,Cenários!D120)</f>
        <v>-0</v>
      </c>
      <c r="E26" s="110" t="n">
        <f aca="false">CHOOSE(Premissas!$B$6,Cenários!E28,Cenários!E74,Cenários!E120)</f>
        <v>-0</v>
      </c>
      <c r="F26" s="110" t="n">
        <f aca="false">CHOOSE(Premissas!$B$6,Cenários!F28,Cenários!F74,Cenários!F120)</f>
        <v>-0</v>
      </c>
      <c r="G26" s="110" t="n">
        <f aca="false">CHOOSE(Premissas!$B$6,Cenários!G28,Cenários!G74,Cenários!G120)</f>
        <v>-0</v>
      </c>
      <c r="H26" s="110" t="n">
        <f aca="false">CHOOSE(Premissas!$B$6,Cenários!H28,Cenários!H74,Cenários!H120)</f>
        <v>-0</v>
      </c>
      <c r="I26" s="110" t="n">
        <f aca="false">CHOOSE(Premissas!$B$6,Cenários!I28,Cenários!I74,Cenários!I120)</f>
        <v>-0</v>
      </c>
      <c r="J26" s="110" t="n">
        <f aca="false">CHOOSE(Premissas!$B$6,Cenários!J28,Cenários!J74,Cenários!J120)</f>
        <v>-0</v>
      </c>
      <c r="K26" s="110" t="n">
        <f aca="false">CHOOSE(Premissas!$B$6,Cenários!K28,Cenários!K74,Cenários!K120)</f>
        <v>-633.1595</v>
      </c>
      <c r="L26" s="110" t="n">
        <f aca="false">CHOOSE(Premissas!$B$6,Cenários!L28,Cenários!L74,Cenários!L120)</f>
        <v>-2415.2255</v>
      </c>
      <c r="M26" s="110" t="n">
        <f aca="false">CHOOSE(Premissas!$B$6,Cenários!M28,Cenários!M74,Cenários!M120)</f>
        <v>-5222.694</v>
      </c>
      <c r="N26" s="110" t="n">
        <f aca="false">CHOOSE(Premissas!$B$6,Cenários!N28,Cenários!N74,Cenários!N120)</f>
        <v>-12541.0755712304</v>
      </c>
      <c r="O26" s="110" t="n">
        <f aca="false">CHOOSE(Premissas!$B$6,Cenários!O28,Cenários!O74,Cenários!O120)</f>
        <v>-20112.2693512859</v>
      </c>
      <c r="P26" s="110" t="n">
        <f aca="false">CHOOSE(Premissas!$B$6,Cenários!P28,Cenários!P74,Cenários!P120)</f>
        <v>-30509.0955523505</v>
      </c>
      <c r="Q26" s="110" t="n">
        <f aca="false">CHOOSE(Premissas!$B$6,Cenários!Q28,Cenários!Q74,Cenários!Q120)</f>
        <v>-37611.0322840983</v>
      </c>
      <c r="R26" s="110" t="n">
        <f aca="false">CHOOSE(Premissas!$B$6,Cenários!R28,Cenários!R74,Cenários!R120)</f>
        <v>-44171.0228049153</v>
      </c>
      <c r="S26" s="110" t="n">
        <f aca="false">CHOOSE(Premissas!$B$6,Cenários!S28,Cenários!S74,Cenários!S120)</f>
        <v>-50455.1728225529</v>
      </c>
      <c r="T26" s="110" t="n">
        <f aca="false">CHOOSE(Premissas!$B$6,Cenários!T28,Cenários!T74,Cenários!T120)</f>
        <v>-56157.7372988573</v>
      </c>
      <c r="U26" s="110" t="n">
        <f aca="false">CHOOSE(Premissas!$B$6,Cenários!U28,Cenários!U74,Cenários!U120)</f>
        <v>-61255.6407064385</v>
      </c>
      <c r="V26" s="110" t="n">
        <f aca="false">CHOOSE(Premissas!$B$6,Cenários!V28,Cenários!V74,Cenários!V120)</f>
        <v>-65880.591331067</v>
      </c>
      <c r="W26" s="110" t="n">
        <f aca="false">CHOOSE(Premissas!$B$6,Cenários!W28,Cenários!W74,Cenários!W120)</f>
        <v>-71481.2207374764</v>
      </c>
      <c r="X26" s="110" t="n">
        <f aca="false">CHOOSE(Premissas!$B$6,Cenários!X28,Cenários!X74,Cenários!X120)</f>
        <v>-76521.1797877149</v>
      </c>
      <c r="Y26" s="110" t="n">
        <f aca="false">CHOOSE(Premissas!$B$6,Cenários!Y28,Cenários!Y74,Cenários!Y120)</f>
        <v>-81054.4330369866</v>
      </c>
      <c r="Z26" s="110" t="n">
        <f aca="false">CHOOSE(Premissas!$B$6,Cenários!Z28,Cenários!Z74,Cenários!Z120)</f>
        <v>-108962.390555631</v>
      </c>
      <c r="AA26" s="110" t="n">
        <f aca="false">CHOOSE(Premissas!$B$6,Cenários!AA28,Cenários!AA74,Cenários!AA120)</f>
        <v>-87743.8920771071</v>
      </c>
      <c r="AB26" s="110" t="n">
        <f aca="false">CHOOSE(Premissas!$B$6,Cenários!AB28,Cenários!AB74,Cenários!AB120)</f>
        <v>-103543.917236153</v>
      </c>
      <c r="AC26" s="110" t="n">
        <f aca="false">CHOOSE(Premissas!$B$6,Cenários!AC28,Cenários!AC74,Cenários!AC120)</f>
        <v>-117852.661115871</v>
      </c>
      <c r="AD26" s="110" t="n">
        <f aca="false">CHOOSE(Premissas!$B$6,Cenários!AD28,Cenários!AD74,Cenários!AD120)</f>
        <v>-110038.883147887</v>
      </c>
      <c r="AE26" s="110" t="n">
        <f aca="false">CHOOSE(Premissas!$B$6,Cenários!AE28,Cenários!AE74,Cenários!AE120)</f>
        <v>-115325.576990393</v>
      </c>
      <c r="AF26" s="110" t="n">
        <f aca="false">CHOOSE(Premissas!$B$6,Cenários!AF28,Cenários!AF74,Cenários!AF120)</f>
        <v>-120250.86120702</v>
      </c>
      <c r="AG26" s="110" t="n">
        <f aca="false">CHOOSE(Premissas!$B$6,Cenários!AG28,Cenários!AG74,Cenários!AG120)</f>
        <v>-124822.95786632</v>
      </c>
      <c r="AH26" s="110" t="n">
        <f aca="false">CHOOSE(Premissas!$B$6,Cenários!AH28,Cenários!AH74,Cenários!AH120)</f>
        <v>-129089.237847684</v>
      </c>
      <c r="AI26" s="110" t="n">
        <f aca="false">CHOOSE(Premissas!$B$6,Cenários!AI28,Cenários!AI74,Cenários!AI120)</f>
        <v>-133036.398891535</v>
      </c>
      <c r="AJ26" s="110" t="n">
        <f aca="false">CHOOSE(Premissas!$B$6,Cenários!AJ28,Cenários!AJ74,Cenários!AJ120)</f>
        <v>-136715.246949485</v>
      </c>
      <c r="AK26" s="110" t="n">
        <f aca="false">CHOOSE(Premissas!$B$6,Cenários!AK28,Cenários!AK74,Cenários!AK120)</f>
        <v>-140119.474109778</v>
      </c>
      <c r="AL26" s="110" t="n">
        <f aca="false">CHOOSE(Premissas!$B$6,Cenários!AL28,Cenários!AL74,Cenários!AL120)</f>
        <v>-181727.806970824</v>
      </c>
      <c r="AM26" s="110" t="n">
        <f aca="false">CHOOSE(Premissas!$B$6,Cenários!AM28,Cenários!AM74,Cenários!AM120)</f>
        <v>-193342.526023442</v>
      </c>
      <c r="AN26" s="110" t="n">
        <f aca="false">CHOOSE(Premissas!$B$6,Cenários!AN28,Cenários!AN74,Cenários!AN120)</f>
        <v>-204187.308830959</v>
      </c>
      <c r="AO26" s="110" t="n">
        <f aca="false">CHOOSE(Premissas!$B$6,Cenários!AO28,Cenários!AO74,Cenários!AO120)</f>
        <v>-214320.898747388</v>
      </c>
      <c r="AP26" s="110" t="n">
        <f aca="false">CHOOSE(Premissas!$B$6,Cenários!AP28,Cenários!AP74,Cenários!AP120)</f>
        <v>-223779.550442914</v>
      </c>
      <c r="AQ26" s="110" t="n">
        <f aca="false">CHOOSE(Premissas!$B$6,Cenários!AQ28,Cenários!AQ74,Cenários!AQ120)</f>
        <v>-232603.020783744</v>
      </c>
      <c r="AR26" s="110" t="n">
        <f aca="false">CHOOSE(Premissas!$B$6,Cenários!AR28,Cenários!AR74,Cenários!AR120)</f>
        <v>-240845.818347748</v>
      </c>
      <c r="AS26" s="110" t="n">
        <f aca="false">CHOOSE(Premissas!$B$6,Cenários!AS28,Cenários!AS74,Cenários!AS120)</f>
        <v>-248528.763429128</v>
      </c>
      <c r="AT26" s="110" t="n">
        <f aca="false">CHOOSE(Premissas!$B$6,Cenários!AT28,Cenários!AT74,Cenários!AT120)</f>
        <v>-255713.521237289</v>
      </c>
      <c r="AU26" s="110" t="n">
        <f aca="false">CHOOSE(Premissas!$B$6,Cenários!AU28,Cenários!AU74,Cenários!AU120)</f>
        <v>-262420.616969461</v>
      </c>
      <c r="AV26" s="110" t="n">
        <f aca="false">CHOOSE(Premissas!$B$6,Cenários!AV28,Cenários!AV74,Cenários!AV120)</f>
        <v>-268681.661228275</v>
      </c>
      <c r="AW26" s="110" t="n">
        <f aca="false">CHOOSE(Premissas!$B$6,Cenários!AW28,Cenários!AW74,Cenários!AW120)</f>
        <v>-274516.922027539</v>
      </c>
      <c r="AX26" s="110" t="n">
        <f aca="false">CHOOSE(Premissas!$B$6,Cenários!AX28,Cenários!AX74,Cenários!AX120)</f>
        <v>-348686.561116537</v>
      </c>
      <c r="AY26" s="110" t="n">
        <f aca="false">CHOOSE(Premissas!$B$6,Cenários!AY28,Cenários!AY74,Cenários!AY120)</f>
        <v>-369220.283860014</v>
      </c>
      <c r="AZ26" s="110" t="n">
        <f aca="false">CHOOSE(Premissas!$B$6,Cenários!AZ28,Cenários!AZ74,Cenários!AZ120)</f>
        <v>-388478.731602918</v>
      </c>
      <c r="BA26" s="110" t="n">
        <f aca="false">CHOOSE(Premissas!$B$6,Cenários!BA28,Cenários!BA74,Cenários!BA120)</f>
        <v>-406521.174153774</v>
      </c>
      <c r="BB26" s="110" t="n">
        <f aca="false">CHOOSE(Premissas!$B$6,Cenários!BB28,Cenários!BB74,Cenários!BB120)</f>
        <v>-423441.58563264</v>
      </c>
      <c r="BC26" s="110" t="n">
        <f aca="false">CHOOSE(Premissas!$B$6,Cenários!BC28,Cenários!BC74,Cenários!BC120)</f>
        <v>-439302.569635962</v>
      </c>
      <c r="BD26" s="110" t="n">
        <f aca="false">CHOOSE(Premissas!$B$6,Cenários!BD28,Cenários!BD74,Cenários!BD120)</f>
        <v>-454174.227656599</v>
      </c>
      <c r="BE26" s="110" t="n">
        <f aca="false">CHOOSE(Premissas!$B$6,Cenários!BE28,Cenários!BE74,Cenários!BE120)</f>
        <v>-468122.530733397</v>
      </c>
      <c r="BF26" s="110" t="n">
        <f aca="false">CHOOSE(Premissas!$B$6,Cenários!BF28,Cenários!BF74,Cenários!BF120)</f>
        <v>-481185.947320271</v>
      </c>
      <c r="BG26" s="110" t="n">
        <f aca="false">CHOOSE(Premissas!$B$6,Cenários!BG28,Cenários!BG74,Cenários!BG120)</f>
        <v>-493441.708193557</v>
      </c>
      <c r="BH26" s="110" t="n">
        <f aca="false">CHOOSE(Premissas!$B$6,Cenários!BH28,Cenários!BH74,Cenários!BH120)</f>
        <v>-504931.742016134</v>
      </c>
      <c r="BI26" s="110" t="n">
        <f aca="false">CHOOSE(Premissas!$B$6,Cenários!BI28,Cenários!BI74,Cenários!BI120)</f>
        <v>-515709.523029265</v>
      </c>
      <c r="BJ26" s="111" t="n">
        <f aca="false">SUM(B26:BI26)</f>
        <v>-10137408.0482696</v>
      </c>
      <c r="BK26" s="141" t="n">
        <f aca="false">IFERROR(BJ26/BJ$28,0)</f>
        <v>0.229084465104497</v>
      </c>
    </row>
    <row r="27" customFormat="false" ht="15" hidden="false" customHeight="false" outlineLevel="0" collapsed="false">
      <c r="A27" s="27" t="s">
        <v>483</v>
      </c>
      <c r="B27" s="110" t="n">
        <f aca="false">-IF(B$4&gt;=Premissas!$B$76,INDEX(Premissas!$C$77:$G$77,B$7),0)</f>
        <v>-0</v>
      </c>
      <c r="C27" s="110" t="n">
        <f aca="false">-IF(C$4&gt;=Premissas!$B$76,INDEX(Premissas!$C$77:$G$77,C$7),0)</f>
        <v>-0</v>
      </c>
      <c r="D27" s="110" t="n">
        <f aca="false">-IF(D$4&gt;=Premissas!$B$76,INDEX(Premissas!$C$77:$G$77,D$7),0)</f>
        <v>-0</v>
      </c>
      <c r="E27" s="110" t="n">
        <f aca="false">-IF(E$4&gt;=Premissas!$B$76,INDEX(Premissas!$C$77:$G$77,E$7),0)</f>
        <v>-1500</v>
      </c>
      <c r="F27" s="110" t="n">
        <f aca="false">-IF(F$4&gt;=Premissas!$B$76,INDEX(Premissas!$C$77:$G$77,F$7),0)</f>
        <v>-1500</v>
      </c>
      <c r="G27" s="110" t="n">
        <f aca="false">-IF(G$4&gt;=Premissas!$B$76,INDEX(Premissas!$C$77:$G$77,G$7),0)</f>
        <v>-1500</v>
      </c>
      <c r="H27" s="110" t="n">
        <f aca="false">-IF(H$4&gt;=Premissas!$B$76,INDEX(Premissas!$C$77:$G$77,H$7),0)</f>
        <v>-1500</v>
      </c>
      <c r="I27" s="110" t="n">
        <f aca="false">-IF(I$4&gt;=Premissas!$B$76,INDEX(Premissas!$C$77:$G$77,I$7),0)</f>
        <v>-1500</v>
      </c>
      <c r="J27" s="110" t="n">
        <f aca="false">-IF(J$4&gt;=Premissas!$B$76,INDEX(Premissas!$C$77:$G$77,J$7),0)</f>
        <v>-1500</v>
      </c>
      <c r="K27" s="110" t="n">
        <f aca="false">-IF(K$4&gt;=Premissas!$B$76,INDEX(Premissas!$C$77:$G$77,K$7),0)</f>
        <v>-1500</v>
      </c>
      <c r="L27" s="110" t="n">
        <f aca="false">-IF(L$4&gt;=Premissas!$B$76,INDEX(Premissas!$C$77:$G$77,L$7),0)</f>
        <v>-1500</v>
      </c>
      <c r="M27" s="110" t="n">
        <f aca="false">-IF(M$4&gt;=Premissas!$B$76,INDEX(Premissas!$C$77:$G$77,M$7),0)</f>
        <v>-1500</v>
      </c>
      <c r="N27" s="110" t="n">
        <f aca="false">-IF(N$4&gt;=Premissas!$B$76,INDEX(Premissas!$C$77:$G$77,N$7),0)</f>
        <v>-6000</v>
      </c>
      <c r="O27" s="110" t="n">
        <f aca="false">-IF(O$4&gt;=Premissas!$B$76,INDEX(Premissas!$C$77:$G$77,O$7),0)</f>
        <v>-6000</v>
      </c>
      <c r="P27" s="110" t="n">
        <f aca="false">-IF(P$4&gt;=Premissas!$B$76,INDEX(Premissas!$C$77:$G$77,P$7),0)</f>
        <v>-6000</v>
      </c>
      <c r="Q27" s="110" t="n">
        <f aca="false">-IF(Q$4&gt;=Premissas!$B$76,INDEX(Premissas!$C$77:$G$77,Q$7),0)</f>
        <v>-6000</v>
      </c>
      <c r="R27" s="110" t="n">
        <f aca="false">-IF(R$4&gt;=Premissas!$B$76,INDEX(Premissas!$C$77:$G$77,R$7),0)</f>
        <v>-6000</v>
      </c>
      <c r="S27" s="110" t="n">
        <f aca="false">-IF(S$4&gt;=Premissas!$B$76,INDEX(Premissas!$C$77:$G$77,S$7),0)</f>
        <v>-6000</v>
      </c>
      <c r="T27" s="110" t="n">
        <f aca="false">-IF(T$4&gt;=Premissas!$B$76,INDEX(Premissas!$C$77:$G$77,T$7),0)</f>
        <v>-6000</v>
      </c>
      <c r="U27" s="110" t="n">
        <f aca="false">-IF(U$4&gt;=Premissas!$B$76,INDEX(Premissas!$C$77:$G$77,U$7),0)</f>
        <v>-6000</v>
      </c>
      <c r="V27" s="110" t="n">
        <f aca="false">-IF(V$4&gt;=Premissas!$B$76,INDEX(Premissas!$C$77:$G$77,V$7),0)</f>
        <v>-6000</v>
      </c>
      <c r="W27" s="110" t="n">
        <f aca="false">-IF(W$4&gt;=Premissas!$B$76,INDEX(Premissas!$C$77:$G$77,W$7),0)</f>
        <v>-6000</v>
      </c>
      <c r="X27" s="110" t="n">
        <f aca="false">-IF(X$4&gt;=Premissas!$B$76,INDEX(Premissas!$C$77:$G$77,X$7),0)</f>
        <v>-6000</v>
      </c>
      <c r="Y27" s="110" t="n">
        <f aca="false">-IF(Y$4&gt;=Premissas!$B$76,INDEX(Premissas!$C$77:$G$77,Y$7),0)</f>
        <v>-6000</v>
      </c>
      <c r="Z27" s="110" t="n">
        <f aca="false">-IF(Z$4&gt;=Premissas!$B$76,INDEX(Premissas!$C$77:$G$77,Z$7),0)</f>
        <v>-25000</v>
      </c>
      <c r="AA27" s="110" t="n">
        <f aca="false">-IF(AA$4&gt;=Premissas!$B$76,INDEX(Premissas!$C$77:$G$77,AA$7),0)</f>
        <v>-25000</v>
      </c>
      <c r="AB27" s="110" t="n">
        <f aca="false">-IF(AB$4&gt;=Premissas!$B$76,INDEX(Premissas!$C$77:$G$77,AB$7),0)</f>
        <v>-25000</v>
      </c>
      <c r="AC27" s="110" t="n">
        <f aca="false">-IF(AC$4&gt;=Premissas!$B$76,INDEX(Premissas!$C$77:$G$77,AC$7),0)</f>
        <v>-25000</v>
      </c>
      <c r="AD27" s="110" t="n">
        <f aca="false">-IF(AD$4&gt;=Premissas!$B$76,INDEX(Premissas!$C$77:$G$77,AD$7),0)</f>
        <v>-25000</v>
      </c>
      <c r="AE27" s="110" t="n">
        <f aca="false">-IF(AE$4&gt;=Premissas!$B$76,INDEX(Premissas!$C$77:$G$77,AE$7),0)</f>
        <v>-25000</v>
      </c>
      <c r="AF27" s="110" t="n">
        <f aca="false">-IF(AF$4&gt;=Premissas!$B$76,INDEX(Premissas!$C$77:$G$77,AF$7),0)</f>
        <v>-25000</v>
      </c>
      <c r="AG27" s="110" t="n">
        <f aca="false">-IF(AG$4&gt;=Premissas!$B$76,INDEX(Premissas!$C$77:$G$77,AG$7),0)</f>
        <v>-25000</v>
      </c>
      <c r="AH27" s="110" t="n">
        <f aca="false">-IF(AH$4&gt;=Premissas!$B$76,INDEX(Premissas!$C$77:$G$77,AH$7),0)</f>
        <v>-25000</v>
      </c>
      <c r="AI27" s="110" t="n">
        <f aca="false">-IF(AI$4&gt;=Premissas!$B$76,INDEX(Premissas!$C$77:$G$77,AI$7),0)</f>
        <v>-25000</v>
      </c>
      <c r="AJ27" s="110" t="n">
        <f aca="false">-IF(AJ$4&gt;=Premissas!$B$76,INDEX(Premissas!$C$77:$G$77,AJ$7),0)</f>
        <v>-25000</v>
      </c>
      <c r="AK27" s="110" t="n">
        <f aca="false">-IF(AK$4&gt;=Premissas!$B$76,INDEX(Premissas!$C$77:$G$77,AK$7),0)</f>
        <v>-25000</v>
      </c>
      <c r="AL27" s="110" t="n">
        <f aca="false">-IF(AL$4&gt;=Premissas!$B$76,INDEX(Premissas!$C$77:$G$77,AL$7),0)</f>
        <v>-60000</v>
      </c>
      <c r="AM27" s="110" t="n">
        <f aca="false">-IF(AM$4&gt;=Premissas!$B$76,INDEX(Premissas!$C$77:$G$77,AM$7),0)</f>
        <v>-60000</v>
      </c>
      <c r="AN27" s="110" t="n">
        <f aca="false">-IF(AN$4&gt;=Premissas!$B$76,INDEX(Premissas!$C$77:$G$77,AN$7),0)</f>
        <v>-60000</v>
      </c>
      <c r="AO27" s="110" t="n">
        <f aca="false">-IF(AO$4&gt;=Premissas!$B$76,INDEX(Premissas!$C$77:$G$77,AO$7),0)</f>
        <v>-60000</v>
      </c>
      <c r="AP27" s="110" t="n">
        <f aca="false">-IF(AP$4&gt;=Premissas!$B$76,INDEX(Premissas!$C$77:$G$77,AP$7),0)</f>
        <v>-60000</v>
      </c>
      <c r="AQ27" s="110" t="n">
        <f aca="false">-IF(AQ$4&gt;=Premissas!$B$76,INDEX(Premissas!$C$77:$G$77,AQ$7),0)</f>
        <v>-60000</v>
      </c>
      <c r="AR27" s="110" t="n">
        <f aca="false">-IF(AR$4&gt;=Premissas!$B$76,INDEX(Premissas!$C$77:$G$77,AR$7),0)</f>
        <v>-60000</v>
      </c>
      <c r="AS27" s="110" t="n">
        <f aca="false">-IF(AS$4&gt;=Premissas!$B$76,INDEX(Premissas!$C$77:$G$77,AS$7),0)</f>
        <v>-60000</v>
      </c>
      <c r="AT27" s="110" t="n">
        <f aca="false">-IF(AT$4&gt;=Premissas!$B$76,INDEX(Premissas!$C$77:$G$77,AT$7),0)</f>
        <v>-60000</v>
      </c>
      <c r="AU27" s="110" t="n">
        <f aca="false">-IF(AU$4&gt;=Premissas!$B$76,INDEX(Premissas!$C$77:$G$77,AU$7),0)</f>
        <v>-60000</v>
      </c>
      <c r="AV27" s="110" t="n">
        <f aca="false">-IF(AV$4&gt;=Premissas!$B$76,INDEX(Premissas!$C$77:$G$77,AV$7),0)</f>
        <v>-60000</v>
      </c>
      <c r="AW27" s="110" t="n">
        <f aca="false">-IF(AW$4&gt;=Premissas!$B$76,INDEX(Premissas!$C$77:$G$77,AW$7),0)</f>
        <v>-60000</v>
      </c>
      <c r="AX27" s="110" t="n">
        <f aca="false">-IF(AX$4&gt;=Premissas!$B$76,INDEX(Premissas!$C$77:$G$77,AX$7),0)</f>
        <v>-110000</v>
      </c>
      <c r="AY27" s="110" t="n">
        <f aca="false">-IF(AY$4&gt;=Premissas!$B$76,INDEX(Premissas!$C$77:$G$77,AY$7),0)</f>
        <v>-110000</v>
      </c>
      <c r="AZ27" s="110" t="n">
        <f aca="false">-IF(AZ$4&gt;=Premissas!$B$76,INDEX(Premissas!$C$77:$G$77,AZ$7),0)</f>
        <v>-110000</v>
      </c>
      <c r="BA27" s="110" t="n">
        <f aca="false">-IF(BA$4&gt;=Premissas!$B$76,INDEX(Premissas!$C$77:$G$77,BA$7),0)</f>
        <v>-110000</v>
      </c>
      <c r="BB27" s="110" t="n">
        <f aca="false">-IF(BB$4&gt;=Premissas!$B$76,INDEX(Premissas!$C$77:$G$77,BB$7),0)</f>
        <v>-110000</v>
      </c>
      <c r="BC27" s="110" t="n">
        <f aca="false">-IF(BC$4&gt;=Premissas!$B$76,INDEX(Premissas!$C$77:$G$77,BC$7),0)</f>
        <v>-110000</v>
      </c>
      <c r="BD27" s="110" t="n">
        <f aca="false">-IF(BD$4&gt;=Premissas!$B$76,INDEX(Premissas!$C$77:$G$77,BD$7),0)</f>
        <v>-110000</v>
      </c>
      <c r="BE27" s="110" t="n">
        <f aca="false">-IF(BE$4&gt;=Premissas!$B$76,INDEX(Premissas!$C$77:$G$77,BE$7),0)</f>
        <v>-110000</v>
      </c>
      <c r="BF27" s="110" t="n">
        <f aca="false">-IF(BF$4&gt;=Premissas!$B$76,INDEX(Premissas!$C$77:$G$77,BF$7),0)</f>
        <v>-110000</v>
      </c>
      <c r="BG27" s="110" t="n">
        <f aca="false">-IF(BG$4&gt;=Premissas!$B$76,INDEX(Premissas!$C$77:$G$77,BG$7),0)</f>
        <v>-110000</v>
      </c>
      <c r="BH27" s="110" t="n">
        <f aca="false">-IF(BH$4&gt;=Premissas!$B$76,INDEX(Premissas!$C$77:$G$77,BH$7),0)</f>
        <v>-110000</v>
      </c>
      <c r="BI27" s="110" t="n">
        <f aca="false">-IF(BI$4&gt;=Premissas!$B$76,INDEX(Premissas!$C$77:$G$77,BI$7),0)</f>
        <v>-110000</v>
      </c>
      <c r="BJ27" s="111" t="n">
        <f aca="false">SUM(B27:BI27)</f>
        <v>-2425500</v>
      </c>
      <c r="BK27" s="141" t="n">
        <f aca="false">IFERROR(BJ27/BJ$28,0)</f>
        <v>0.0548112858301884</v>
      </c>
    </row>
    <row r="28" customFormat="false" ht="15" hidden="false" customHeight="false" outlineLevel="0" collapsed="false">
      <c r="A28" s="51" t="s">
        <v>484</v>
      </c>
      <c r="B28" s="111" t="n">
        <f aca="false">SUM(B16:B27)</f>
        <v>0</v>
      </c>
      <c r="C28" s="111" t="n">
        <f aca="false">SUM(C16:C27)</f>
        <v>0</v>
      </c>
      <c r="D28" s="111" t="n">
        <f aca="false">SUM(D16:D27)</f>
        <v>0</v>
      </c>
      <c r="E28" s="111" t="n">
        <f aca="false">SUM(E16:E27)</f>
        <v>-1500</v>
      </c>
      <c r="F28" s="111" t="n">
        <f aca="false">SUM(F16:F27)</f>
        <v>-2100</v>
      </c>
      <c r="G28" s="111" t="n">
        <f aca="false">SUM(G16:G27)</f>
        <v>-2100</v>
      </c>
      <c r="H28" s="111" t="n">
        <f aca="false">SUM(H16:H27)</f>
        <v>-2100</v>
      </c>
      <c r="I28" s="111" t="n">
        <f aca="false">SUM(I16:I27)</f>
        <v>-2100</v>
      </c>
      <c r="J28" s="111" t="n">
        <f aca="false">SUM(J16:J27)</f>
        <v>-2100</v>
      </c>
      <c r="K28" s="111" t="n">
        <f aca="false">SUM(K16:K27)</f>
        <v>-63594.887325</v>
      </c>
      <c r="L28" s="111" t="n">
        <f aca="false">SUM(L16:L27)</f>
        <v>-43036.732425</v>
      </c>
      <c r="M28" s="111" t="n">
        <f aca="false">SUM(M16:M27)</f>
        <v>-49813.8177</v>
      </c>
      <c r="N28" s="111" t="n">
        <f aca="false">SUM(N16:N27)</f>
        <v>-147643.842715776</v>
      </c>
      <c r="O28" s="111" t="n">
        <f aca="false">SUM(O16:O27)</f>
        <v>-164600.174100423</v>
      </c>
      <c r="P28" s="111" t="n">
        <f aca="false">SUM(P16:P27)</f>
        <v>-185972.695849298</v>
      </c>
      <c r="Q28" s="111" t="n">
        <f aca="false">SUM(Q16:Q27)</f>
        <v>-198924.942021625</v>
      </c>
      <c r="R28" s="111" t="n">
        <f aca="false">SUM(R16:R27)</f>
        <v>-210890.666656003</v>
      </c>
      <c r="S28" s="111" t="n">
        <f aca="false">SUM(S16:S27)</f>
        <v>-222173.608053256</v>
      </c>
      <c r="T28" s="111" t="n">
        <f aca="false">SUM(T16:T27)</f>
        <v>-232507.144395334</v>
      </c>
      <c r="U28" s="111" t="n">
        <f aca="false">SUM(U16:U27)</f>
        <v>-241878.533190099</v>
      </c>
      <c r="V28" s="111" t="n">
        <f aca="false">SUM(V16:V27)</f>
        <v>-250458.685486653</v>
      </c>
      <c r="W28" s="111" t="n">
        <f aca="false">SUM(W16:W27)</f>
        <v>-259716.031151199</v>
      </c>
      <c r="X28" s="111" t="n">
        <f aca="false">SUM(X16:X27)</f>
        <v>-268142.371630242</v>
      </c>
      <c r="Y28" s="111" t="n">
        <f aca="false">SUM(Y16:Y27)</f>
        <v>-275808.918680052</v>
      </c>
      <c r="Z28" s="111" t="n">
        <f aca="false">SUM(Z16:Z27)</f>
        <v>-495915.749013248</v>
      </c>
      <c r="AA28" s="111" t="n">
        <f aca="false">SUM(AA16:AA27)</f>
        <v>-482172.01086291</v>
      </c>
      <c r="AB28" s="111" t="n">
        <f aca="false">SUM(AB16:AB27)</f>
        <v>-504921.236250524</v>
      </c>
      <c r="AC28" s="111" t="n">
        <f aca="false">SUM(AC16:AC27)</f>
        <v>-525683.475656756</v>
      </c>
      <c r="AD28" s="111" t="n">
        <f aca="false">SUM(AD16:AD27)</f>
        <v>-523874.807539422</v>
      </c>
      <c r="AE28" s="111" t="n">
        <f aca="false">SUM(AE16:AE27)</f>
        <v>-534728.696670981</v>
      </c>
      <c r="AF28" s="111" t="n">
        <f aca="false">SUM(AF16:AF27)</f>
        <v>-544836.963080352</v>
      </c>
      <c r="AG28" s="111" t="n">
        <f aca="false">SUM(AG16:AG27)</f>
        <v>-554222.135564768</v>
      </c>
      <c r="AH28" s="111" t="n">
        <f aca="false">SUM(AH16:AH27)</f>
        <v>-562975.494254313</v>
      </c>
      <c r="AI28" s="111" t="n">
        <f aca="false">SUM(AI16:AI27)</f>
        <v>-571078.743395301</v>
      </c>
      <c r="AJ28" s="111" t="n">
        <f aca="false">SUM(AJ16:AJ27)</f>
        <v>-578627.653223814</v>
      </c>
      <c r="AK28" s="111" t="n">
        <f aca="false">SUM(AK16:AK27)</f>
        <v>-585616.114820486</v>
      </c>
      <c r="AL28" s="111" t="n">
        <f aca="false">SUM(AL16:AL27)</f>
        <v>-970638.518253759</v>
      </c>
      <c r="AM28" s="111" t="n">
        <f aca="false">SUM(AM16:AM27)</f>
        <v>-993350.268041903</v>
      </c>
      <c r="AN28" s="111" t="n">
        <f aca="false">SUM(AN16:AN27)</f>
        <v>-1014555.28913073</v>
      </c>
      <c r="AO28" s="111" t="n">
        <f aca="false">SUM(AO16:AO27)</f>
        <v>-1034368.94201081</v>
      </c>
      <c r="AP28" s="111" t="n">
        <f aca="false">SUM(AP16:AP27)</f>
        <v>-1052862.39137753</v>
      </c>
      <c r="AQ28" s="111" t="n">
        <f aca="false">SUM(AQ16:AQ27)</f>
        <v>-1070115.38432417</v>
      </c>
      <c r="AR28" s="111" t="n">
        <f aca="false">SUM(AR16:AR27)</f>
        <v>-1086232.01523566</v>
      </c>
      <c r="AS28" s="111" t="n">
        <f aca="false">SUM(AS16:AS27)</f>
        <v>-1101256.5142292</v>
      </c>
      <c r="AT28" s="111" t="n">
        <f aca="false">SUM(AT16:AT27)</f>
        <v>-1115304.09156522</v>
      </c>
      <c r="AU28" s="111" t="n">
        <f aca="false">SUM(AU16:AU27)</f>
        <v>-1128418.4073289</v>
      </c>
      <c r="AV28" s="111" t="n">
        <f aca="false">SUM(AV16:AV27)</f>
        <v>-1140659.83809071</v>
      </c>
      <c r="AW28" s="111" t="n">
        <f aca="false">SUM(AW16:AW27)</f>
        <v>-1152071.54714054</v>
      </c>
      <c r="AX28" s="111" t="n">
        <f aca="false">SUM(AX16:AX27)</f>
        <v>-1666326.10222492</v>
      </c>
      <c r="AY28" s="111" t="n">
        <f aca="false">SUM(AY16:AY27)</f>
        <v>-1705288.71016968</v>
      </c>
      <c r="AZ28" s="111" t="n">
        <f aca="false">SUM(AZ16:AZ27)</f>
        <v>-1741830.17779315</v>
      </c>
      <c r="BA28" s="111" t="n">
        <f aca="false">SUM(BA16:BA27)</f>
        <v>-1776065.64032144</v>
      </c>
      <c r="BB28" s="111" t="n">
        <f aca="false">SUM(BB16:BB27)</f>
        <v>-1808172.36760434</v>
      </c>
      <c r="BC28" s="111" t="n">
        <f aca="false">SUM(BC16:BC27)</f>
        <v>-1838268.93297436</v>
      </c>
      <c r="BD28" s="111" t="n">
        <f aca="false">SUM(BD16:BD27)</f>
        <v>-1866487.96321442</v>
      </c>
      <c r="BE28" s="111" t="n">
        <f aca="false">SUM(BE16:BE27)</f>
        <v>-1892953.80326994</v>
      </c>
      <c r="BF28" s="111" t="n">
        <f aca="false">SUM(BF16:BF27)</f>
        <v>-1917743.32012927</v>
      </c>
      <c r="BG28" s="111" t="n">
        <f aca="false">SUM(BG16:BG27)</f>
        <v>-1940997.98452847</v>
      </c>
      <c r="BH28" s="111" t="n">
        <f aca="false">SUM(BH16:BH27)</f>
        <v>-1962800.60209081</v>
      </c>
      <c r="BI28" s="111" t="n">
        <f aca="false">SUM(BI16:BI27)</f>
        <v>-1983250.4824173</v>
      </c>
      <c r="BJ28" s="111" t="n">
        <f aca="false">SUM(B28:BI28)</f>
        <v>-44251835.4251801</v>
      </c>
    </row>
    <row r="30" customFormat="false" ht="18" hidden="false" customHeight="true" outlineLevel="0" collapsed="false">
      <c r="A30" s="25" t="s">
        <v>485</v>
      </c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</row>
    <row r="31" customFormat="false" ht="15" hidden="false" customHeight="false" outlineLevel="0" collapsed="false">
      <c r="A31" s="27" t="s">
        <v>486</v>
      </c>
      <c r="B31" s="113" t="n">
        <f aca="false">CHOOSE(Premissas!$B$6,Cenários!B25,Cenários!B71,Cenários!B117)</f>
        <v>0</v>
      </c>
      <c r="C31" s="113" t="n">
        <f aca="false">CHOOSE(Premissas!$B$6,Cenários!C25,Cenários!C71,Cenários!C117)</f>
        <v>0</v>
      </c>
      <c r="D31" s="113" t="n">
        <f aca="false">CHOOSE(Premissas!$B$6,Cenários!D25,Cenários!D71,Cenários!D117)</f>
        <v>0</v>
      </c>
      <c r="E31" s="113" t="n">
        <f aca="false">CHOOSE(Premissas!$B$6,Cenários!E25,Cenários!E71,Cenários!E117)</f>
        <v>0</v>
      </c>
      <c r="F31" s="113" t="n">
        <f aca="false">CHOOSE(Premissas!$B$6,Cenários!F25,Cenários!F71,Cenários!F117)</f>
        <v>0</v>
      </c>
      <c r="G31" s="113" t="n">
        <f aca="false">CHOOSE(Premissas!$B$6,Cenários!G25,Cenários!G71,Cenários!G117)</f>
        <v>0</v>
      </c>
      <c r="H31" s="113" t="n">
        <f aca="false">CHOOSE(Premissas!$B$6,Cenários!H25,Cenários!H71,Cenários!H117)</f>
        <v>0</v>
      </c>
      <c r="I31" s="113" t="n">
        <f aca="false">CHOOSE(Premissas!$B$6,Cenários!I25,Cenários!I71,Cenários!I117)</f>
        <v>0</v>
      </c>
      <c r="J31" s="113" t="n">
        <f aca="false">CHOOSE(Premissas!$B$6,Cenários!J25,Cenários!J71,Cenários!J117)</f>
        <v>0</v>
      </c>
      <c r="K31" s="113" t="n">
        <f aca="false">CHOOSE(Premissas!$B$6,Cenários!K25,Cenários!K71,Cenários!K117)</f>
        <v>4084.9</v>
      </c>
      <c r="L31" s="113" t="n">
        <f aca="false">CHOOSE(Premissas!$B$6,Cenários!L25,Cenários!L71,Cenários!L117)</f>
        <v>15582.1</v>
      </c>
      <c r="M31" s="113" t="n">
        <f aca="false">CHOOSE(Premissas!$B$6,Cenários!M25,Cenários!M71,Cenários!M117)</f>
        <v>33694.8</v>
      </c>
      <c r="N31" s="113" t="n">
        <f aca="false">CHOOSE(Premissas!$B$6,Cenários!N25,Cenários!N71,Cenários!N117)</f>
        <v>80910.16497568</v>
      </c>
      <c r="O31" s="113" t="n">
        <f aca="false">CHOOSE(Premissas!$B$6,Cenários!O25,Cenários!O71,Cenários!O117)</f>
        <v>129756.576459909</v>
      </c>
      <c r="P31" s="113" t="n">
        <f aca="false">CHOOSE(Premissas!$B$6,Cenários!P25,Cenários!P71,Cenários!P117)</f>
        <v>187222.458196524</v>
      </c>
      <c r="Q31" s="113" t="n">
        <f aca="false">CHOOSE(Premissas!$B$6,Cenários!Q25,Cenários!Q71,Cenários!Q117)</f>
        <v>217328.192742545</v>
      </c>
      <c r="R31" s="113" t="n">
        <f aca="false">CHOOSE(Premissas!$B$6,Cenários!R25,Cenários!R71,Cenários!R117)</f>
        <v>245132.443329106</v>
      </c>
      <c r="S31" s="113" t="n">
        <f aca="false">CHOOSE(Premissas!$B$6,Cenários!S25,Cenários!S71,Cenários!S117)</f>
        <v>270849.178669957</v>
      </c>
      <c r="T31" s="113" t="n">
        <f aca="false">CHOOSE(Premissas!$B$6,Cenários!T25,Cenários!T71,Cenários!T117)</f>
        <v>294691.850039576</v>
      </c>
      <c r="U31" s="113" t="n">
        <f aca="false">CHOOSE(Premissas!$B$6,Cenários!U25,Cenários!U71,Cenários!U117)</f>
        <v>316664.6313262</v>
      </c>
      <c r="V31" s="113" t="n">
        <f aca="false">CHOOSE(Premissas!$B$6,Cenários!V25,Cenários!V71,Cenários!V117)</f>
        <v>337022.35224967</v>
      </c>
      <c r="W31" s="113" t="n">
        <f aca="false">CHOOSE(Premissas!$B$6,Cenários!W25,Cenários!W71,Cenários!W117)</f>
        <v>355831.102419695</v>
      </c>
      <c r="X31" s="113" t="n">
        <f aca="false">CHOOSE(Premissas!$B$6,Cenários!X25,Cenários!X71,Cenários!X117)</f>
        <v>373261.482896934</v>
      </c>
      <c r="Y31" s="113" t="n">
        <f aca="false">CHOOSE(Premissas!$B$6,Cenários!Y25,Cenários!Y71,Cenários!Y117)</f>
        <v>389400.215407084</v>
      </c>
      <c r="Z31" s="113" t="n">
        <f aca="false">CHOOSE(Premissas!$B$6,Cenários!Z25,Cenários!Z71,Cenários!Z117)</f>
        <v>517434.389333307</v>
      </c>
      <c r="AA31" s="113" t="n">
        <f aca="false">CHOOSE(Premissas!$B$6,Cenários!AA25,Cenários!AA71,Cenários!AA117)</f>
        <v>560922.864551517</v>
      </c>
      <c r="AB31" s="113" t="n">
        <f aca="false">CHOOSE(Premissas!$B$6,Cenários!AB25,Cenários!AB71,Cenários!AB117)</f>
        <v>601357.810108826</v>
      </c>
      <c r="AC31" s="113" t="n">
        <f aca="false">CHOOSE(Premissas!$B$6,Cenários!AC25,Cenários!AC71,Cenários!AC117)</f>
        <v>638901.127242402</v>
      </c>
      <c r="AD31" s="113" t="n">
        <f aca="false">CHOOSE(Premissas!$B$6,Cenários!AD25,Cenários!AD71,Cenários!AD117)</f>
        <v>673844.967225271</v>
      </c>
      <c r="AE31" s="113" t="n">
        <f aca="false">CHOOSE(Premissas!$B$6,Cenários!AE25,Cenários!AE71,Cenários!AE117)</f>
        <v>706219.087510059</v>
      </c>
      <c r="AF31" s="113" t="n">
        <f aca="false">CHOOSE(Premissas!$B$6,Cenários!AF25,Cenários!AF71,Cenários!AF117)</f>
        <v>736380.044133621</v>
      </c>
      <c r="AG31" s="113" t="n">
        <f aca="false">CHOOSE(Premissas!$B$6,Cenários!AG25,Cenários!AG71,Cenários!AG117)</f>
        <v>764378.186566562</v>
      </c>
      <c r="AH31" s="113" t="n">
        <f aca="false">CHOOSE(Premissas!$B$6,Cenários!AH25,Cenários!AH71,Cenários!AH117)</f>
        <v>790503.599802107</v>
      </c>
      <c r="AI31" s="113" t="n">
        <f aca="false">CHOOSE(Premissas!$B$6,Cenários!AI25,Cenários!AI71,Cenários!AI117)</f>
        <v>814674.824810381</v>
      </c>
      <c r="AJ31" s="113" t="n">
        <f aca="false">CHOOSE(Premissas!$B$6,Cenários!AJ25,Cenários!AJ71,Cenários!AJ117)</f>
        <v>837202.981931937</v>
      </c>
      <c r="AK31" s="113" t="n">
        <f aca="false">CHOOSE(Premissas!$B$6,Cenários!AK25,Cenários!AK71,Cenários!AK117)</f>
        <v>858049.443415664</v>
      </c>
      <c r="AL31" s="113" t="n">
        <f aca="false">CHOOSE(Premissas!$B$6,Cenários!AL25,Cenários!AL71,Cenários!AL117)</f>
        <v>1112846.3378495</v>
      </c>
      <c r="AM31" s="113" t="n">
        <f aca="false">CHOOSE(Premissas!$B$6,Cenários!AM25,Cenários!AM71,Cenários!AM117)</f>
        <v>1183971.37797576</v>
      </c>
      <c r="AN31" s="113" t="n">
        <f aca="false">CHOOSE(Premissas!$B$6,Cenários!AN25,Cenários!AN71,Cenários!AN117)</f>
        <v>1250381.56050801</v>
      </c>
      <c r="AO31" s="113" t="n">
        <f aca="false">CHOOSE(Premissas!$B$6,Cenários!AO25,Cenários!AO71,Cenários!AO117)</f>
        <v>1312436.61204769</v>
      </c>
      <c r="AP31" s="113" t="n">
        <f aca="false">CHOOSE(Premissas!$B$6,Cenários!AP25,Cenários!AP71,Cenários!AP117)</f>
        <v>1370358.54527198</v>
      </c>
      <c r="AQ31" s="113" t="n">
        <f aca="false">CHOOSE(Premissas!$B$6,Cenários!AQ25,Cenários!AQ71,Cenários!AQ117)</f>
        <v>1424390.81925134</v>
      </c>
      <c r="AR31" s="113" t="n">
        <f aca="false">CHOOSE(Premissas!$B$6,Cenários!AR25,Cenários!AR71,Cenários!AR117)</f>
        <v>1474867.22809399</v>
      </c>
      <c r="AS31" s="113" t="n">
        <f aca="false">CHOOSE(Premissas!$B$6,Cenários!AS25,Cenários!AS71,Cenários!AS117)</f>
        <v>1521915.26900874</v>
      </c>
      <c r="AT31" s="113" t="n">
        <f aca="false">CHOOSE(Premissas!$B$6,Cenários!AT25,Cenários!AT71,Cenários!AT117)</f>
        <v>1565912.56115915</v>
      </c>
      <c r="AU31" s="113" t="n">
        <f aca="false">CHOOSE(Premissas!$B$6,Cenários!AU25,Cenários!AU71,Cenários!AU117)</f>
        <v>1606984.79466908</v>
      </c>
      <c r="AV31" s="113" t="n">
        <f aca="false">CHOOSE(Premissas!$B$6,Cenários!AV25,Cenários!AV71,Cenários!AV117)</f>
        <v>1645325.54334522</v>
      </c>
      <c r="AW31" s="113" t="n">
        <f aca="false">CHOOSE(Premissas!$B$6,Cenários!AW25,Cenários!AW71,Cenários!AW117)</f>
        <v>1681058.92239767</v>
      </c>
      <c r="AX31" s="113" t="n">
        <f aca="false">CHOOSE(Premissas!$B$6,Cenários!AX25,Cenários!AX71,Cenários!AX117)</f>
        <v>2135251.44590653</v>
      </c>
      <c r="AY31" s="113" t="n">
        <f aca="false">CHOOSE(Premissas!$B$6,Cenários!AY25,Cenários!AY71,Cenários!AY117)</f>
        <v>2260993.77746488</v>
      </c>
      <c r="AZ31" s="113" t="n">
        <f aca="false">CHOOSE(Premissas!$B$6,Cenários!AZ25,Cenários!AZ71,Cenários!AZ117)</f>
        <v>2378926.70914218</v>
      </c>
      <c r="BA31" s="113" t="n">
        <f aca="false">CHOOSE(Premissas!$B$6,Cenários!BA25,Cenários!BA71,Cenários!BA117)</f>
        <v>2489413.1913887</v>
      </c>
      <c r="BB31" s="113" t="n">
        <f aca="false">CHOOSE(Premissas!$B$6,Cenários!BB25,Cenários!BB71,Cenários!BB117)</f>
        <v>2593028.69340257</v>
      </c>
      <c r="BC31" s="113" t="n">
        <f aca="false">CHOOSE(Premissas!$B$6,Cenários!BC25,Cenários!BC71,Cenários!BC117)</f>
        <v>2690156.58074686</v>
      </c>
      <c r="BD31" s="113" t="n">
        <f aca="false">CHOOSE(Premissas!$B$6,Cenários!BD25,Cenários!BD71,Cenários!BD117)</f>
        <v>2781226.13384323</v>
      </c>
      <c r="BE31" s="113" t="n">
        <f aca="false">CHOOSE(Premissas!$B$6,Cenários!BE25,Cenários!BE71,Cenários!BE117)</f>
        <v>2866641.33945742</v>
      </c>
      <c r="BF31" s="113" t="n">
        <f aca="false">CHOOSE(Premissas!$B$6,Cenários!BF25,Cenários!BF71,Cenários!BF117)</f>
        <v>2946637.76681122</v>
      </c>
      <c r="BG31" s="113" t="n">
        <f aca="false">CHOOSE(Premissas!$B$6,Cenários!BG25,Cenários!BG71,Cenários!BG117)</f>
        <v>3021688.35391033</v>
      </c>
      <c r="BH31" s="113" t="n">
        <f aca="false">CHOOSE(Premissas!$B$6,Cenários!BH25,Cenários!BH71,Cenários!BH117)</f>
        <v>3092049.85925373</v>
      </c>
      <c r="BI31" s="113" t="n">
        <f aca="false">CHOOSE(Premissas!$B$6,Cenários!BI25,Cenários!BI71,Cenários!BI117)</f>
        <v>3158049.74298386</v>
      </c>
      <c r="BJ31" s="111" t="n">
        <f aca="false">SUM(B31:BI31)</f>
        <v>61315814.9412342</v>
      </c>
    </row>
    <row r="32" customFormat="false" ht="15" hidden="false" customHeight="false" outlineLevel="0" collapsed="false">
      <c r="A32" s="51" t="s">
        <v>487</v>
      </c>
      <c r="B32" s="111" t="n">
        <f aca="false">B31+B13+B28</f>
        <v>0</v>
      </c>
      <c r="C32" s="111" t="n">
        <f aca="false">C31+C13+C28</f>
        <v>0</v>
      </c>
      <c r="D32" s="111" t="n">
        <f aca="false">D31+D13+D28</f>
        <v>0</v>
      </c>
      <c r="E32" s="111" t="n">
        <f aca="false">E31+E13+E28</f>
        <v>-1500</v>
      </c>
      <c r="F32" s="111" t="n">
        <f aca="false">F31+F13+F28</f>
        <v>-8100</v>
      </c>
      <c r="G32" s="111" t="n">
        <f aca="false">G31+G13+G28</f>
        <v>-2100</v>
      </c>
      <c r="H32" s="111" t="n">
        <f aca="false">H31+H13+H28</f>
        <v>-2100</v>
      </c>
      <c r="I32" s="111" t="n">
        <f aca="false">I31+I13+I28</f>
        <v>-11227.82</v>
      </c>
      <c r="J32" s="111" t="n">
        <f aca="false">J31+J13+J28</f>
        <v>-12600</v>
      </c>
      <c r="K32" s="111" t="n">
        <f aca="false">K31+K13+K28</f>
        <v>-70009.987325</v>
      </c>
      <c r="L32" s="111" t="n">
        <f aca="false">L31+L13+L28</f>
        <v>-27454.632425</v>
      </c>
      <c r="M32" s="111" t="n">
        <f aca="false">M31+M13+M28</f>
        <v>-16119.0177</v>
      </c>
      <c r="N32" s="111" t="n">
        <f aca="false">N31+N13+N28</f>
        <v>-66733.677740096</v>
      </c>
      <c r="O32" s="111" t="n">
        <f aca="false">O31+O13+O28</f>
        <v>-34843.5976405144</v>
      </c>
      <c r="P32" s="111" t="n">
        <f aca="false">P31+P13+P28</f>
        <v>-10750.2376527746</v>
      </c>
      <c r="Q32" s="111" t="n">
        <f aca="false">Q31+Q13+Q28</f>
        <v>18403.2507209198</v>
      </c>
      <c r="R32" s="111" t="n">
        <f aca="false">R31+R13+R28</f>
        <v>34241.7766731023</v>
      </c>
      <c r="S32" s="111" t="n">
        <f aca="false">S31+S13+S28</f>
        <v>42675.5706167009</v>
      </c>
      <c r="T32" s="111" t="n">
        <f aca="false">T31+T13+T28</f>
        <v>37184.7056442422</v>
      </c>
      <c r="U32" s="111" t="n">
        <f aca="false">U31+U13+U28</f>
        <v>74786.0981361015</v>
      </c>
      <c r="V32" s="111" t="n">
        <f aca="false">V31+V13+V28</f>
        <v>86563.6667630173</v>
      </c>
      <c r="W32" s="111" t="n">
        <f aca="false">W31+W13+W28</f>
        <v>96115.0712684958</v>
      </c>
      <c r="X32" s="111" t="n">
        <f aca="false">X31+X13+X28</f>
        <v>105119.111266692</v>
      </c>
      <c r="Y32" s="111" t="n">
        <f aca="false">Y31+Y13+Y28</f>
        <v>113591.296727032</v>
      </c>
      <c r="Z32" s="111" t="n">
        <f aca="false">Z31+Z13+Z28</f>
        <v>21518.6403200593</v>
      </c>
      <c r="AA32" s="111" t="n">
        <f aca="false">AA31+AA13+AA28</f>
        <v>78750.8536886069</v>
      </c>
      <c r="AB32" s="111" t="n">
        <f aca="false">AB31+AB13+AB28</f>
        <v>96436.5738583015</v>
      </c>
      <c r="AC32" s="111" t="n">
        <f aca="false">AC31+AC13+AC28</f>
        <v>113217.651585646</v>
      </c>
      <c r="AD32" s="111" t="n">
        <f aca="false">AD31+AD13+AD28</f>
        <v>149970.159685849</v>
      </c>
      <c r="AE32" s="111" t="n">
        <f aca="false">AE31+AE13+AE28</f>
        <v>156490.390839078</v>
      </c>
      <c r="AF32" s="111" t="n">
        <f aca="false">AF31+AF13+AF28</f>
        <v>191543.081053268</v>
      </c>
      <c r="AG32" s="111" t="n">
        <f aca="false">AG31+AG13+AG28</f>
        <v>210156.051001794</v>
      </c>
      <c r="AH32" s="111" t="n">
        <f aca="false">AH31+AH13+AH28</f>
        <v>227528.105547794</v>
      </c>
      <c r="AI32" s="111" t="n">
        <f aca="false">AI31+AI13+AI28</f>
        <v>243596.081415081</v>
      </c>
      <c r="AJ32" s="111" t="n">
        <f aca="false">AJ31+AJ13+AJ28</f>
        <v>258575.328708122</v>
      </c>
      <c r="AK32" s="111" t="n">
        <f aca="false">AK31+AK13+AK28</f>
        <v>272433.328595178</v>
      </c>
      <c r="AL32" s="111" t="n">
        <f aca="false">AL31+AL13+AL28</f>
        <v>142207.819595745</v>
      </c>
      <c r="AM32" s="111" t="n">
        <f aca="false">AM31+AM13+AM28</f>
        <v>190621.109933859</v>
      </c>
      <c r="AN32" s="111" t="n">
        <f aca="false">AN31+AN13+AN28</f>
        <v>235826.271377284</v>
      </c>
      <c r="AO32" s="111" t="n">
        <f aca="false">AO31+AO13+AO28</f>
        <v>278067.670036885</v>
      </c>
      <c r="AP32" s="111" t="n">
        <f aca="false">AP31+AP13+AP28</f>
        <v>317496.153894451</v>
      </c>
      <c r="AQ32" s="111" t="n">
        <f aca="false">AQ31+AQ13+AQ28</f>
        <v>329275.434927172</v>
      </c>
      <c r="AR32" s="111" t="n">
        <f aca="false">AR31+AR13+AR28</f>
        <v>388635.212858331</v>
      </c>
      <c r="AS32" s="111" t="n">
        <f aca="false">AS31+AS13+AS28</f>
        <v>420658.754779544</v>
      </c>
      <c r="AT32" s="111" t="n">
        <f aca="false">AT31+AT13+AT28</f>
        <v>450608.469593925</v>
      </c>
      <c r="AU32" s="111" t="n">
        <f aca="false">AU31+AU13+AU28</f>
        <v>478566.387340185</v>
      </c>
      <c r="AV32" s="111" t="n">
        <f aca="false">AV31+AV13+AV28</f>
        <v>504665.705254512</v>
      </c>
      <c r="AW32" s="111" t="n">
        <f aca="false">AW31+AW13+AW28</f>
        <v>528987.375257132</v>
      </c>
      <c r="AX32" s="111" t="n">
        <f aca="false">AX31+AX13+AX28</f>
        <v>468925.343681611</v>
      </c>
      <c r="AY32" s="111" t="n">
        <f aca="false">AY31+AY13+AY28</f>
        <v>555705.067295195</v>
      </c>
      <c r="AZ32" s="111" t="n">
        <f aca="false">AZ31+AZ13+AZ28</f>
        <v>637096.531349031</v>
      </c>
      <c r="BA32" s="111" t="n">
        <f aca="false">BA31+BA13+BA28</f>
        <v>713347.551067258</v>
      </c>
      <c r="BB32" s="111" t="n">
        <f aca="false">BB31+BB13+BB28</f>
        <v>784856.325798232</v>
      </c>
      <c r="BC32" s="111" t="n">
        <f aca="false">BC31+BC13+BC28</f>
        <v>821887.647772502</v>
      </c>
      <c r="BD32" s="111" t="n">
        <f aca="false">BD31+BD13+BD28</f>
        <v>914738.17062881</v>
      </c>
      <c r="BE32" s="111" t="n">
        <f aca="false">BE31+BE13+BE28</f>
        <v>973687.536187483</v>
      </c>
      <c r="BF32" s="111" t="n">
        <f aca="false">BF31+BF13+BF28</f>
        <v>1028894.44668195</v>
      </c>
      <c r="BG32" s="111" t="n">
        <f aca="false">BG31+BG13+BG28</f>
        <v>1080690.36938187</v>
      </c>
      <c r="BH32" s="111" t="n">
        <f aca="false">BH31+BH13+BH28</f>
        <v>1129249.25716291</v>
      </c>
      <c r="BI32" s="111" t="n">
        <f aca="false">BI31+BI13+BI28</f>
        <v>1174799.26056656</v>
      </c>
      <c r="BJ32" s="111" t="n">
        <f aca="false">SUM(B32:BI32)</f>
        <v>16914851.6960541</v>
      </c>
      <c r="BK32" s="29" t="s">
        <v>488</v>
      </c>
    </row>
    <row r="33" customFormat="false" ht="15" hidden="false" customHeight="false" outlineLevel="0" collapsed="false">
      <c r="A33" s="27" t="s">
        <v>489</v>
      </c>
      <c r="B33" s="110" t="n">
        <f aca="false">B32/(1+Premissas!$B$19)^B$5</f>
        <v>0</v>
      </c>
      <c r="C33" s="110" t="n">
        <f aca="false">C32/(1+Premissas!$B$19)^C$5</f>
        <v>0</v>
      </c>
      <c r="D33" s="110" t="n">
        <f aca="false">D32/(1+Premissas!$B$19)^D$5</f>
        <v>0</v>
      </c>
      <c r="E33" s="110" t="n">
        <f aca="false">E32/(1+Premissas!$B$19)^E$5</f>
        <v>-1392.47665008383</v>
      </c>
      <c r="F33" s="110" t="n">
        <f aca="false">F32/(1+Premissas!$B$19)^F$5</f>
        <v>-7380.84094984538</v>
      </c>
      <c r="G33" s="110" t="n">
        <f aca="false">G32/(1+Premissas!$B$19)^G$5</f>
        <v>-1878.29710109982</v>
      </c>
      <c r="H33" s="110" t="n">
        <f aca="false">H32/(1+Premissas!$B$19)^H$5</f>
        <v>-1843.69235056949</v>
      </c>
      <c r="I33" s="110" t="n">
        <f aca="false">I32/(1+Premissas!$B$19)^I$5</f>
        <v>-9675.84196057351</v>
      </c>
      <c r="J33" s="110" t="n">
        <f aca="false">J32/(1+Premissas!$B$19)^J$5</f>
        <v>-10658.3023354809</v>
      </c>
      <c r="K33" s="110" t="n">
        <f aca="false">K32/(1+Premissas!$B$19)^K$5</f>
        <v>-58130.1782734595</v>
      </c>
      <c r="L33" s="110" t="n">
        <f aca="false">L32/(1+Premissas!$B$19)^L$5</f>
        <v>-22375.9485598386</v>
      </c>
      <c r="M33" s="110" t="n">
        <f aca="false">M32/(1+Premissas!$B$19)^M$5</f>
        <v>-12895.21416</v>
      </c>
      <c r="N33" s="110" t="n">
        <f aca="false">N32/(1+Premissas!$B$19)^N$5</f>
        <v>-52403.3694574693</v>
      </c>
      <c r="O33" s="110" t="n">
        <f aca="false">O32/(1+Premissas!$B$19)^O$5</f>
        <v>-26857.2355536966</v>
      </c>
      <c r="P33" s="110" t="n">
        <f aca="false">P32/(1+Premissas!$B$19)^P$5</f>
        <v>-8133.55764392126</v>
      </c>
      <c r="Q33" s="110" t="n">
        <f aca="false">Q32/(1+Premissas!$B$19)^Q$5</f>
        <v>13667.2516877436</v>
      </c>
      <c r="R33" s="110" t="n">
        <f aca="false">R32/(1+Premissas!$B$19)^R$5</f>
        <v>24961.2945643746</v>
      </c>
      <c r="S33" s="110" t="n">
        <f aca="false">S32/(1+Premissas!$B$19)^S$5</f>
        <v>30536.1526008114</v>
      </c>
      <c r="T33" s="110" t="n">
        <f aca="false">T32/(1+Premissas!$B$19)^T$5</f>
        <v>26117.0123255114</v>
      </c>
      <c r="U33" s="110" t="n">
        <f aca="false">U32/(1+Premissas!$B$19)^U$5</f>
        <v>51558.9645300946</v>
      </c>
      <c r="V33" s="110" t="n">
        <f aca="false">V32/(1+Premissas!$B$19)^V$5</f>
        <v>58579.157563686</v>
      </c>
      <c r="W33" s="110" t="n">
        <f aca="false">W32/(1+Premissas!$B$19)^W$5</f>
        <v>63844.4478119056</v>
      </c>
      <c r="X33" s="110" t="n">
        <f aca="false">X32/(1+Premissas!$B$19)^X$5</f>
        <v>68538.9566306515</v>
      </c>
      <c r="Y33" s="110" t="n">
        <f aca="false">Y32/(1+Premissas!$B$19)^Y$5</f>
        <v>72698.4299053006</v>
      </c>
      <c r="Z33" s="110" t="n">
        <f aca="false">Z32/(1+Premissas!$B$19)^Z$5</f>
        <v>13518.2030674977</v>
      </c>
      <c r="AA33" s="110" t="n">
        <f aca="false">AA32/(1+Premissas!$B$19)^AA$5</f>
        <v>48560.5476079854</v>
      </c>
      <c r="AB33" s="110" t="n">
        <f aca="false">AB32/(1+Premissas!$B$19)^AB$5</f>
        <v>58370.6115376022</v>
      </c>
      <c r="AC33" s="110" t="n">
        <f aca="false">AC32/(1+Premissas!$B$19)^AC$5</f>
        <v>67265.2527830775</v>
      </c>
      <c r="AD33" s="110" t="n">
        <f aca="false">AD32/(1+Premissas!$B$19)^AD$5</f>
        <v>87459.2312781562</v>
      </c>
      <c r="AE33" s="110" t="n">
        <f aca="false">AE32/(1+Premissas!$B$19)^AE$5</f>
        <v>89580.3268458723</v>
      </c>
      <c r="AF33" s="110" t="n">
        <f aca="false">AF32/(1+Premissas!$B$19)^AF$5</f>
        <v>107625.604066262</v>
      </c>
      <c r="AG33" s="110" t="n">
        <f aca="false">AG32/(1+Premissas!$B$19)^AG$5</f>
        <v>115908.476569184</v>
      </c>
      <c r="AH33" s="110" t="n">
        <f aca="false">AH32/(1+Premissas!$B$19)^AH$5</f>
        <v>123177.82038083</v>
      </c>
      <c r="AI33" s="110" t="n">
        <f aca="false">AI32/(1+Premissas!$B$19)^AI$5</f>
        <v>129446.981430372</v>
      </c>
      <c r="AJ33" s="110" t="n">
        <f aca="false">AJ32/(1+Premissas!$B$19)^AJ$5</f>
        <v>134875.441974541</v>
      </c>
      <c r="AK33" s="110" t="n">
        <f aca="false">AK32/(1+Premissas!$B$19)^AK$5</f>
        <v>139485.864240731</v>
      </c>
      <c r="AL33" s="110" t="n">
        <f aca="false">AL32/(1+Premissas!$B$19)^AL$5</f>
        <v>71468.9833368079</v>
      </c>
      <c r="AM33" s="110" t="n">
        <f aca="false">AM32/(1+Premissas!$B$19)^AM$5</f>
        <v>94034.9474369633</v>
      </c>
      <c r="AN33" s="110" t="n">
        <f aca="false">AN32/(1+Premissas!$B$19)^AN$5</f>
        <v>114191.727276836</v>
      </c>
      <c r="AO33" s="110" t="n">
        <f aca="false">AO32/(1+Premissas!$B$19)^AO$5</f>
        <v>132165.201124549</v>
      </c>
      <c r="AP33" s="110" t="n">
        <f aca="false">AP32/(1+Premissas!$B$19)^AP$5</f>
        <v>148125.304988923</v>
      </c>
      <c r="AQ33" s="110" t="n">
        <f aca="false">AQ32/(1+Premissas!$B$19)^AQ$5</f>
        <v>150790.605991519</v>
      </c>
      <c r="AR33" s="110" t="n">
        <f aca="false">AR32/(1+Premissas!$B$19)^AR$5</f>
        <v>174695.318944634</v>
      </c>
      <c r="AS33" s="110" t="n">
        <f aca="false">AS32/(1+Premissas!$B$19)^AS$5</f>
        <v>185606.515499553</v>
      </c>
      <c r="AT33" s="110" t="n">
        <f aca="false">AT32/(1+Premissas!$B$19)^AT$5</f>
        <v>195158.199014009</v>
      </c>
      <c r="AU33" s="110" t="n">
        <f aca="false">AU32/(1+Premissas!$B$19)^AU$5</f>
        <v>203448.179939038</v>
      </c>
      <c r="AV33" s="110" t="n">
        <f aca="false">AV32/(1+Premissas!$B$19)^AV$5</f>
        <v>210590.887802537</v>
      </c>
      <c r="AW33" s="110" t="n">
        <f aca="false">AW32/(1+Premissas!$B$19)^AW$5</f>
        <v>216673.228905321</v>
      </c>
      <c r="AX33" s="110" t="n">
        <f aca="false">AX32/(1+Premissas!$B$19)^AX$5</f>
        <v>188533.1913199</v>
      </c>
      <c r="AY33" s="110" t="n">
        <f aca="false">AY32/(1+Premissas!$B$19)^AY$5</f>
        <v>219307.071757957</v>
      </c>
      <c r="AZ33" s="110" t="n">
        <f aca="false">AZ32/(1+Premissas!$B$19)^AZ$5</f>
        <v>246795.754966373</v>
      </c>
      <c r="BA33" s="110" t="n">
        <f aca="false">BA32/(1+Premissas!$B$19)^BA$5</f>
        <v>271242.528974339</v>
      </c>
      <c r="BB33" s="110" t="n">
        <f aca="false">BB32/(1+Premissas!$B$19)^BB$5</f>
        <v>292934.780356419</v>
      </c>
      <c r="BC33" s="110" t="n">
        <f aca="false">BC32/(1+Premissas!$B$19)^BC$5</f>
        <v>301104.603182974</v>
      </c>
      <c r="BD33" s="110" t="n">
        <f aca="false">BD32/(1+Premissas!$B$19)^BD$5</f>
        <v>328946.984074924</v>
      </c>
      <c r="BE33" s="110" t="n">
        <f aca="false">BE32/(1+Premissas!$B$19)^BE$5</f>
        <v>343694.738262258</v>
      </c>
      <c r="BF33" s="110" t="n">
        <f aca="false">BF32/(1+Premissas!$B$19)^BF$5</f>
        <v>356490.746604771</v>
      </c>
      <c r="BG33" s="110" t="n">
        <f aca="false">BG32/(1+Premissas!$B$19)^BG$5</f>
        <v>367538.539345178</v>
      </c>
      <c r="BH33" s="110" t="n">
        <f aca="false">BH32/(1+Premissas!$B$19)^BH$5</f>
        <v>376977.632742232</v>
      </c>
      <c r="BI33" s="110" t="n">
        <f aca="false">BI32/(1+Premissas!$B$19)^BI$5</f>
        <v>384958.22170245</v>
      </c>
      <c r="BJ33" s="111" t="n">
        <f aca="false">SUM(B33:BI33)</f>
        <v>6887624.96795662</v>
      </c>
    </row>
    <row r="34" customFormat="false" ht="15" hidden="false" customHeight="false" outlineLevel="0" collapsed="false">
      <c r="A34" s="27" t="s">
        <v>490</v>
      </c>
      <c r="B34" s="110" t="n">
        <f aca="false">B33</f>
        <v>0</v>
      </c>
      <c r="C34" s="110" t="n">
        <f aca="false">B34+C33</f>
        <v>0</v>
      </c>
      <c r="D34" s="110" t="n">
        <f aca="false">C34+D33</f>
        <v>0</v>
      </c>
      <c r="E34" s="110" t="n">
        <f aca="false">D34+E33</f>
        <v>-1392.47665008383</v>
      </c>
      <c r="F34" s="110" t="n">
        <f aca="false">E34+F33</f>
        <v>-8773.31759992921</v>
      </c>
      <c r="G34" s="110" t="n">
        <f aca="false">F34+G33</f>
        <v>-10651.614701029</v>
      </c>
      <c r="H34" s="110" t="n">
        <f aca="false">G34+H33</f>
        <v>-12495.3070515985</v>
      </c>
      <c r="I34" s="110" t="n">
        <f aca="false">H34+I33</f>
        <v>-22171.149012172</v>
      </c>
      <c r="J34" s="110" t="n">
        <f aca="false">I34+J33</f>
        <v>-32829.4513476529</v>
      </c>
      <c r="K34" s="110" t="n">
        <f aca="false">J34+K33</f>
        <v>-90959.6296211124</v>
      </c>
      <c r="L34" s="110" t="n">
        <f aca="false">K34+L33</f>
        <v>-113335.578180951</v>
      </c>
      <c r="M34" s="110" t="n">
        <f aca="false">L34+M33</f>
        <v>-126230.792340951</v>
      </c>
      <c r="N34" s="110" t="n">
        <f aca="false">M34+N33</f>
        <v>-178634.16179842</v>
      </c>
      <c r="O34" s="110" t="n">
        <f aca="false">N34+O33</f>
        <v>-205491.397352117</v>
      </c>
      <c r="P34" s="110" t="n">
        <f aca="false">O34+P33</f>
        <v>-213624.954996038</v>
      </c>
      <c r="Q34" s="110" t="n">
        <f aca="false">P34+Q33</f>
        <v>-199957.703308295</v>
      </c>
      <c r="R34" s="110" t="n">
        <f aca="false">Q34+R33</f>
        <v>-174996.40874392</v>
      </c>
      <c r="S34" s="110" t="n">
        <f aca="false">R34+S33</f>
        <v>-144460.256143108</v>
      </c>
      <c r="T34" s="110" t="n">
        <f aca="false">S34+T33</f>
        <v>-118343.243817597</v>
      </c>
      <c r="U34" s="110" t="n">
        <f aca="false">T34+U33</f>
        <v>-66784.2792875024</v>
      </c>
      <c r="V34" s="110" t="n">
        <f aca="false">U34+V33</f>
        <v>-8205.12172381638</v>
      </c>
      <c r="W34" s="110" t="n">
        <f aca="false">V34+W33</f>
        <v>55639.3260880892</v>
      </c>
      <c r="X34" s="110" t="n">
        <f aca="false">W34+X33</f>
        <v>124178.282718741</v>
      </c>
      <c r="Y34" s="110" t="n">
        <f aca="false">X34+Y33</f>
        <v>196876.712624041</v>
      </c>
      <c r="Z34" s="110" t="n">
        <f aca="false">Y34+Z33</f>
        <v>210394.915691539</v>
      </c>
      <c r="AA34" s="110" t="n">
        <f aca="false">Z34+AA33</f>
        <v>258955.463299524</v>
      </c>
      <c r="AB34" s="110" t="n">
        <f aca="false">AA34+AB33</f>
        <v>317326.074837127</v>
      </c>
      <c r="AC34" s="110" t="n">
        <f aca="false">AB34+AC33</f>
        <v>384591.327620204</v>
      </c>
      <c r="AD34" s="110" t="n">
        <f aca="false">AC34+AD33</f>
        <v>472050.55889836</v>
      </c>
      <c r="AE34" s="110" t="n">
        <f aca="false">AD34+AE33</f>
        <v>561630.885744233</v>
      </c>
      <c r="AF34" s="110" t="n">
        <f aca="false">AE34+AF33</f>
        <v>669256.489810495</v>
      </c>
      <c r="AG34" s="110" t="n">
        <f aca="false">AF34+AG33</f>
        <v>785164.966379678</v>
      </c>
      <c r="AH34" s="110" t="n">
        <f aca="false">AG34+AH33</f>
        <v>908342.786760508</v>
      </c>
      <c r="AI34" s="110" t="n">
        <f aca="false">AH34+AI33</f>
        <v>1037789.76819088</v>
      </c>
      <c r="AJ34" s="110" t="n">
        <f aca="false">AI34+AJ33</f>
        <v>1172665.21016542</v>
      </c>
      <c r="AK34" s="110" t="n">
        <f aca="false">AJ34+AK33</f>
        <v>1312151.07440615</v>
      </c>
      <c r="AL34" s="110" t="n">
        <f aca="false">AK34+AL33</f>
        <v>1383620.05774296</v>
      </c>
      <c r="AM34" s="110" t="n">
        <f aca="false">AL34+AM33</f>
        <v>1477655.00517992</v>
      </c>
      <c r="AN34" s="110" t="n">
        <f aca="false">AM34+AN33</f>
        <v>1591846.73245676</v>
      </c>
      <c r="AO34" s="110" t="n">
        <f aca="false">AN34+AO33</f>
        <v>1724011.93358131</v>
      </c>
      <c r="AP34" s="110" t="n">
        <f aca="false">AO34+AP33</f>
        <v>1872137.23857023</v>
      </c>
      <c r="AQ34" s="110" t="n">
        <f aca="false">AP34+AQ33</f>
        <v>2022927.84456175</v>
      </c>
      <c r="AR34" s="110" t="n">
        <f aca="false">AQ34+AR33</f>
        <v>2197623.16350638</v>
      </c>
      <c r="AS34" s="110" t="n">
        <f aca="false">AR34+AS33</f>
        <v>2383229.67900594</v>
      </c>
      <c r="AT34" s="110" t="n">
        <f aca="false">AS34+AT33</f>
        <v>2578387.87801995</v>
      </c>
      <c r="AU34" s="110" t="n">
        <f aca="false">AT34+AU33</f>
        <v>2781836.05795898</v>
      </c>
      <c r="AV34" s="110" t="n">
        <f aca="false">AU34+AV33</f>
        <v>2992426.94576152</v>
      </c>
      <c r="AW34" s="110" t="n">
        <f aca="false">AV34+AW33</f>
        <v>3209100.17466684</v>
      </c>
      <c r="AX34" s="110" t="n">
        <f aca="false">AW34+AX33</f>
        <v>3397633.36598674</v>
      </c>
      <c r="AY34" s="110" t="n">
        <f aca="false">AX34+AY33</f>
        <v>3616940.4377447</v>
      </c>
      <c r="AZ34" s="110" t="n">
        <f aca="false">AY34+AZ33</f>
        <v>3863736.19271107</v>
      </c>
      <c r="BA34" s="110" t="n">
        <f aca="false">AZ34+BA33</f>
        <v>4134978.72168541</v>
      </c>
      <c r="BB34" s="110" t="n">
        <f aca="false">BA34+BB33</f>
        <v>4427913.50204183</v>
      </c>
      <c r="BC34" s="110" t="n">
        <f aca="false">BB34+BC33</f>
        <v>4729018.1052248</v>
      </c>
      <c r="BD34" s="110" t="n">
        <f aca="false">BC34+BD33</f>
        <v>5057965.08929973</v>
      </c>
      <c r="BE34" s="110" t="n">
        <f aca="false">BD34+BE33</f>
        <v>5401659.82756199</v>
      </c>
      <c r="BF34" s="110" t="n">
        <f aca="false">BE34+BF33</f>
        <v>5758150.57416676</v>
      </c>
      <c r="BG34" s="110" t="n">
        <f aca="false">BF34+BG33</f>
        <v>6125689.11351194</v>
      </c>
      <c r="BH34" s="110" t="n">
        <f aca="false">BG34+BH33</f>
        <v>6502666.74625417</v>
      </c>
      <c r="BI34" s="110" t="n">
        <f aca="false">BH34+BI33</f>
        <v>6887624.96795662</v>
      </c>
    </row>
    <row r="35" customFormat="false" ht="15" hidden="false" customHeight="false" outlineLevel="0" collapsed="false">
      <c r="A35" s="27" t="s">
        <v>491</v>
      </c>
      <c r="B35" s="110" t="n">
        <f aca="false">B32</f>
        <v>0</v>
      </c>
      <c r="C35" s="110" t="n">
        <f aca="false">B35+C32</f>
        <v>0</v>
      </c>
      <c r="D35" s="110" t="n">
        <f aca="false">C35+D32</f>
        <v>0</v>
      </c>
      <c r="E35" s="110" t="n">
        <f aca="false">D35+E32</f>
        <v>-1500</v>
      </c>
      <c r="F35" s="110" t="n">
        <f aca="false">E35+F32</f>
        <v>-9600</v>
      </c>
      <c r="G35" s="110" t="n">
        <f aca="false">F35+G32</f>
        <v>-11700</v>
      </c>
      <c r="H35" s="110" t="n">
        <f aca="false">G35+H32</f>
        <v>-13800</v>
      </c>
      <c r="I35" s="110" t="n">
        <f aca="false">H35+I32</f>
        <v>-25027.82</v>
      </c>
      <c r="J35" s="110" t="n">
        <f aca="false">I35+J32</f>
        <v>-37627.82</v>
      </c>
      <c r="K35" s="110" t="n">
        <f aca="false">J35+K32</f>
        <v>-107637.807325</v>
      </c>
      <c r="L35" s="110" t="n">
        <f aca="false">K35+L32</f>
        <v>-135092.43975</v>
      </c>
      <c r="M35" s="110" t="n">
        <f aca="false">L35+M32</f>
        <v>-151211.45745</v>
      </c>
      <c r="N35" s="110" t="n">
        <f aca="false">M35+N32</f>
        <v>-217945.135190096</v>
      </c>
      <c r="O35" s="110" t="n">
        <f aca="false">N35+O32</f>
        <v>-252788.73283061</v>
      </c>
      <c r="P35" s="110" t="n">
        <f aca="false">O35+P32</f>
        <v>-263538.970483385</v>
      </c>
      <c r="Q35" s="110" t="n">
        <f aca="false">P35+Q32</f>
        <v>-245135.719762465</v>
      </c>
      <c r="R35" s="110" t="n">
        <f aca="false">Q35+R32</f>
        <v>-210893.943089363</v>
      </c>
      <c r="S35" s="110" t="n">
        <f aca="false">R35+S32</f>
        <v>-168218.372472662</v>
      </c>
      <c r="T35" s="110" t="n">
        <f aca="false">S35+T32</f>
        <v>-131033.66682842</v>
      </c>
      <c r="U35" s="110" t="n">
        <f aca="false">T35+U32</f>
        <v>-56247.5686923183</v>
      </c>
      <c r="V35" s="110" t="n">
        <f aca="false">U35+V32</f>
        <v>30316.098070699</v>
      </c>
      <c r="W35" s="110" t="n">
        <f aca="false">V35+W32</f>
        <v>126431.169339195</v>
      </c>
      <c r="X35" s="110" t="n">
        <f aca="false">W35+X32</f>
        <v>231550.280605886</v>
      </c>
      <c r="Y35" s="110" t="n">
        <f aca="false">X35+Y32</f>
        <v>345141.577332919</v>
      </c>
      <c r="Z35" s="110" t="n">
        <f aca="false">Y35+Z32</f>
        <v>366660.217652978</v>
      </c>
      <c r="AA35" s="110" t="n">
        <f aca="false">Z35+AA32</f>
        <v>445411.071341585</v>
      </c>
      <c r="AB35" s="110" t="n">
        <f aca="false">AA35+AB32</f>
        <v>541847.645199886</v>
      </c>
      <c r="AC35" s="110" t="n">
        <f aca="false">AB35+AC32</f>
        <v>655065.296785532</v>
      </c>
      <c r="AD35" s="110" t="n">
        <f aca="false">AC35+AD32</f>
        <v>805035.456471381</v>
      </c>
      <c r="AE35" s="110" t="n">
        <f aca="false">AD35+AE32</f>
        <v>961525.847310459</v>
      </c>
      <c r="AF35" s="110" t="n">
        <f aca="false">AE35+AF32</f>
        <v>1153068.92836373</v>
      </c>
      <c r="AG35" s="110" t="n">
        <f aca="false">AF35+AG32</f>
        <v>1363224.97936552</v>
      </c>
      <c r="AH35" s="110" t="n">
        <f aca="false">AG35+AH32</f>
        <v>1590753.08491332</v>
      </c>
      <c r="AI35" s="110" t="n">
        <f aca="false">AH35+AI32</f>
        <v>1834349.1663284</v>
      </c>
      <c r="AJ35" s="110" t="n">
        <f aca="false">AI35+AJ32</f>
        <v>2092924.49503652</v>
      </c>
      <c r="AK35" s="110" t="n">
        <f aca="false">AJ35+AK32</f>
        <v>2365357.8236317</v>
      </c>
      <c r="AL35" s="110" t="n">
        <f aca="false">AK35+AL32</f>
        <v>2507565.64322744</v>
      </c>
      <c r="AM35" s="110" t="n">
        <f aca="false">AL35+AM32</f>
        <v>2698186.7531613</v>
      </c>
      <c r="AN35" s="110" t="n">
        <f aca="false">AM35+AN32</f>
        <v>2934013.02453858</v>
      </c>
      <c r="AO35" s="110" t="n">
        <f aca="false">AN35+AO32</f>
        <v>3212080.69457547</v>
      </c>
      <c r="AP35" s="110" t="n">
        <f aca="false">AO35+AP32</f>
        <v>3529576.84846992</v>
      </c>
      <c r="AQ35" s="110" t="n">
        <f aca="false">AP35+AQ32</f>
        <v>3858852.28339709</v>
      </c>
      <c r="AR35" s="110" t="n">
        <f aca="false">AQ35+AR32</f>
        <v>4247487.49625542</v>
      </c>
      <c r="AS35" s="110" t="n">
        <f aca="false">AR35+AS32</f>
        <v>4668146.25103497</v>
      </c>
      <c r="AT35" s="110" t="n">
        <f aca="false">AS35+AT32</f>
        <v>5118754.72062889</v>
      </c>
      <c r="AU35" s="110" t="n">
        <f aca="false">AT35+AU32</f>
        <v>5597321.10796908</v>
      </c>
      <c r="AV35" s="110" t="n">
        <f aca="false">AU35+AV32</f>
        <v>6101986.81322359</v>
      </c>
      <c r="AW35" s="110" t="n">
        <f aca="false">AV35+AW32</f>
        <v>6630974.18848072</v>
      </c>
      <c r="AX35" s="110" t="n">
        <f aca="false">AW35+AX32</f>
        <v>7099899.53216233</v>
      </c>
      <c r="AY35" s="110" t="n">
        <f aca="false">AX35+AY32</f>
        <v>7655604.59945753</v>
      </c>
      <c r="AZ35" s="110" t="n">
        <f aca="false">AY35+AZ32</f>
        <v>8292701.13080656</v>
      </c>
      <c r="BA35" s="110" t="n">
        <f aca="false">AZ35+BA32</f>
        <v>9006048.68187382</v>
      </c>
      <c r="BB35" s="110" t="n">
        <f aca="false">BA35+BB32</f>
        <v>9790905.00767205</v>
      </c>
      <c r="BC35" s="110" t="n">
        <f aca="false">BB35+BC32</f>
        <v>10612792.6554446</v>
      </c>
      <c r="BD35" s="110" t="n">
        <f aca="false">BC35+BD32</f>
        <v>11527530.8260734</v>
      </c>
      <c r="BE35" s="110" t="n">
        <f aca="false">BD35+BE32</f>
        <v>12501218.3622608</v>
      </c>
      <c r="BF35" s="110" t="n">
        <f aca="false">BE35+BF32</f>
        <v>13530112.8089428</v>
      </c>
      <c r="BG35" s="110" t="n">
        <f aca="false">BF35+BG32</f>
        <v>14610803.1783247</v>
      </c>
      <c r="BH35" s="110" t="n">
        <f aca="false">BG35+BH32</f>
        <v>15740052.4354876</v>
      </c>
      <c r="BI35" s="110" t="n">
        <f aca="false">BH35+BI32</f>
        <v>16914851.6960541</v>
      </c>
    </row>
    <row r="37" customFormat="false" ht="15" hidden="false" customHeight="false" outlineLevel="0" collapsed="false">
      <c r="A37" s="27" t="s">
        <v>492</v>
      </c>
      <c r="B37" s="113" t="n">
        <f aca="false">Aportes!B98</f>
        <v>0</v>
      </c>
      <c r="C37" s="113" t="n">
        <f aca="false">Aportes!C98</f>
        <v>0</v>
      </c>
      <c r="D37" s="113" t="n">
        <f aca="false">Aportes!D98</f>
        <v>0</v>
      </c>
      <c r="E37" s="113" t="n">
        <f aca="false">Aportes!E98</f>
        <v>10000</v>
      </c>
      <c r="F37" s="113" t="n">
        <f aca="false">Aportes!F98</f>
        <v>0</v>
      </c>
      <c r="G37" s="113" t="n">
        <f aca="false">Aportes!G98</f>
        <v>0</v>
      </c>
      <c r="H37" s="113" t="n">
        <f aca="false">Aportes!H98</f>
        <v>5000</v>
      </c>
      <c r="I37" s="113" t="n">
        <f aca="false">Aportes!I98</f>
        <v>18000</v>
      </c>
      <c r="J37" s="113" t="n">
        <f aca="false">Aportes!J98</f>
        <v>0</v>
      </c>
      <c r="K37" s="113" t="n">
        <f aca="false">Aportes!K98</f>
        <v>80000</v>
      </c>
      <c r="L37" s="113" t="n">
        <f aca="false">Aportes!L98</f>
        <v>40000</v>
      </c>
      <c r="M37" s="113" t="n">
        <f aca="false">Aportes!M98</f>
        <v>17000</v>
      </c>
      <c r="N37" s="113" t="n">
        <f aca="false">Aportes!N98</f>
        <v>0</v>
      </c>
      <c r="O37" s="113" t="n">
        <f aca="false">Aportes!O98</f>
        <v>0</v>
      </c>
      <c r="P37" s="113" t="n">
        <f aca="false">Aportes!P98</f>
        <v>0</v>
      </c>
      <c r="Q37" s="113" t="n">
        <f aca="false">Aportes!Q98</f>
        <v>0</v>
      </c>
      <c r="R37" s="113" t="n">
        <f aca="false">Aportes!R98</f>
        <v>0</v>
      </c>
      <c r="S37" s="113" t="n">
        <f aca="false">Aportes!S98</f>
        <v>15000</v>
      </c>
      <c r="T37" s="113" t="n">
        <f aca="false">Aportes!T98</f>
        <v>0</v>
      </c>
      <c r="U37" s="113" t="n">
        <f aca="false">Aportes!U98</f>
        <v>0</v>
      </c>
      <c r="V37" s="113" t="n">
        <f aca="false">Aportes!V98</f>
        <v>0</v>
      </c>
      <c r="W37" s="113" t="n">
        <f aca="false">Aportes!W98</f>
        <v>0</v>
      </c>
      <c r="X37" s="113" t="n">
        <f aca="false">Aportes!X98</f>
        <v>0</v>
      </c>
      <c r="Y37" s="113" t="n">
        <f aca="false">Aportes!Y98</f>
        <v>15000</v>
      </c>
      <c r="Z37" s="113" t="n">
        <f aca="false">Aportes!Z98</f>
        <v>0</v>
      </c>
      <c r="AA37" s="113" t="n">
        <f aca="false">Aportes!AA98</f>
        <v>0</v>
      </c>
      <c r="AB37" s="113" t="n">
        <f aca="false">Aportes!AB98</f>
        <v>0</v>
      </c>
      <c r="AC37" s="113" t="n">
        <f aca="false">Aportes!AC98</f>
        <v>0</v>
      </c>
      <c r="AD37" s="113" t="n">
        <f aca="false">Aportes!AD98</f>
        <v>0</v>
      </c>
      <c r="AE37" s="113" t="n">
        <f aca="false">Aportes!AE98</f>
        <v>0</v>
      </c>
      <c r="AF37" s="113" t="n">
        <f aca="false">Aportes!AF98</f>
        <v>0</v>
      </c>
      <c r="AG37" s="113" t="n">
        <f aca="false">Aportes!AG98</f>
        <v>0</v>
      </c>
      <c r="AH37" s="113" t="n">
        <f aca="false">Aportes!AH98</f>
        <v>0</v>
      </c>
      <c r="AI37" s="113" t="n">
        <f aca="false">Aportes!AI98</f>
        <v>0</v>
      </c>
      <c r="AJ37" s="113" t="n">
        <f aca="false">Aportes!AJ98</f>
        <v>0</v>
      </c>
      <c r="AK37" s="113" t="n">
        <f aca="false">Aportes!AK98</f>
        <v>0</v>
      </c>
      <c r="AL37" s="113" t="n">
        <f aca="false">Aportes!AL98</f>
        <v>0</v>
      </c>
      <c r="AM37" s="113" t="n">
        <f aca="false">Aportes!AM98</f>
        <v>0</v>
      </c>
      <c r="AN37" s="113" t="n">
        <f aca="false">Aportes!AN98</f>
        <v>0</v>
      </c>
      <c r="AO37" s="113" t="n">
        <f aca="false">Aportes!AO98</f>
        <v>0</v>
      </c>
      <c r="AP37" s="113" t="n">
        <f aca="false">Aportes!AP98</f>
        <v>0</v>
      </c>
      <c r="AQ37" s="113" t="n">
        <f aca="false">Aportes!AQ98</f>
        <v>0</v>
      </c>
      <c r="AR37" s="113" t="n">
        <f aca="false">Aportes!AR98</f>
        <v>0</v>
      </c>
      <c r="AS37" s="113" t="n">
        <f aca="false">Aportes!AS98</f>
        <v>0</v>
      </c>
      <c r="AT37" s="113" t="n">
        <f aca="false">Aportes!AT98</f>
        <v>0</v>
      </c>
      <c r="AU37" s="113" t="n">
        <f aca="false">Aportes!AU98</f>
        <v>0</v>
      </c>
      <c r="AV37" s="113" t="n">
        <f aca="false">Aportes!AV98</f>
        <v>0</v>
      </c>
      <c r="AW37" s="113" t="n">
        <f aca="false">Aportes!AW98</f>
        <v>0</v>
      </c>
      <c r="AX37" s="113" t="n">
        <f aca="false">Aportes!AX98</f>
        <v>0</v>
      </c>
      <c r="AY37" s="113" t="n">
        <f aca="false">Aportes!AY98</f>
        <v>0</v>
      </c>
      <c r="AZ37" s="113" t="n">
        <f aca="false">Aportes!AZ98</f>
        <v>0</v>
      </c>
      <c r="BA37" s="113" t="n">
        <f aca="false">Aportes!BA98</f>
        <v>0</v>
      </c>
      <c r="BB37" s="113" t="n">
        <f aca="false">Aportes!BB98</f>
        <v>0</v>
      </c>
      <c r="BC37" s="113" t="n">
        <f aca="false">Aportes!BC98</f>
        <v>0</v>
      </c>
      <c r="BD37" s="113" t="n">
        <f aca="false">Aportes!BD98</f>
        <v>0</v>
      </c>
      <c r="BE37" s="113" t="n">
        <f aca="false">Aportes!BE98</f>
        <v>0</v>
      </c>
      <c r="BF37" s="113" t="n">
        <f aca="false">Aportes!BF98</f>
        <v>0</v>
      </c>
      <c r="BG37" s="113" t="n">
        <f aca="false">Aportes!BG98</f>
        <v>0</v>
      </c>
      <c r="BH37" s="113" t="n">
        <f aca="false">Aportes!BH98</f>
        <v>0</v>
      </c>
      <c r="BI37" s="113" t="n">
        <f aca="false">Aportes!BI98</f>
        <v>0</v>
      </c>
      <c r="BJ37" s="111" t="n">
        <f aca="false">SUM(B37:BI37)</f>
        <v>200000</v>
      </c>
    </row>
    <row r="38" customFormat="false" ht="15" hidden="false" customHeight="false" outlineLevel="0" collapsed="false">
      <c r="A38" s="31" t="s">
        <v>493</v>
      </c>
      <c r="B38" s="144" t="n">
        <f aca="false">B32+B37</f>
        <v>0</v>
      </c>
      <c r="C38" s="144" t="n">
        <f aca="false">C32+C37</f>
        <v>0</v>
      </c>
      <c r="D38" s="144" t="n">
        <f aca="false">D32+D37</f>
        <v>0</v>
      </c>
      <c r="E38" s="144" t="n">
        <f aca="false">E32+E37</f>
        <v>8500</v>
      </c>
      <c r="F38" s="144" t="n">
        <f aca="false">F32+F37</f>
        <v>-8100</v>
      </c>
      <c r="G38" s="144" t="n">
        <f aca="false">G32+G37</f>
        <v>-2100</v>
      </c>
      <c r="H38" s="144" t="n">
        <f aca="false">H32+H37</f>
        <v>2900</v>
      </c>
      <c r="I38" s="144" t="n">
        <f aca="false">I32+I37</f>
        <v>6772.18</v>
      </c>
      <c r="J38" s="144" t="n">
        <f aca="false">J32+J37</f>
        <v>-12600</v>
      </c>
      <c r="K38" s="144" t="n">
        <f aca="false">K32+K37</f>
        <v>9990.01267499999</v>
      </c>
      <c r="L38" s="144" t="n">
        <f aca="false">L32+L37</f>
        <v>12545.367575</v>
      </c>
      <c r="M38" s="144" t="n">
        <f aca="false">M32+M37</f>
        <v>880.982300000003</v>
      </c>
      <c r="N38" s="144" t="n">
        <f aca="false">N32+N37</f>
        <v>-66733.677740096</v>
      </c>
      <c r="O38" s="144" t="n">
        <f aca="false">O32+O37</f>
        <v>-34843.5976405144</v>
      </c>
      <c r="P38" s="144" t="n">
        <f aca="false">P32+P37</f>
        <v>-10750.2376527746</v>
      </c>
      <c r="Q38" s="144" t="n">
        <f aca="false">Q32+Q37</f>
        <v>18403.2507209198</v>
      </c>
      <c r="R38" s="144" t="n">
        <f aca="false">R32+R37</f>
        <v>34241.7766731023</v>
      </c>
      <c r="S38" s="144" t="n">
        <f aca="false">S32+S37</f>
        <v>57675.5706167009</v>
      </c>
      <c r="T38" s="144" t="n">
        <f aca="false">T32+T37</f>
        <v>37184.7056442422</v>
      </c>
      <c r="U38" s="144" t="n">
        <f aca="false">U32+U37</f>
        <v>74786.0981361015</v>
      </c>
      <c r="V38" s="144" t="n">
        <f aca="false">V32+V37</f>
        <v>86563.6667630173</v>
      </c>
      <c r="W38" s="144" t="n">
        <f aca="false">W32+W37</f>
        <v>96115.0712684958</v>
      </c>
      <c r="X38" s="144" t="n">
        <f aca="false">X32+X37</f>
        <v>105119.111266692</v>
      </c>
      <c r="Y38" s="144" t="n">
        <f aca="false">Y32+Y37</f>
        <v>128591.296727032</v>
      </c>
      <c r="Z38" s="144" t="n">
        <f aca="false">Z32+Z37</f>
        <v>21518.6403200593</v>
      </c>
      <c r="AA38" s="144" t="n">
        <f aca="false">AA32+AA37</f>
        <v>78750.8536886069</v>
      </c>
      <c r="AB38" s="144" t="n">
        <f aca="false">AB32+AB37</f>
        <v>96436.5738583015</v>
      </c>
      <c r="AC38" s="144" t="n">
        <f aca="false">AC32+AC37</f>
        <v>113217.651585646</v>
      </c>
      <c r="AD38" s="144" t="n">
        <f aca="false">AD32+AD37</f>
        <v>149970.159685849</v>
      </c>
      <c r="AE38" s="144" t="n">
        <f aca="false">AE32+AE37</f>
        <v>156490.390839078</v>
      </c>
      <c r="AF38" s="144" t="n">
        <f aca="false">AF32+AF37</f>
        <v>191543.081053268</v>
      </c>
      <c r="AG38" s="144" t="n">
        <f aca="false">AG32+AG37</f>
        <v>210156.051001794</v>
      </c>
      <c r="AH38" s="144" t="n">
        <f aca="false">AH32+AH37</f>
        <v>227528.105547794</v>
      </c>
      <c r="AI38" s="144" t="n">
        <f aca="false">AI32+AI37</f>
        <v>243596.081415081</v>
      </c>
      <c r="AJ38" s="144" t="n">
        <f aca="false">AJ32+AJ37</f>
        <v>258575.328708122</v>
      </c>
      <c r="AK38" s="144" t="n">
        <f aca="false">AK32+AK37</f>
        <v>272433.328595178</v>
      </c>
      <c r="AL38" s="144" t="n">
        <f aca="false">AL32+AL37</f>
        <v>142207.819595745</v>
      </c>
      <c r="AM38" s="144" t="n">
        <f aca="false">AM32+AM37</f>
        <v>190621.109933859</v>
      </c>
      <c r="AN38" s="144" t="n">
        <f aca="false">AN32+AN37</f>
        <v>235826.271377284</v>
      </c>
      <c r="AO38" s="144" t="n">
        <f aca="false">AO32+AO37</f>
        <v>278067.670036885</v>
      </c>
      <c r="AP38" s="144" t="n">
        <f aca="false">AP32+AP37</f>
        <v>317496.153894451</v>
      </c>
      <c r="AQ38" s="144" t="n">
        <f aca="false">AQ32+AQ37</f>
        <v>329275.434927172</v>
      </c>
      <c r="AR38" s="144" t="n">
        <f aca="false">AR32+AR37</f>
        <v>388635.212858331</v>
      </c>
      <c r="AS38" s="144" t="n">
        <f aca="false">AS32+AS37</f>
        <v>420658.754779544</v>
      </c>
      <c r="AT38" s="144" t="n">
        <f aca="false">AT32+AT37</f>
        <v>450608.469593925</v>
      </c>
      <c r="AU38" s="144" t="n">
        <f aca="false">AU32+AU37</f>
        <v>478566.387340185</v>
      </c>
      <c r="AV38" s="144" t="n">
        <f aca="false">AV32+AV37</f>
        <v>504665.705254512</v>
      </c>
      <c r="AW38" s="144" t="n">
        <f aca="false">AW32+AW37</f>
        <v>528987.375257132</v>
      </c>
      <c r="AX38" s="144" t="n">
        <f aca="false">AX32+AX37</f>
        <v>468925.343681611</v>
      </c>
      <c r="AY38" s="144" t="n">
        <f aca="false">AY32+AY37</f>
        <v>555705.067295195</v>
      </c>
      <c r="AZ38" s="144" t="n">
        <f aca="false">AZ32+AZ37</f>
        <v>637096.531349031</v>
      </c>
      <c r="BA38" s="144" t="n">
        <f aca="false">BA32+BA37</f>
        <v>713347.551067258</v>
      </c>
      <c r="BB38" s="144" t="n">
        <f aca="false">BB32+BB37</f>
        <v>784856.325798232</v>
      </c>
      <c r="BC38" s="144" t="n">
        <f aca="false">BC32+BC37</f>
        <v>821887.647772502</v>
      </c>
      <c r="BD38" s="144" t="n">
        <f aca="false">BD32+BD37</f>
        <v>914738.17062881</v>
      </c>
      <c r="BE38" s="144" t="n">
        <f aca="false">BE32+BE37</f>
        <v>973687.536187483</v>
      </c>
      <c r="BF38" s="144" t="n">
        <f aca="false">BF32+BF37</f>
        <v>1028894.44668195</v>
      </c>
      <c r="BG38" s="144" t="n">
        <f aca="false">BG32+BG37</f>
        <v>1080690.36938187</v>
      </c>
      <c r="BH38" s="144" t="n">
        <f aca="false">BH32+BH37</f>
        <v>1129249.25716291</v>
      </c>
      <c r="BI38" s="144" t="n">
        <f aca="false">BI32+BI37</f>
        <v>1174799.26056656</v>
      </c>
      <c r="BJ38" s="111" t="n">
        <f aca="false">SUM(B38:BI38)</f>
        <v>17114851.6960541</v>
      </c>
    </row>
    <row r="39" customFormat="false" ht="15" hidden="false" customHeight="false" outlineLevel="0" collapsed="false">
      <c r="A39" s="51" t="s">
        <v>494</v>
      </c>
      <c r="B39" s="111" t="n">
        <f aca="false">B38</f>
        <v>0</v>
      </c>
      <c r="C39" s="111" t="n">
        <f aca="false">B39+C38</f>
        <v>0</v>
      </c>
      <c r="D39" s="111" t="n">
        <f aca="false">C39+D38</f>
        <v>0</v>
      </c>
      <c r="E39" s="111" t="n">
        <f aca="false">D39+E38</f>
        <v>8500</v>
      </c>
      <c r="F39" s="111" t="n">
        <f aca="false">E39+F38</f>
        <v>400</v>
      </c>
      <c r="G39" s="111" t="n">
        <f aca="false">F39+G38</f>
        <v>-1700</v>
      </c>
      <c r="H39" s="111" t="n">
        <f aca="false">G39+H38</f>
        <v>1200</v>
      </c>
      <c r="I39" s="111" t="n">
        <f aca="false">H39+I38</f>
        <v>7972.18</v>
      </c>
      <c r="J39" s="111" t="n">
        <f aca="false">I39+J38</f>
        <v>-4627.82</v>
      </c>
      <c r="K39" s="111" t="n">
        <f aca="false">J39+K38</f>
        <v>5362.19267499999</v>
      </c>
      <c r="L39" s="111" t="n">
        <f aca="false">K39+L38</f>
        <v>17907.56025</v>
      </c>
      <c r="M39" s="111" t="n">
        <f aca="false">L39+M38</f>
        <v>18788.54255</v>
      </c>
      <c r="N39" s="111" t="n">
        <f aca="false">M39+N38</f>
        <v>-47945.135190096</v>
      </c>
      <c r="O39" s="111" t="n">
        <f aca="false">N39+O38</f>
        <v>-82788.7328306104</v>
      </c>
      <c r="P39" s="111" t="n">
        <f aca="false">O39+P38</f>
        <v>-93538.970483385</v>
      </c>
      <c r="Q39" s="111" t="n">
        <f aca="false">P39+Q38</f>
        <v>-75135.7197624652</v>
      </c>
      <c r="R39" s="111" t="n">
        <f aca="false">Q39+R38</f>
        <v>-40893.9430893629</v>
      </c>
      <c r="S39" s="111" t="n">
        <f aca="false">R39+S38</f>
        <v>16781.627527338</v>
      </c>
      <c r="T39" s="111" t="n">
        <f aca="false">S39+T38</f>
        <v>53966.3331715803</v>
      </c>
      <c r="U39" s="111" t="n">
        <f aca="false">T39+U38</f>
        <v>128752.431307682</v>
      </c>
      <c r="V39" s="111" t="n">
        <f aca="false">U39+V38</f>
        <v>215316.098070699</v>
      </c>
      <c r="W39" s="111" t="n">
        <f aca="false">V39+W38</f>
        <v>311431.169339195</v>
      </c>
      <c r="X39" s="111" t="n">
        <f aca="false">W39+X38</f>
        <v>416550.280605886</v>
      </c>
      <c r="Y39" s="111" t="n">
        <f aca="false">X39+Y38</f>
        <v>545141.577332919</v>
      </c>
      <c r="Z39" s="111" t="n">
        <f aca="false">Y39+Z38</f>
        <v>566660.217652978</v>
      </c>
      <c r="AA39" s="111" t="n">
        <f aca="false">Z39+AA38</f>
        <v>645411.071341585</v>
      </c>
      <c r="AB39" s="111" t="n">
        <f aca="false">AA39+AB38</f>
        <v>741847.645199887</v>
      </c>
      <c r="AC39" s="111" t="n">
        <f aca="false">AB39+AC38</f>
        <v>855065.296785532</v>
      </c>
      <c r="AD39" s="111" t="n">
        <f aca="false">AC39+AD38</f>
        <v>1005035.45647138</v>
      </c>
      <c r="AE39" s="111" t="n">
        <f aca="false">AD39+AE38</f>
        <v>1161525.84731046</v>
      </c>
      <c r="AF39" s="111" t="n">
        <f aca="false">AE39+AF38</f>
        <v>1353068.92836373</v>
      </c>
      <c r="AG39" s="111" t="n">
        <f aca="false">AF39+AG38</f>
        <v>1563224.97936552</v>
      </c>
      <c r="AH39" s="111" t="n">
        <f aca="false">AG39+AH38</f>
        <v>1790753.08491332</v>
      </c>
      <c r="AI39" s="111" t="n">
        <f aca="false">AH39+AI38</f>
        <v>2034349.1663284</v>
      </c>
      <c r="AJ39" s="111" t="n">
        <f aca="false">AI39+AJ38</f>
        <v>2292924.49503652</v>
      </c>
      <c r="AK39" s="111" t="n">
        <f aca="false">AJ39+AK38</f>
        <v>2565357.8236317</v>
      </c>
      <c r="AL39" s="111" t="n">
        <f aca="false">AK39+AL38</f>
        <v>2707565.64322744</v>
      </c>
      <c r="AM39" s="111" t="n">
        <f aca="false">AL39+AM38</f>
        <v>2898186.7531613</v>
      </c>
      <c r="AN39" s="111" t="n">
        <f aca="false">AM39+AN38</f>
        <v>3134013.02453858</v>
      </c>
      <c r="AO39" s="111" t="n">
        <f aca="false">AN39+AO38</f>
        <v>3412080.69457547</v>
      </c>
      <c r="AP39" s="111" t="n">
        <f aca="false">AO39+AP38</f>
        <v>3729576.84846992</v>
      </c>
      <c r="AQ39" s="111" t="n">
        <f aca="false">AP39+AQ38</f>
        <v>4058852.28339709</v>
      </c>
      <c r="AR39" s="111" t="n">
        <f aca="false">AQ39+AR38</f>
        <v>4447487.49625542</v>
      </c>
      <c r="AS39" s="111" t="n">
        <f aca="false">AR39+AS38</f>
        <v>4868146.25103497</v>
      </c>
      <c r="AT39" s="111" t="n">
        <f aca="false">AS39+AT38</f>
        <v>5318754.72062889</v>
      </c>
      <c r="AU39" s="111" t="n">
        <f aca="false">AT39+AU38</f>
        <v>5797321.10796908</v>
      </c>
      <c r="AV39" s="111" t="n">
        <f aca="false">AU39+AV38</f>
        <v>6301986.81322359</v>
      </c>
      <c r="AW39" s="111" t="n">
        <f aca="false">AV39+AW38</f>
        <v>6830974.18848072</v>
      </c>
      <c r="AX39" s="111" t="n">
        <f aca="false">AW39+AX38</f>
        <v>7299899.53216233</v>
      </c>
      <c r="AY39" s="111" t="n">
        <f aca="false">AX39+AY38</f>
        <v>7855604.59945753</v>
      </c>
      <c r="AZ39" s="111" t="n">
        <f aca="false">AY39+AZ38</f>
        <v>8492701.13080656</v>
      </c>
      <c r="BA39" s="111" t="n">
        <f aca="false">AZ39+BA38</f>
        <v>9206048.68187382</v>
      </c>
      <c r="BB39" s="111" t="n">
        <f aca="false">BA39+BB38</f>
        <v>9990905.00767205</v>
      </c>
      <c r="BC39" s="111" t="n">
        <f aca="false">BB39+BC38</f>
        <v>10812792.6554446</v>
      </c>
      <c r="BD39" s="111" t="n">
        <f aca="false">BC39+BD38</f>
        <v>11727530.8260734</v>
      </c>
      <c r="BE39" s="111" t="n">
        <f aca="false">BD39+BE38</f>
        <v>12701218.3622608</v>
      </c>
      <c r="BF39" s="111" t="n">
        <f aca="false">BE39+BF38</f>
        <v>13730112.8089428</v>
      </c>
      <c r="BG39" s="111" t="n">
        <f aca="false">BF39+BG38</f>
        <v>14810803.1783247</v>
      </c>
      <c r="BH39" s="111" t="n">
        <f aca="false">BG39+BH38</f>
        <v>15940052.4354876</v>
      </c>
      <c r="BI39" s="111" t="n">
        <f aca="false">BH39+BI38</f>
        <v>17114851.6960541</v>
      </c>
    </row>
    <row r="40" customFormat="false" ht="15" hidden="false" customHeight="false" outlineLevel="0" collapsed="false">
      <c r="A40" s="57" t="s">
        <v>495</v>
      </c>
      <c r="B40" s="147" t="n">
        <f aca="false">IF(B35&lt;0,B$5,0)</f>
        <v>0</v>
      </c>
      <c r="C40" s="147" t="n">
        <f aca="false">IF(C35&lt;0,C$5,0)</f>
        <v>0</v>
      </c>
      <c r="D40" s="147" t="n">
        <f aca="false">IF(D35&lt;0,D$5,0)</f>
        <v>0</v>
      </c>
      <c r="E40" s="147" t="n">
        <f aca="false">IF(E35&lt;0,E$5,0)</f>
        <v>4</v>
      </c>
      <c r="F40" s="147" t="n">
        <f aca="false">IF(F35&lt;0,F$5,0)</f>
        <v>5</v>
      </c>
      <c r="G40" s="147" t="n">
        <f aca="false">IF(G35&lt;0,G$5,0)</f>
        <v>6</v>
      </c>
      <c r="H40" s="147" t="n">
        <f aca="false">IF(H35&lt;0,H$5,0)</f>
        <v>7</v>
      </c>
      <c r="I40" s="147" t="n">
        <f aca="false">IF(I35&lt;0,I$5,0)</f>
        <v>8</v>
      </c>
      <c r="J40" s="147" t="n">
        <f aca="false">IF(J35&lt;0,J$5,0)</f>
        <v>9</v>
      </c>
      <c r="K40" s="147" t="n">
        <f aca="false">IF(K35&lt;0,K$5,0)</f>
        <v>10</v>
      </c>
      <c r="L40" s="147" t="n">
        <f aca="false">IF(L35&lt;0,L$5,0)</f>
        <v>11</v>
      </c>
      <c r="M40" s="147" t="n">
        <f aca="false">IF(M35&lt;0,M$5,0)</f>
        <v>12</v>
      </c>
      <c r="N40" s="147" t="n">
        <f aca="false">IF(N35&lt;0,N$5,0)</f>
        <v>13</v>
      </c>
      <c r="O40" s="147" t="n">
        <f aca="false">IF(O35&lt;0,O$5,0)</f>
        <v>14</v>
      </c>
      <c r="P40" s="147" t="n">
        <f aca="false">IF(P35&lt;0,P$5,0)</f>
        <v>15</v>
      </c>
      <c r="Q40" s="147" t="n">
        <f aca="false">IF(Q35&lt;0,Q$5,0)</f>
        <v>16</v>
      </c>
      <c r="R40" s="147" t="n">
        <f aca="false">IF(R35&lt;0,R$5,0)</f>
        <v>17</v>
      </c>
      <c r="S40" s="147" t="n">
        <f aca="false">IF(S35&lt;0,S$5,0)</f>
        <v>18</v>
      </c>
      <c r="T40" s="147" t="n">
        <f aca="false">IF(T35&lt;0,T$5,0)</f>
        <v>19</v>
      </c>
      <c r="U40" s="147" t="n">
        <f aca="false">IF(U35&lt;0,U$5,0)</f>
        <v>20</v>
      </c>
      <c r="V40" s="147" t="n">
        <f aca="false">IF(V35&lt;0,V$5,0)</f>
        <v>0</v>
      </c>
      <c r="W40" s="147" t="n">
        <f aca="false">IF(W35&lt;0,W$5,0)</f>
        <v>0</v>
      </c>
      <c r="X40" s="147" t="n">
        <f aca="false">IF(X35&lt;0,X$5,0)</f>
        <v>0</v>
      </c>
      <c r="Y40" s="147" t="n">
        <f aca="false">IF(Y35&lt;0,Y$5,0)</f>
        <v>0</v>
      </c>
      <c r="Z40" s="147" t="n">
        <f aca="false">IF(Z35&lt;0,Z$5,0)</f>
        <v>0</v>
      </c>
      <c r="AA40" s="147" t="n">
        <f aca="false">IF(AA35&lt;0,AA$5,0)</f>
        <v>0</v>
      </c>
      <c r="AB40" s="147" t="n">
        <f aca="false">IF(AB35&lt;0,AB$5,0)</f>
        <v>0</v>
      </c>
      <c r="AC40" s="147" t="n">
        <f aca="false">IF(AC35&lt;0,AC$5,0)</f>
        <v>0</v>
      </c>
      <c r="AD40" s="147" t="n">
        <f aca="false">IF(AD35&lt;0,AD$5,0)</f>
        <v>0</v>
      </c>
      <c r="AE40" s="147" t="n">
        <f aca="false">IF(AE35&lt;0,AE$5,0)</f>
        <v>0</v>
      </c>
      <c r="AF40" s="147" t="n">
        <f aca="false">IF(AF35&lt;0,AF$5,0)</f>
        <v>0</v>
      </c>
      <c r="AG40" s="147" t="n">
        <f aca="false">IF(AG35&lt;0,AG$5,0)</f>
        <v>0</v>
      </c>
      <c r="AH40" s="147" t="n">
        <f aca="false">IF(AH35&lt;0,AH$5,0)</f>
        <v>0</v>
      </c>
      <c r="AI40" s="147" t="n">
        <f aca="false">IF(AI35&lt;0,AI$5,0)</f>
        <v>0</v>
      </c>
      <c r="AJ40" s="147" t="n">
        <f aca="false">IF(AJ35&lt;0,AJ$5,0)</f>
        <v>0</v>
      </c>
      <c r="AK40" s="147" t="n">
        <f aca="false">IF(AK35&lt;0,AK$5,0)</f>
        <v>0</v>
      </c>
      <c r="AL40" s="147" t="n">
        <f aca="false">IF(AL35&lt;0,AL$5,0)</f>
        <v>0</v>
      </c>
      <c r="AM40" s="147" t="n">
        <f aca="false">IF(AM35&lt;0,AM$5,0)</f>
        <v>0</v>
      </c>
      <c r="AN40" s="147" t="n">
        <f aca="false">IF(AN35&lt;0,AN$5,0)</f>
        <v>0</v>
      </c>
      <c r="AO40" s="147" t="n">
        <f aca="false">IF(AO35&lt;0,AO$5,0)</f>
        <v>0</v>
      </c>
      <c r="AP40" s="147" t="n">
        <f aca="false">IF(AP35&lt;0,AP$5,0)</f>
        <v>0</v>
      </c>
      <c r="AQ40" s="147" t="n">
        <f aca="false">IF(AQ35&lt;0,AQ$5,0)</f>
        <v>0</v>
      </c>
      <c r="AR40" s="147" t="n">
        <f aca="false">IF(AR35&lt;0,AR$5,0)</f>
        <v>0</v>
      </c>
      <c r="AS40" s="147" t="n">
        <f aca="false">IF(AS35&lt;0,AS$5,0)</f>
        <v>0</v>
      </c>
      <c r="AT40" s="147" t="n">
        <f aca="false">IF(AT35&lt;0,AT$5,0)</f>
        <v>0</v>
      </c>
      <c r="AU40" s="147" t="n">
        <f aca="false">IF(AU35&lt;0,AU$5,0)</f>
        <v>0</v>
      </c>
      <c r="AV40" s="147" t="n">
        <f aca="false">IF(AV35&lt;0,AV$5,0)</f>
        <v>0</v>
      </c>
      <c r="AW40" s="147" t="n">
        <f aca="false">IF(AW35&lt;0,AW$5,0)</f>
        <v>0</v>
      </c>
      <c r="AX40" s="147" t="n">
        <f aca="false">IF(AX35&lt;0,AX$5,0)</f>
        <v>0</v>
      </c>
      <c r="AY40" s="147" t="n">
        <f aca="false">IF(AY35&lt;0,AY$5,0)</f>
        <v>0</v>
      </c>
      <c r="AZ40" s="147" t="n">
        <f aca="false">IF(AZ35&lt;0,AZ$5,0)</f>
        <v>0</v>
      </c>
      <c r="BA40" s="147" t="n">
        <f aca="false">IF(BA35&lt;0,BA$5,0)</f>
        <v>0</v>
      </c>
      <c r="BB40" s="147" t="n">
        <f aca="false">IF(BB35&lt;0,BB$5,0)</f>
        <v>0</v>
      </c>
      <c r="BC40" s="147" t="n">
        <f aca="false">IF(BC35&lt;0,BC$5,0)</f>
        <v>0</v>
      </c>
      <c r="BD40" s="147" t="n">
        <f aca="false">IF(BD35&lt;0,BD$5,0)</f>
        <v>0</v>
      </c>
      <c r="BE40" s="147" t="n">
        <f aca="false">IF(BE35&lt;0,BE$5,0)</f>
        <v>0</v>
      </c>
      <c r="BF40" s="147" t="n">
        <f aca="false">IF(BF35&lt;0,BF$5,0)</f>
        <v>0</v>
      </c>
      <c r="BG40" s="147" t="n">
        <f aca="false">IF(BG35&lt;0,BG$5,0)</f>
        <v>0</v>
      </c>
      <c r="BH40" s="147" t="n">
        <f aca="false">IF(BH35&lt;0,BH$5,0)</f>
        <v>0</v>
      </c>
      <c r="BI40" s="147" t="n">
        <f aca="false">IF(BI35&lt;0,BI$5,0)</f>
        <v>0</v>
      </c>
      <c r="BK40" s="29" t="s">
        <v>496</v>
      </c>
    </row>
    <row r="41" customFormat="false" ht="15" hidden="false" customHeight="false" outlineLevel="0" collapsed="false">
      <c r="A41" s="57" t="s">
        <v>497</v>
      </c>
      <c r="B41" s="147" t="n">
        <f aca="false">IF(B34&lt;0,B$5,0)</f>
        <v>0</v>
      </c>
      <c r="C41" s="147" t="n">
        <f aca="false">IF(C34&lt;0,C$5,0)</f>
        <v>0</v>
      </c>
      <c r="D41" s="147" t="n">
        <f aca="false">IF(D34&lt;0,D$5,0)</f>
        <v>0</v>
      </c>
      <c r="E41" s="147" t="n">
        <f aca="false">IF(E34&lt;0,E$5,0)</f>
        <v>4</v>
      </c>
      <c r="F41" s="147" t="n">
        <f aca="false">IF(F34&lt;0,F$5,0)</f>
        <v>5</v>
      </c>
      <c r="G41" s="147" t="n">
        <f aca="false">IF(G34&lt;0,G$5,0)</f>
        <v>6</v>
      </c>
      <c r="H41" s="147" t="n">
        <f aca="false">IF(H34&lt;0,H$5,0)</f>
        <v>7</v>
      </c>
      <c r="I41" s="147" t="n">
        <f aca="false">IF(I34&lt;0,I$5,0)</f>
        <v>8</v>
      </c>
      <c r="J41" s="147" t="n">
        <f aca="false">IF(J34&lt;0,J$5,0)</f>
        <v>9</v>
      </c>
      <c r="K41" s="147" t="n">
        <f aca="false">IF(K34&lt;0,K$5,0)</f>
        <v>10</v>
      </c>
      <c r="L41" s="147" t="n">
        <f aca="false">IF(L34&lt;0,L$5,0)</f>
        <v>11</v>
      </c>
      <c r="M41" s="147" t="n">
        <f aca="false">IF(M34&lt;0,M$5,0)</f>
        <v>12</v>
      </c>
      <c r="N41" s="147" t="n">
        <f aca="false">IF(N34&lt;0,N$5,0)</f>
        <v>13</v>
      </c>
      <c r="O41" s="147" t="n">
        <f aca="false">IF(O34&lt;0,O$5,0)</f>
        <v>14</v>
      </c>
      <c r="P41" s="147" t="n">
        <f aca="false">IF(P34&lt;0,P$5,0)</f>
        <v>15</v>
      </c>
      <c r="Q41" s="147" t="n">
        <f aca="false">IF(Q34&lt;0,Q$5,0)</f>
        <v>16</v>
      </c>
      <c r="R41" s="147" t="n">
        <f aca="false">IF(R34&lt;0,R$5,0)</f>
        <v>17</v>
      </c>
      <c r="S41" s="147" t="n">
        <f aca="false">IF(S34&lt;0,S$5,0)</f>
        <v>18</v>
      </c>
      <c r="T41" s="147" t="n">
        <f aca="false">IF(T34&lt;0,T$5,0)</f>
        <v>19</v>
      </c>
      <c r="U41" s="147" t="n">
        <f aca="false">IF(U34&lt;0,U$5,0)</f>
        <v>20</v>
      </c>
      <c r="V41" s="147" t="n">
        <f aca="false">IF(V34&lt;0,V$5,0)</f>
        <v>21</v>
      </c>
      <c r="W41" s="147" t="n">
        <f aca="false">IF(W34&lt;0,W$5,0)</f>
        <v>0</v>
      </c>
      <c r="X41" s="147" t="n">
        <f aca="false">IF(X34&lt;0,X$5,0)</f>
        <v>0</v>
      </c>
      <c r="Y41" s="147" t="n">
        <f aca="false">IF(Y34&lt;0,Y$5,0)</f>
        <v>0</v>
      </c>
      <c r="Z41" s="147" t="n">
        <f aca="false">IF(Z34&lt;0,Z$5,0)</f>
        <v>0</v>
      </c>
      <c r="AA41" s="147" t="n">
        <f aca="false">IF(AA34&lt;0,AA$5,0)</f>
        <v>0</v>
      </c>
      <c r="AB41" s="147" t="n">
        <f aca="false">IF(AB34&lt;0,AB$5,0)</f>
        <v>0</v>
      </c>
      <c r="AC41" s="147" t="n">
        <f aca="false">IF(AC34&lt;0,AC$5,0)</f>
        <v>0</v>
      </c>
      <c r="AD41" s="147" t="n">
        <f aca="false">IF(AD34&lt;0,AD$5,0)</f>
        <v>0</v>
      </c>
      <c r="AE41" s="147" t="n">
        <f aca="false">IF(AE34&lt;0,AE$5,0)</f>
        <v>0</v>
      </c>
      <c r="AF41" s="147" t="n">
        <f aca="false">IF(AF34&lt;0,AF$5,0)</f>
        <v>0</v>
      </c>
      <c r="AG41" s="147" t="n">
        <f aca="false">IF(AG34&lt;0,AG$5,0)</f>
        <v>0</v>
      </c>
      <c r="AH41" s="147" t="n">
        <f aca="false">IF(AH34&lt;0,AH$5,0)</f>
        <v>0</v>
      </c>
      <c r="AI41" s="147" t="n">
        <f aca="false">IF(AI34&lt;0,AI$5,0)</f>
        <v>0</v>
      </c>
      <c r="AJ41" s="147" t="n">
        <f aca="false">IF(AJ34&lt;0,AJ$5,0)</f>
        <v>0</v>
      </c>
      <c r="AK41" s="147" t="n">
        <f aca="false">IF(AK34&lt;0,AK$5,0)</f>
        <v>0</v>
      </c>
      <c r="AL41" s="147" t="n">
        <f aca="false">IF(AL34&lt;0,AL$5,0)</f>
        <v>0</v>
      </c>
      <c r="AM41" s="147" t="n">
        <f aca="false">IF(AM34&lt;0,AM$5,0)</f>
        <v>0</v>
      </c>
      <c r="AN41" s="147" t="n">
        <f aca="false">IF(AN34&lt;0,AN$5,0)</f>
        <v>0</v>
      </c>
      <c r="AO41" s="147" t="n">
        <f aca="false">IF(AO34&lt;0,AO$5,0)</f>
        <v>0</v>
      </c>
      <c r="AP41" s="147" t="n">
        <f aca="false">IF(AP34&lt;0,AP$5,0)</f>
        <v>0</v>
      </c>
      <c r="AQ41" s="147" t="n">
        <f aca="false">IF(AQ34&lt;0,AQ$5,0)</f>
        <v>0</v>
      </c>
      <c r="AR41" s="147" t="n">
        <f aca="false">IF(AR34&lt;0,AR$5,0)</f>
        <v>0</v>
      </c>
      <c r="AS41" s="147" t="n">
        <f aca="false">IF(AS34&lt;0,AS$5,0)</f>
        <v>0</v>
      </c>
      <c r="AT41" s="147" t="n">
        <f aca="false">IF(AT34&lt;0,AT$5,0)</f>
        <v>0</v>
      </c>
      <c r="AU41" s="147" t="n">
        <f aca="false">IF(AU34&lt;0,AU$5,0)</f>
        <v>0</v>
      </c>
      <c r="AV41" s="147" t="n">
        <f aca="false">IF(AV34&lt;0,AV$5,0)</f>
        <v>0</v>
      </c>
      <c r="AW41" s="147" t="n">
        <f aca="false">IF(AW34&lt;0,AW$5,0)</f>
        <v>0</v>
      </c>
      <c r="AX41" s="147" t="n">
        <f aca="false">IF(AX34&lt;0,AX$5,0)</f>
        <v>0</v>
      </c>
      <c r="AY41" s="147" t="n">
        <f aca="false">IF(AY34&lt;0,AY$5,0)</f>
        <v>0</v>
      </c>
      <c r="AZ41" s="147" t="n">
        <f aca="false">IF(AZ34&lt;0,AZ$5,0)</f>
        <v>0</v>
      </c>
      <c r="BA41" s="147" t="n">
        <f aca="false">IF(BA34&lt;0,BA$5,0)</f>
        <v>0</v>
      </c>
      <c r="BB41" s="147" t="n">
        <f aca="false">IF(BB34&lt;0,BB$5,0)</f>
        <v>0</v>
      </c>
      <c r="BC41" s="147" t="n">
        <f aca="false">IF(BC34&lt;0,BC$5,0)</f>
        <v>0</v>
      </c>
      <c r="BD41" s="147" t="n">
        <f aca="false">IF(BD34&lt;0,BD$5,0)</f>
        <v>0</v>
      </c>
      <c r="BE41" s="147" t="n">
        <f aca="false">IF(BE34&lt;0,BE$5,0)</f>
        <v>0</v>
      </c>
      <c r="BF41" s="147" t="n">
        <f aca="false">IF(BF34&lt;0,BF$5,0)</f>
        <v>0</v>
      </c>
      <c r="BG41" s="147" t="n">
        <f aca="false">IF(BG34&lt;0,BG$5,0)</f>
        <v>0</v>
      </c>
      <c r="BH41" s="147" t="n">
        <f aca="false">IF(BH34&lt;0,BH$5,0)</f>
        <v>0</v>
      </c>
      <c r="BI41" s="147" t="n">
        <f aca="false">IF(BI34&lt;0,BI$5,0)</f>
        <v>0</v>
      </c>
    </row>
    <row r="42" customFormat="false" ht="15" hidden="false" customHeight="false" outlineLevel="0" collapsed="false">
      <c r="A42" s="57" t="s">
        <v>498</v>
      </c>
      <c r="B42" s="148" t="n">
        <f aca="false">ROUND(B32-CHOOSE(Premissas!$B$6,Cenários!B39,Cenários!B85,Cenários!B131),2)</f>
        <v>0</v>
      </c>
      <c r="C42" s="148" t="n">
        <f aca="false">ROUND(C32-CHOOSE(Premissas!$B$6,Cenários!C39,Cenários!C85,Cenários!C131),2)</f>
        <v>0</v>
      </c>
      <c r="D42" s="148" t="n">
        <f aca="false">ROUND(D32-CHOOSE(Premissas!$B$6,Cenários!D39,Cenários!D85,Cenários!D131),2)</f>
        <v>0</v>
      </c>
      <c r="E42" s="148" t="n">
        <f aca="false">ROUND(E32-CHOOSE(Premissas!$B$6,Cenários!E39,Cenários!E85,Cenários!E131),2)</f>
        <v>0</v>
      </c>
      <c r="F42" s="148" t="n">
        <f aca="false">ROUND(F32-CHOOSE(Premissas!$B$6,Cenários!F39,Cenários!F85,Cenários!F131),2)</f>
        <v>0</v>
      </c>
      <c r="G42" s="148" t="n">
        <f aca="false">ROUND(G32-CHOOSE(Premissas!$B$6,Cenários!G39,Cenários!G85,Cenários!G131),2)</f>
        <v>0</v>
      </c>
      <c r="H42" s="148" t="n">
        <f aca="false">ROUND(H32-CHOOSE(Premissas!$B$6,Cenários!H39,Cenários!H85,Cenários!H131),2)</f>
        <v>0</v>
      </c>
      <c r="I42" s="148" t="n">
        <f aca="false">ROUND(I32-CHOOSE(Premissas!$B$6,Cenários!I39,Cenários!I85,Cenários!I131),2)</f>
        <v>0</v>
      </c>
      <c r="J42" s="148" t="n">
        <f aca="false">ROUND(J32-CHOOSE(Premissas!$B$6,Cenários!J39,Cenários!J85,Cenários!J131),2)</f>
        <v>0</v>
      </c>
      <c r="K42" s="148" t="n">
        <f aca="false">ROUND(K32-CHOOSE(Premissas!$B$6,Cenários!K39,Cenários!K85,Cenários!K131),2)</f>
        <v>0</v>
      </c>
      <c r="L42" s="148" t="n">
        <f aca="false">ROUND(L32-CHOOSE(Premissas!$B$6,Cenários!L39,Cenários!L85,Cenários!L131),2)</f>
        <v>0</v>
      </c>
      <c r="M42" s="148" t="n">
        <f aca="false">ROUND(M32-CHOOSE(Premissas!$B$6,Cenários!M39,Cenários!M85,Cenários!M131),2)</f>
        <v>0</v>
      </c>
      <c r="N42" s="148" t="n">
        <f aca="false">ROUND(N32-CHOOSE(Premissas!$B$6,Cenários!N39,Cenários!N85,Cenários!N131),2)</f>
        <v>0</v>
      </c>
      <c r="O42" s="148" t="n">
        <f aca="false">ROUND(O32-CHOOSE(Premissas!$B$6,Cenários!O39,Cenários!O85,Cenários!O131),2)</f>
        <v>0</v>
      </c>
      <c r="P42" s="148" t="n">
        <f aca="false">ROUND(P32-CHOOSE(Premissas!$B$6,Cenários!P39,Cenários!P85,Cenários!P131),2)</f>
        <v>0</v>
      </c>
      <c r="Q42" s="148" t="n">
        <f aca="false">ROUND(Q32-CHOOSE(Premissas!$B$6,Cenários!Q39,Cenários!Q85,Cenários!Q131),2)</f>
        <v>0</v>
      </c>
      <c r="R42" s="148" t="n">
        <f aca="false">ROUND(R32-CHOOSE(Premissas!$B$6,Cenários!R39,Cenários!R85,Cenários!R131),2)</f>
        <v>0</v>
      </c>
      <c r="S42" s="148" t="n">
        <f aca="false">ROUND(S32-CHOOSE(Premissas!$B$6,Cenários!S39,Cenários!S85,Cenários!S131),2)</f>
        <v>0</v>
      </c>
      <c r="T42" s="148" t="n">
        <f aca="false">ROUND(T32-CHOOSE(Premissas!$B$6,Cenários!T39,Cenários!T85,Cenários!T131),2)</f>
        <v>0</v>
      </c>
      <c r="U42" s="148" t="n">
        <f aca="false">ROUND(U32-CHOOSE(Premissas!$B$6,Cenários!U39,Cenários!U85,Cenários!U131),2)</f>
        <v>0</v>
      </c>
      <c r="V42" s="148" t="n">
        <f aca="false">ROUND(V32-CHOOSE(Premissas!$B$6,Cenários!V39,Cenários!V85,Cenários!V131),2)</f>
        <v>0</v>
      </c>
      <c r="W42" s="148" t="n">
        <f aca="false">ROUND(W32-CHOOSE(Premissas!$B$6,Cenários!W39,Cenários!W85,Cenários!W131),2)</f>
        <v>0</v>
      </c>
      <c r="X42" s="148" t="n">
        <f aca="false">ROUND(X32-CHOOSE(Premissas!$B$6,Cenários!X39,Cenários!X85,Cenários!X131),2)</f>
        <v>0</v>
      </c>
      <c r="Y42" s="148" t="n">
        <f aca="false">ROUND(Y32-CHOOSE(Premissas!$B$6,Cenários!Y39,Cenários!Y85,Cenários!Y131),2)</f>
        <v>0</v>
      </c>
      <c r="Z42" s="148" t="n">
        <f aca="false">ROUND(Z32-CHOOSE(Premissas!$B$6,Cenários!Z39,Cenários!Z85,Cenários!Z131),2)</f>
        <v>0</v>
      </c>
      <c r="AA42" s="148" t="n">
        <f aca="false">ROUND(AA32-CHOOSE(Premissas!$B$6,Cenários!AA39,Cenários!AA85,Cenários!AA131),2)</f>
        <v>0</v>
      </c>
      <c r="AB42" s="148" t="n">
        <f aca="false">ROUND(AB32-CHOOSE(Premissas!$B$6,Cenários!AB39,Cenários!AB85,Cenários!AB131),2)</f>
        <v>0</v>
      </c>
      <c r="AC42" s="148" t="n">
        <f aca="false">ROUND(AC32-CHOOSE(Premissas!$B$6,Cenários!AC39,Cenários!AC85,Cenários!AC131),2)</f>
        <v>0</v>
      </c>
      <c r="AD42" s="148" t="n">
        <f aca="false">ROUND(AD32-CHOOSE(Premissas!$B$6,Cenários!AD39,Cenários!AD85,Cenários!AD131),2)</f>
        <v>0</v>
      </c>
      <c r="AE42" s="148" t="n">
        <f aca="false">ROUND(AE32-CHOOSE(Premissas!$B$6,Cenários!AE39,Cenários!AE85,Cenários!AE131),2)</f>
        <v>0</v>
      </c>
      <c r="AF42" s="148" t="n">
        <f aca="false">ROUND(AF32-CHOOSE(Premissas!$B$6,Cenários!AF39,Cenários!AF85,Cenários!AF131),2)</f>
        <v>0</v>
      </c>
      <c r="AG42" s="148" t="n">
        <f aca="false">ROUND(AG32-CHOOSE(Premissas!$B$6,Cenários!AG39,Cenários!AG85,Cenários!AG131),2)</f>
        <v>0</v>
      </c>
      <c r="AH42" s="148" t="n">
        <f aca="false">ROUND(AH32-CHOOSE(Premissas!$B$6,Cenários!AH39,Cenários!AH85,Cenários!AH131),2)</f>
        <v>0</v>
      </c>
      <c r="AI42" s="148" t="n">
        <f aca="false">ROUND(AI32-CHOOSE(Premissas!$B$6,Cenários!AI39,Cenários!AI85,Cenários!AI131),2)</f>
        <v>0</v>
      </c>
      <c r="AJ42" s="148" t="n">
        <f aca="false">ROUND(AJ32-CHOOSE(Premissas!$B$6,Cenários!AJ39,Cenários!AJ85,Cenários!AJ131),2)</f>
        <v>0</v>
      </c>
      <c r="AK42" s="148" t="n">
        <f aca="false">ROUND(AK32-CHOOSE(Premissas!$B$6,Cenários!AK39,Cenários!AK85,Cenários!AK131),2)</f>
        <v>0</v>
      </c>
      <c r="AL42" s="148" t="n">
        <f aca="false">ROUND(AL32-CHOOSE(Premissas!$B$6,Cenários!AL39,Cenários!AL85,Cenários!AL131),2)</f>
        <v>0</v>
      </c>
      <c r="AM42" s="148" t="n">
        <f aca="false">ROUND(AM32-CHOOSE(Premissas!$B$6,Cenários!AM39,Cenários!AM85,Cenários!AM131),2)</f>
        <v>0</v>
      </c>
      <c r="AN42" s="148" t="n">
        <f aca="false">ROUND(AN32-CHOOSE(Premissas!$B$6,Cenários!AN39,Cenários!AN85,Cenários!AN131),2)</f>
        <v>0</v>
      </c>
      <c r="AO42" s="148" t="n">
        <f aca="false">ROUND(AO32-CHOOSE(Premissas!$B$6,Cenários!AO39,Cenários!AO85,Cenários!AO131),2)</f>
        <v>0</v>
      </c>
      <c r="AP42" s="148" t="n">
        <f aca="false">ROUND(AP32-CHOOSE(Premissas!$B$6,Cenários!AP39,Cenários!AP85,Cenários!AP131),2)</f>
        <v>0</v>
      </c>
      <c r="AQ42" s="148" t="n">
        <f aca="false">ROUND(AQ32-CHOOSE(Premissas!$B$6,Cenários!AQ39,Cenários!AQ85,Cenários!AQ131),2)</f>
        <v>0</v>
      </c>
      <c r="AR42" s="148" t="n">
        <f aca="false">ROUND(AR32-CHOOSE(Premissas!$B$6,Cenários!AR39,Cenários!AR85,Cenários!AR131),2)</f>
        <v>0</v>
      </c>
      <c r="AS42" s="148" t="n">
        <f aca="false">ROUND(AS32-CHOOSE(Premissas!$B$6,Cenários!AS39,Cenários!AS85,Cenários!AS131),2)</f>
        <v>0</v>
      </c>
      <c r="AT42" s="148" t="n">
        <f aca="false">ROUND(AT32-CHOOSE(Premissas!$B$6,Cenários!AT39,Cenários!AT85,Cenários!AT131),2)</f>
        <v>0</v>
      </c>
      <c r="AU42" s="148" t="n">
        <f aca="false">ROUND(AU32-CHOOSE(Premissas!$B$6,Cenários!AU39,Cenários!AU85,Cenários!AU131),2)</f>
        <v>0</v>
      </c>
      <c r="AV42" s="148" t="n">
        <f aca="false">ROUND(AV32-CHOOSE(Premissas!$B$6,Cenários!AV39,Cenários!AV85,Cenários!AV131),2)</f>
        <v>0</v>
      </c>
      <c r="AW42" s="148" t="n">
        <f aca="false">ROUND(AW32-CHOOSE(Premissas!$B$6,Cenários!AW39,Cenários!AW85,Cenários!AW131),2)</f>
        <v>0</v>
      </c>
      <c r="AX42" s="148" t="n">
        <f aca="false">ROUND(AX32-CHOOSE(Premissas!$B$6,Cenários!AX39,Cenários!AX85,Cenários!AX131),2)</f>
        <v>0</v>
      </c>
      <c r="AY42" s="148" t="n">
        <f aca="false">ROUND(AY32-CHOOSE(Premissas!$B$6,Cenários!AY39,Cenários!AY85,Cenários!AY131),2)</f>
        <v>0</v>
      </c>
      <c r="AZ42" s="148" t="n">
        <f aca="false">ROUND(AZ32-CHOOSE(Premissas!$B$6,Cenários!AZ39,Cenários!AZ85,Cenários!AZ131),2)</f>
        <v>0</v>
      </c>
      <c r="BA42" s="148" t="n">
        <f aca="false">ROUND(BA32-CHOOSE(Premissas!$B$6,Cenários!BA39,Cenários!BA85,Cenários!BA131),2)</f>
        <v>0</v>
      </c>
      <c r="BB42" s="148" t="n">
        <f aca="false">ROUND(BB32-CHOOSE(Premissas!$B$6,Cenários!BB39,Cenários!BB85,Cenários!BB131),2)</f>
        <v>0</v>
      </c>
      <c r="BC42" s="148" t="n">
        <f aca="false">ROUND(BC32-CHOOSE(Premissas!$B$6,Cenários!BC39,Cenários!BC85,Cenários!BC131),2)</f>
        <v>0</v>
      </c>
      <c r="BD42" s="148" t="n">
        <f aca="false">ROUND(BD32-CHOOSE(Premissas!$B$6,Cenários!BD39,Cenários!BD85,Cenários!BD131),2)</f>
        <v>0</v>
      </c>
      <c r="BE42" s="148" t="n">
        <f aca="false">ROUND(BE32-CHOOSE(Premissas!$B$6,Cenários!BE39,Cenários!BE85,Cenários!BE131),2)</f>
        <v>0</v>
      </c>
      <c r="BF42" s="148" t="n">
        <f aca="false">ROUND(BF32-CHOOSE(Premissas!$B$6,Cenários!BF39,Cenários!BF85,Cenários!BF131),2)</f>
        <v>0</v>
      </c>
      <c r="BG42" s="148" t="n">
        <f aca="false">ROUND(BG32-CHOOSE(Premissas!$B$6,Cenários!BG39,Cenários!BG85,Cenários!BG131),2)</f>
        <v>0</v>
      </c>
      <c r="BH42" s="148" t="n">
        <f aca="false">ROUND(BH32-CHOOSE(Premissas!$B$6,Cenários!BH39,Cenários!BH85,Cenários!BH131),2)</f>
        <v>0</v>
      </c>
      <c r="BI42" s="148" t="n">
        <f aca="false">ROUND(BI32-CHOOSE(Premissas!$B$6,Cenários!BI39,Cenários!BI85,Cenários!BI131),2)</f>
        <v>0</v>
      </c>
      <c r="BJ42" s="149" t="n">
        <f aca="false">SUM(B42:BI42)</f>
        <v>0</v>
      </c>
      <c r="BK42" s="29" t="s">
        <v>499</v>
      </c>
    </row>
    <row r="44" customFormat="false" ht="18" hidden="false" customHeight="true" outlineLevel="0" collapsed="false">
      <c r="A44" s="25" t="s">
        <v>500</v>
      </c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</row>
    <row r="45" customFormat="false" ht="15" hidden="false" customHeight="false" outlineLevel="0" collapsed="false">
      <c r="A45" s="27" t="s">
        <v>122</v>
      </c>
      <c r="B45" s="32" t="n">
        <f aca="false">NPV(Premissas!$B$19,B32:BI32)</f>
        <v>6887624.96795662</v>
      </c>
      <c r="D45" s="29" t="s">
        <v>501</v>
      </c>
    </row>
    <row r="46" customFormat="false" ht="15" hidden="false" customHeight="false" outlineLevel="0" collapsed="false">
      <c r="A46" s="27" t="s">
        <v>124</v>
      </c>
      <c r="B46" s="150" t="n">
        <f aca="false">IFERROR(IRR(B32:BI32),"n/d")</f>
        <v>0.166280620709587</v>
      </c>
      <c r="D46" s="29" t="s">
        <v>502</v>
      </c>
    </row>
    <row r="47" customFormat="false" ht="15" hidden="false" customHeight="false" outlineLevel="0" collapsed="false">
      <c r="A47" s="27" t="s">
        <v>125</v>
      </c>
      <c r="B47" s="36" t="n">
        <f aca="false">IFERROR((1+$B46)^12-1,"n/d")</f>
        <v>5.3333969957692</v>
      </c>
      <c r="D47" s="29" t="s">
        <v>503</v>
      </c>
    </row>
    <row r="48" customFormat="false" ht="15" hidden="false" customHeight="false" outlineLevel="0" collapsed="false">
      <c r="A48" s="27" t="s">
        <v>127</v>
      </c>
      <c r="B48" s="48" t="n">
        <f aca="false">IF(BI35&lt;0,"&gt; 60 meses",MAX(B40:BI40)+1)</f>
        <v>21</v>
      </c>
      <c r="D48" s="29" t="s">
        <v>128</v>
      </c>
    </row>
    <row r="49" customFormat="false" ht="15" hidden="false" customHeight="false" outlineLevel="0" collapsed="false">
      <c r="A49" s="27" t="s">
        <v>129</v>
      </c>
      <c r="B49" s="48" t="n">
        <f aca="false">IF(BI34&lt;0,"&gt; 60 meses",MAX(B41:BI41)+1)</f>
        <v>22</v>
      </c>
      <c r="D49" s="29" t="s">
        <v>504</v>
      </c>
    </row>
    <row r="50" customFormat="false" ht="15" hidden="false" customHeight="false" outlineLevel="0" collapsed="false">
      <c r="A50" s="27" t="s">
        <v>505</v>
      </c>
      <c r="B50" s="32" t="n">
        <f aca="false">-MIN(B35:BI35)</f>
        <v>263538.970483385</v>
      </c>
      <c r="D50" s="29" t="s">
        <v>506</v>
      </c>
    </row>
    <row r="51" customFormat="false" ht="15" hidden="false" customHeight="false" outlineLevel="0" collapsed="false">
      <c r="A51" s="27" t="s">
        <v>116</v>
      </c>
      <c r="B51" s="32" t="n">
        <f aca="false">MIN(B39:BI39)</f>
        <v>-93538.970483385</v>
      </c>
      <c r="D51" s="29" t="s">
        <v>507</v>
      </c>
    </row>
    <row r="52" customFormat="false" ht="15" hidden="false" customHeight="false" outlineLevel="0" collapsed="false">
      <c r="A52" s="27" t="s">
        <v>112</v>
      </c>
      <c r="B52" s="32" t="n">
        <f aca="false">-BJ13</f>
        <v>149127.82</v>
      </c>
    </row>
    <row r="53" customFormat="false" ht="15" hidden="false" customHeight="false" outlineLevel="0" collapsed="false">
      <c r="A53" s="27" t="s">
        <v>508</v>
      </c>
      <c r="B53" s="32" t="n">
        <f aca="false">BJ31</f>
        <v>61315814.9412342</v>
      </c>
    </row>
    <row r="54" customFormat="false" ht="15" hidden="false" customHeight="false" outlineLevel="0" collapsed="false">
      <c r="A54" s="27" t="s">
        <v>509</v>
      </c>
      <c r="B54" s="32" t="n">
        <f aca="false">BJ32</f>
        <v>16914851.6960541</v>
      </c>
    </row>
    <row r="55" customFormat="false" ht="15" hidden="false" customHeight="false" outlineLevel="0" collapsed="false">
      <c r="A55" s="27" t="s">
        <v>132</v>
      </c>
      <c r="B55" s="45" t="n">
        <f aca="false">IFERROR(BJ32/$B50,0)</f>
        <v>64.1834931093067</v>
      </c>
      <c r="D55" s="29" t="s">
        <v>510</v>
      </c>
    </row>
    <row r="56" customFormat="false" ht="15" hidden="false" customHeight="false" outlineLevel="0" collapsed="false">
      <c r="A56" s="27" t="s">
        <v>511</v>
      </c>
      <c r="B56" s="130" t="n">
        <f aca="false">Premissas!$B$18</f>
        <v>0.25</v>
      </c>
    </row>
    <row r="57" customFormat="false" ht="15" hidden="false" customHeight="false" outlineLevel="0" collapsed="false">
      <c r="A57" s="27" t="s">
        <v>512</v>
      </c>
      <c r="B57" s="150" t="n">
        <f aca="false">IFERROR(-BJ26/BJ31,0)</f>
        <v>0.165331049713446</v>
      </c>
    </row>
    <row r="59" customFormat="false" ht="18" hidden="false" customHeight="true" outlineLevel="0" collapsed="false">
      <c r="A59" s="25" t="s">
        <v>513</v>
      </c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  <c r="BG59" s="26"/>
      <c r="BH59" s="26"/>
      <c r="BI59" s="26"/>
      <c r="BJ59" s="26"/>
      <c r="BK59" s="26"/>
    </row>
    <row r="60" customFormat="false" ht="15" hidden="false" customHeight="false" outlineLevel="0" collapsed="false">
      <c r="A60" s="27" t="s">
        <v>514</v>
      </c>
      <c r="B60" s="151" t="n">
        <f aca="false">Premissas!$B$29</f>
        <v>19.9</v>
      </c>
    </row>
    <row r="61" customFormat="false" ht="15" hidden="false" customHeight="false" outlineLevel="0" collapsed="false">
      <c r="A61" s="27" t="s">
        <v>515</v>
      </c>
      <c r="B61" s="151" t="n">
        <f aca="false">Premissas!$B$30</f>
        <v>39.9</v>
      </c>
    </row>
    <row r="62" customFormat="false" ht="15" hidden="false" customHeight="false" outlineLevel="0" collapsed="false">
      <c r="A62" s="27" t="s">
        <v>516</v>
      </c>
      <c r="B62" s="151" t="n">
        <f aca="false">Premissas!$B$31</f>
        <v>79.9</v>
      </c>
    </row>
    <row r="63" customFormat="false" ht="15" hidden="false" customHeight="false" outlineLevel="0" collapsed="false">
      <c r="A63" s="27" t="s">
        <v>517</v>
      </c>
      <c r="B63" s="152" t="n">
        <f aca="false">Premissas!$B$62</f>
        <v>0.15</v>
      </c>
    </row>
    <row r="64" customFormat="false" ht="15" hidden="false" customHeight="false" outlineLevel="0" collapsed="false">
      <c r="A64" s="27" t="s">
        <v>518</v>
      </c>
      <c r="B64" s="152" t="n">
        <f aca="false">Premissas!$B$66</f>
        <v>0.1</v>
      </c>
    </row>
    <row r="65" customFormat="false" ht="15" hidden="false" customHeight="false" outlineLevel="0" collapsed="false">
      <c r="A65" s="27" t="s">
        <v>519</v>
      </c>
      <c r="B65" s="152" t="n">
        <f aca="false">Premissas!$B$18</f>
        <v>0.25</v>
      </c>
    </row>
    <row r="66" customFormat="false" ht="15" hidden="false" customHeight="false" outlineLevel="0" collapsed="false">
      <c r="A66" s="27" t="s">
        <v>520</v>
      </c>
      <c r="B66" s="153" t="n">
        <f aca="false">Premissas!$B$20</f>
        <v>36</v>
      </c>
    </row>
    <row r="67" customFormat="false" ht="15" hidden="false" customHeight="false" outlineLevel="0" collapsed="false">
      <c r="A67" s="27" t="s">
        <v>521</v>
      </c>
      <c r="B67" s="153" t="n">
        <f aca="false">Premissas!$B$15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C8A"/>
    <pageSetUpPr fitToPage="false"/>
  </sheetPr>
  <dimension ref="A1:BK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1" min="2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522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140" t="str">
        <f aca="false">" Cenário ativo: "&amp;Premissas!B7</f>
        <v> Cenário ativo: PROVÁVEL</v>
      </c>
    </row>
    <row r="4" customFormat="false" ht="15" hidden="false" customHeight="false" outlineLevel="0" collapsed="false">
      <c r="A4" s="100" t="s">
        <v>325</v>
      </c>
      <c r="B4" s="101" t="n">
        <v>46023</v>
      </c>
      <c r="C4" s="101" t="n">
        <v>46054</v>
      </c>
      <c r="D4" s="101" t="n">
        <v>46082</v>
      </c>
      <c r="E4" s="101" t="n">
        <v>46113</v>
      </c>
      <c r="F4" s="101" t="n">
        <v>46143</v>
      </c>
      <c r="G4" s="101" t="n">
        <v>46174</v>
      </c>
      <c r="H4" s="101" t="n">
        <v>46204</v>
      </c>
      <c r="I4" s="101" t="n">
        <v>46235</v>
      </c>
      <c r="J4" s="101" t="n">
        <v>46266</v>
      </c>
      <c r="K4" s="101" t="n">
        <v>46296</v>
      </c>
      <c r="L4" s="101" t="n">
        <v>46327</v>
      </c>
      <c r="M4" s="101" t="n">
        <v>46357</v>
      </c>
      <c r="N4" s="101" t="n">
        <v>46388</v>
      </c>
      <c r="O4" s="101" t="n">
        <v>46419</v>
      </c>
      <c r="P4" s="101" t="n">
        <v>46447</v>
      </c>
      <c r="Q4" s="101" t="n">
        <v>46478</v>
      </c>
      <c r="R4" s="101" t="n">
        <v>46508</v>
      </c>
      <c r="S4" s="101" t="n">
        <v>46539</v>
      </c>
      <c r="T4" s="101" t="n">
        <v>46569</v>
      </c>
      <c r="U4" s="101" t="n">
        <v>46600</v>
      </c>
      <c r="V4" s="101" t="n">
        <v>46631</v>
      </c>
      <c r="W4" s="101" t="n">
        <v>46661</v>
      </c>
      <c r="X4" s="101" t="n">
        <v>46692</v>
      </c>
      <c r="Y4" s="101" t="n">
        <v>46722</v>
      </c>
      <c r="Z4" s="101" t="n">
        <v>46753</v>
      </c>
      <c r="AA4" s="101" t="n">
        <v>46784</v>
      </c>
      <c r="AB4" s="101" t="n">
        <v>46813</v>
      </c>
      <c r="AC4" s="101" t="n">
        <v>46844</v>
      </c>
      <c r="AD4" s="101" t="n">
        <v>46874</v>
      </c>
      <c r="AE4" s="101" t="n">
        <v>46905</v>
      </c>
      <c r="AF4" s="101" t="n">
        <v>46935</v>
      </c>
      <c r="AG4" s="101" t="n">
        <v>46966</v>
      </c>
      <c r="AH4" s="101" t="n">
        <v>46997</v>
      </c>
      <c r="AI4" s="101" t="n">
        <v>47027</v>
      </c>
      <c r="AJ4" s="101" t="n">
        <v>47058</v>
      </c>
      <c r="AK4" s="101" t="n">
        <v>47088</v>
      </c>
      <c r="AL4" s="101" t="n">
        <v>47119</v>
      </c>
      <c r="AM4" s="101" t="n">
        <v>47150</v>
      </c>
      <c r="AN4" s="101" t="n">
        <v>47178</v>
      </c>
      <c r="AO4" s="101" t="n">
        <v>47209</v>
      </c>
      <c r="AP4" s="101" t="n">
        <v>47239</v>
      </c>
      <c r="AQ4" s="101" t="n">
        <v>47270</v>
      </c>
      <c r="AR4" s="101" t="n">
        <v>47300</v>
      </c>
      <c r="AS4" s="101" t="n">
        <v>47331</v>
      </c>
      <c r="AT4" s="101" t="n">
        <v>47362</v>
      </c>
      <c r="AU4" s="101" t="n">
        <v>47392</v>
      </c>
      <c r="AV4" s="101" t="n">
        <v>47423</v>
      </c>
      <c r="AW4" s="101" t="n">
        <v>47453</v>
      </c>
      <c r="AX4" s="101" t="n">
        <v>47484</v>
      </c>
      <c r="AY4" s="101" t="n">
        <v>47515</v>
      </c>
      <c r="AZ4" s="101" t="n">
        <v>47543</v>
      </c>
      <c r="BA4" s="101" t="n">
        <v>47574</v>
      </c>
      <c r="BB4" s="101" t="n">
        <v>47604</v>
      </c>
      <c r="BC4" s="101" t="n">
        <v>47635</v>
      </c>
      <c r="BD4" s="101" t="n">
        <v>47665</v>
      </c>
      <c r="BE4" s="101" t="n">
        <v>47696</v>
      </c>
      <c r="BF4" s="101" t="n">
        <v>47727</v>
      </c>
      <c r="BG4" s="101" t="n">
        <v>47757</v>
      </c>
      <c r="BH4" s="101" t="n">
        <v>47788</v>
      </c>
      <c r="BI4" s="101" t="n">
        <v>47818</v>
      </c>
      <c r="BJ4" s="102" t="s">
        <v>326</v>
      </c>
      <c r="BK4" s="102" t="s">
        <v>327</v>
      </c>
    </row>
    <row r="5" customFormat="false" ht="15" hidden="false" customHeight="false" outlineLevel="0" collapsed="false">
      <c r="A5" s="103" t="s">
        <v>328</v>
      </c>
      <c r="B5" s="104" t="n">
        <v>1</v>
      </c>
      <c r="C5" s="104" t="n">
        <v>2</v>
      </c>
      <c r="D5" s="104" t="n">
        <v>3</v>
      </c>
      <c r="E5" s="104" t="n">
        <v>4</v>
      </c>
      <c r="F5" s="104" t="n">
        <v>5</v>
      </c>
      <c r="G5" s="104" t="n">
        <v>6</v>
      </c>
      <c r="H5" s="104" t="n">
        <v>7</v>
      </c>
      <c r="I5" s="104" t="n">
        <v>8</v>
      </c>
      <c r="J5" s="104" t="n">
        <v>9</v>
      </c>
      <c r="K5" s="104" t="n">
        <v>10</v>
      </c>
      <c r="L5" s="104" t="n">
        <v>11</v>
      </c>
      <c r="M5" s="104" t="n">
        <v>12</v>
      </c>
      <c r="N5" s="104" t="n">
        <v>13</v>
      </c>
      <c r="O5" s="104" t="n">
        <v>14</v>
      </c>
      <c r="P5" s="104" t="n">
        <v>15</v>
      </c>
      <c r="Q5" s="104" t="n">
        <v>16</v>
      </c>
      <c r="R5" s="104" t="n">
        <v>17</v>
      </c>
      <c r="S5" s="104" t="n">
        <v>18</v>
      </c>
      <c r="T5" s="104" t="n">
        <v>19</v>
      </c>
      <c r="U5" s="104" t="n">
        <v>20</v>
      </c>
      <c r="V5" s="104" t="n">
        <v>21</v>
      </c>
      <c r="W5" s="104" t="n">
        <v>22</v>
      </c>
      <c r="X5" s="104" t="n">
        <v>23</v>
      </c>
      <c r="Y5" s="104" t="n">
        <v>24</v>
      </c>
      <c r="Z5" s="104" t="n">
        <v>25</v>
      </c>
      <c r="AA5" s="104" t="n">
        <v>26</v>
      </c>
      <c r="AB5" s="104" t="n">
        <v>27</v>
      </c>
      <c r="AC5" s="104" t="n">
        <v>28</v>
      </c>
      <c r="AD5" s="104" t="n">
        <v>29</v>
      </c>
      <c r="AE5" s="104" t="n">
        <v>30</v>
      </c>
      <c r="AF5" s="104" t="n">
        <v>31</v>
      </c>
      <c r="AG5" s="104" t="n">
        <v>32</v>
      </c>
      <c r="AH5" s="104" t="n">
        <v>33</v>
      </c>
      <c r="AI5" s="104" t="n">
        <v>34</v>
      </c>
      <c r="AJ5" s="104" t="n">
        <v>35</v>
      </c>
      <c r="AK5" s="104" t="n">
        <v>36</v>
      </c>
      <c r="AL5" s="104" t="n">
        <v>37</v>
      </c>
      <c r="AM5" s="104" t="n">
        <v>38</v>
      </c>
      <c r="AN5" s="104" t="n">
        <v>39</v>
      </c>
      <c r="AO5" s="104" t="n">
        <v>40</v>
      </c>
      <c r="AP5" s="104" t="n">
        <v>41</v>
      </c>
      <c r="AQ5" s="104" t="n">
        <v>42</v>
      </c>
      <c r="AR5" s="104" t="n">
        <v>43</v>
      </c>
      <c r="AS5" s="104" t="n">
        <v>44</v>
      </c>
      <c r="AT5" s="104" t="n">
        <v>45</v>
      </c>
      <c r="AU5" s="104" t="n">
        <v>46</v>
      </c>
      <c r="AV5" s="104" t="n">
        <v>47</v>
      </c>
      <c r="AW5" s="104" t="n">
        <v>48</v>
      </c>
      <c r="AX5" s="104" t="n">
        <v>49</v>
      </c>
      <c r="AY5" s="104" t="n">
        <v>50</v>
      </c>
      <c r="AZ5" s="104" t="n">
        <v>51</v>
      </c>
      <c r="BA5" s="104" t="n">
        <v>52</v>
      </c>
      <c r="BB5" s="104" t="n">
        <v>53</v>
      </c>
      <c r="BC5" s="104" t="n">
        <v>54</v>
      </c>
      <c r="BD5" s="104" t="n">
        <v>55</v>
      </c>
      <c r="BE5" s="104" t="n">
        <v>56</v>
      </c>
      <c r="BF5" s="104" t="n">
        <v>57</v>
      </c>
      <c r="BG5" s="104" t="n">
        <v>58</v>
      </c>
      <c r="BH5" s="104" t="n">
        <v>59</v>
      </c>
      <c r="BI5" s="104" t="n">
        <v>60</v>
      </c>
    </row>
    <row r="6" customFormat="false" ht="15" hidden="false" customHeight="false" outlineLevel="0" collapsed="false">
      <c r="A6" s="103" t="s">
        <v>329</v>
      </c>
      <c r="B6" s="105" t="n">
        <f aca="false">YEAR(B4)</f>
        <v>2026</v>
      </c>
      <c r="C6" s="105" t="n">
        <f aca="false">YEAR(C4)</f>
        <v>2026</v>
      </c>
      <c r="D6" s="105" t="n">
        <f aca="false">YEAR(D4)</f>
        <v>2026</v>
      </c>
      <c r="E6" s="105" t="n">
        <f aca="false">YEAR(E4)</f>
        <v>2026</v>
      </c>
      <c r="F6" s="105" t="n">
        <f aca="false">YEAR(F4)</f>
        <v>2026</v>
      </c>
      <c r="G6" s="105" t="n">
        <f aca="false">YEAR(G4)</f>
        <v>2026</v>
      </c>
      <c r="H6" s="105" t="n">
        <f aca="false">YEAR(H4)</f>
        <v>2026</v>
      </c>
      <c r="I6" s="105" t="n">
        <f aca="false">YEAR(I4)</f>
        <v>2026</v>
      </c>
      <c r="J6" s="105" t="n">
        <f aca="false">YEAR(J4)</f>
        <v>2026</v>
      </c>
      <c r="K6" s="105" t="n">
        <f aca="false">YEAR(K4)</f>
        <v>2026</v>
      </c>
      <c r="L6" s="105" t="n">
        <f aca="false">YEAR(L4)</f>
        <v>2026</v>
      </c>
      <c r="M6" s="105" t="n">
        <f aca="false">YEAR(M4)</f>
        <v>2026</v>
      </c>
      <c r="N6" s="105" t="n">
        <f aca="false">YEAR(N4)</f>
        <v>2027</v>
      </c>
      <c r="O6" s="105" t="n">
        <f aca="false">YEAR(O4)</f>
        <v>2027</v>
      </c>
      <c r="P6" s="105" t="n">
        <f aca="false">YEAR(P4)</f>
        <v>2027</v>
      </c>
      <c r="Q6" s="105" t="n">
        <f aca="false">YEAR(Q4)</f>
        <v>2027</v>
      </c>
      <c r="R6" s="105" t="n">
        <f aca="false">YEAR(R4)</f>
        <v>2027</v>
      </c>
      <c r="S6" s="105" t="n">
        <f aca="false">YEAR(S4)</f>
        <v>2027</v>
      </c>
      <c r="T6" s="105" t="n">
        <f aca="false">YEAR(T4)</f>
        <v>2027</v>
      </c>
      <c r="U6" s="105" t="n">
        <f aca="false">YEAR(U4)</f>
        <v>2027</v>
      </c>
      <c r="V6" s="105" t="n">
        <f aca="false">YEAR(V4)</f>
        <v>2027</v>
      </c>
      <c r="W6" s="105" t="n">
        <f aca="false">YEAR(W4)</f>
        <v>2027</v>
      </c>
      <c r="X6" s="105" t="n">
        <f aca="false">YEAR(X4)</f>
        <v>2027</v>
      </c>
      <c r="Y6" s="105" t="n">
        <f aca="false">YEAR(Y4)</f>
        <v>2027</v>
      </c>
      <c r="Z6" s="105" t="n">
        <f aca="false">YEAR(Z4)</f>
        <v>2028</v>
      </c>
      <c r="AA6" s="105" t="n">
        <f aca="false">YEAR(AA4)</f>
        <v>2028</v>
      </c>
      <c r="AB6" s="105" t="n">
        <f aca="false">YEAR(AB4)</f>
        <v>2028</v>
      </c>
      <c r="AC6" s="105" t="n">
        <f aca="false">YEAR(AC4)</f>
        <v>2028</v>
      </c>
      <c r="AD6" s="105" t="n">
        <f aca="false">YEAR(AD4)</f>
        <v>2028</v>
      </c>
      <c r="AE6" s="105" t="n">
        <f aca="false">YEAR(AE4)</f>
        <v>2028</v>
      </c>
      <c r="AF6" s="105" t="n">
        <f aca="false">YEAR(AF4)</f>
        <v>2028</v>
      </c>
      <c r="AG6" s="105" t="n">
        <f aca="false">YEAR(AG4)</f>
        <v>2028</v>
      </c>
      <c r="AH6" s="105" t="n">
        <f aca="false">YEAR(AH4)</f>
        <v>2028</v>
      </c>
      <c r="AI6" s="105" t="n">
        <f aca="false">YEAR(AI4)</f>
        <v>2028</v>
      </c>
      <c r="AJ6" s="105" t="n">
        <f aca="false">YEAR(AJ4)</f>
        <v>2028</v>
      </c>
      <c r="AK6" s="105" t="n">
        <f aca="false">YEAR(AK4)</f>
        <v>2028</v>
      </c>
      <c r="AL6" s="105" t="n">
        <f aca="false">YEAR(AL4)</f>
        <v>2029</v>
      </c>
      <c r="AM6" s="105" t="n">
        <f aca="false">YEAR(AM4)</f>
        <v>2029</v>
      </c>
      <c r="AN6" s="105" t="n">
        <f aca="false">YEAR(AN4)</f>
        <v>2029</v>
      </c>
      <c r="AO6" s="105" t="n">
        <f aca="false">YEAR(AO4)</f>
        <v>2029</v>
      </c>
      <c r="AP6" s="105" t="n">
        <f aca="false">YEAR(AP4)</f>
        <v>2029</v>
      </c>
      <c r="AQ6" s="105" t="n">
        <f aca="false">YEAR(AQ4)</f>
        <v>2029</v>
      </c>
      <c r="AR6" s="105" t="n">
        <f aca="false">YEAR(AR4)</f>
        <v>2029</v>
      </c>
      <c r="AS6" s="105" t="n">
        <f aca="false">YEAR(AS4)</f>
        <v>2029</v>
      </c>
      <c r="AT6" s="105" t="n">
        <f aca="false">YEAR(AT4)</f>
        <v>2029</v>
      </c>
      <c r="AU6" s="105" t="n">
        <f aca="false">YEAR(AU4)</f>
        <v>2029</v>
      </c>
      <c r="AV6" s="105" t="n">
        <f aca="false">YEAR(AV4)</f>
        <v>2029</v>
      </c>
      <c r="AW6" s="105" t="n">
        <f aca="false">YEAR(AW4)</f>
        <v>2029</v>
      </c>
      <c r="AX6" s="105" t="n">
        <f aca="false">YEAR(AX4)</f>
        <v>2030</v>
      </c>
      <c r="AY6" s="105" t="n">
        <f aca="false">YEAR(AY4)</f>
        <v>2030</v>
      </c>
      <c r="AZ6" s="105" t="n">
        <f aca="false">YEAR(AZ4)</f>
        <v>2030</v>
      </c>
      <c r="BA6" s="105" t="n">
        <f aca="false">YEAR(BA4)</f>
        <v>2030</v>
      </c>
      <c r="BB6" s="105" t="n">
        <f aca="false">YEAR(BB4)</f>
        <v>2030</v>
      </c>
      <c r="BC6" s="105" t="n">
        <f aca="false">YEAR(BC4)</f>
        <v>2030</v>
      </c>
      <c r="BD6" s="105" t="n">
        <f aca="false">YEAR(BD4)</f>
        <v>2030</v>
      </c>
      <c r="BE6" s="105" t="n">
        <f aca="false">YEAR(BE4)</f>
        <v>2030</v>
      </c>
      <c r="BF6" s="105" t="n">
        <f aca="false">YEAR(BF4)</f>
        <v>2030</v>
      </c>
      <c r="BG6" s="105" t="n">
        <f aca="false">YEAR(BG4)</f>
        <v>2030</v>
      </c>
      <c r="BH6" s="105" t="n">
        <f aca="false">YEAR(BH4)</f>
        <v>2030</v>
      </c>
      <c r="BI6" s="105" t="n">
        <f aca="false">YEAR(BI4)</f>
        <v>2030</v>
      </c>
    </row>
    <row r="7" customFormat="false" ht="15" hidden="false" customHeight="false" outlineLevel="0" collapsed="false">
      <c r="A7" s="106" t="s">
        <v>330</v>
      </c>
      <c r="B7" s="107" t="n">
        <f aca="false">MATCH(B6,Premissas!$C$5:$G$5,0)</f>
        <v>1</v>
      </c>
      <c r="C7" s="107" t="n">
        <f aca="false">MATCH(C6,Premissas!$C$5:$G$5,0)</f>
        <v>1</v>
      </c>
      <c r="D7" s="107" t="n">
        <f aca="false">MATCH(D6,Premissas!$C$5:$G$5,0)</f>
        <v>1</v>
      </c>
      <c r="E7" s="107" t="n">
        <f aca="false">MATCH(E6,Premissas!$C$5:$G$5,0)</f>
        <v>1</v>
      </c>
      <c r="F7" s="107" t="n">
        <f aca="false">MATCH(F6,Premissas!$C$5:$G$5,0)</f>
        <v>1</v>
      </c>
      <c r="G7" s="107" t="n">
        <f aca="false">MATCH(G6,Premissas!$C$5:$G$5,0)</f>
        <v>1</v>
      </c>
      <c r="H7" s="107" t="n">
        <f aca="false">MATCH(H6,Premissas!$C$5:$G$5,0)</f>
        <v>1</v>
      </c>
      <c r="I7" s="107" t="n">
        <f aca="false">MATCH(I6,Premissas!$C$5:$G$5,0)</f>
        <v>1</v>
      </c>
      <c r="J7" s="107" t="n">
        <f aca="false">MATCH(J6,Premissas!$C$5:$G$5,0)</f>
        <v>1</v>
      </c>
      <c r="K7" s="107" t="n">
        <f aca="false">MATCH(K6,Premissas!$C$5:$G$5,0)</f>
        <v>1</v>
      </c>
      <c r="L7" s="107" t="n">
        <f aca="false">MATCH(L6,Premissas!$C$5:$G$5,0)</f>
        <v>1</v>
      </c>
      <c r="M7" s="107" t="n">
        <f aca="false">MATCH(M6,Premissas!$C$5:$G$5,0)</f>
        <v>1</v>
      </c>
      <c r="N7" s="107" t="n">
        <f aca="false">MATCH(N6,Premissas!$C$5:$G$5,0)</f>
        <v>2</v>
      </c>
      <c r="O7" s="107" t="n">
        <f aca="false">MATCH(O6,Premissas!$C$5:$G$5,0)</f>
        <v>2</v>
      </c>
      <c r="P7" s="107" t="n">
        <f aca="false">MATCH(P6,Premissas!$C$5:$G$5,0)</f>
        <v>2</v>
      </c>
      <c r="Q7" s="107" t="n">
        <f aca="false">MATCH(Q6,Premissas!$C$5:$G$5,0)</f>
        <v>2</v>
      </c>
      <c r="R7" s="107" t="n">
        <f aca="false">MATCH(R6,Premissas!$C$5:$G$5,0)</f>
        <v>2</v>
      </c>
      <c r="S7" s="107" t="n">
        <f aca="false">MATCH(S6,Premissas!$C$5:$G$5,0)</f>
        <v>2</v>
      </c>
      <c r="T7" s="107" t="n">
        <f aca="false">MATCH(T6,Premissas!$C$5:$G$5,0)</f>
        <v>2</v>
      </c>
      <c r="U7" s="107" t="n">
        <f aca="false">MATCH(U6,Premissas!$C$5:$G$5,0)</f>
        <v>2</v>
      </c>
      <c r="V7" s="107" t="n">
        <f aca="false">MATCH(V6,Premissas!$C$5:$G$5,0)</f>
        <v>2</v>
      </c>
      <c r="W7" s="107" t="n">
        <f aca="false">MATCH(W6,Premissas!$C$5:$G$5,0)</f>
        <v>2</v>
      </c>
      <c r="X7" s="107" t="n">
        <f aca="false">MATCH(X6,Premissas!$C$5:$G$5,0)</f>
        <v>2</v>
      </c>
      <c r="Y7" s="107" t="n">
        <f aca="false">MATCH(Y6,Premissas!$C$5:$G$5,0)</f>
        <v>2</v>
      </c>
      <c r="Z7" s="107" t="n">
        <f aca="false">MATCH(Z6,Premissas!$C$5:$G$5,0)</f>
        <v>3</v>
      </c>
      <c r="AA7" s="107" t="n">
        <f aca="false">MATCH(AA6,Premissas!$C$5:$G$5,0)</f>
        <v>3</v>
      </c>
      <c r="AB7" s="107" t="n">
        <f aca="false">MATCH(AB6,Premissas!$C$5:$G$5,0)</f>
        <v>3</v>
      </c>
      <c r="AC7" s="107" t="n">
        <f aca="false">MATCH(AC6,Premissas!$C$5:$G$5,0)</f>
        <v>3</v>
      </c>
      <c r="AD7" s="107" t="n">
        <f aca="false">MATCH(AD6,Premissas!$C$5:$G$5,0)</f>
        <v>3</v>
      </c>
      <c r="AE7" s="107" t="n">
        <f aca="false">MATCH(AE6,Premissas!$C$5:$G$5,0)</f>
        <v>3</v>
      </c>
      <c r="AF7" s="107" t="n">
        <f aca="false">MATCH(AF6,Premissas!$C$5:$G$5,0)</f>
        <v>3</v>
      </c>
      <c r="AG7" s="107" t="n">
        <f aca="false">MATCH(AG6,Premissas!$C$5:$G$5,0)</f>
        <v>3</v>
      </c>
      <c r="AH7" s="107" t="n">
        <f aca="false">MATCH(AH6,Premissas!$C$5:$G$5,0)</f>
        <v>3</v>
      </c>
      <c r="AI7" s="107" t="n">
        <f aca="false">MATCH(AI6,Premissas!$C$5:$G$5,0)</f>
        <v>3</v>
      </c>
      <c r="AJ7" s="107" t="n">
        <f aca="false">MATCH(AJ6,Premissas!$C$5:$G$5,0)</f>
        <v>3</v>
      </c>
      <c r="AK7" s="107" t="n">
        <f aca="false">MATCH(AK6,Premissas!$C$5:$G$5,0)</f>
        <v>3</v>
      </c>
      <c r="AL7" s="107" t="n">
        <f aca="false">MATCH(AL6,Premissas!$C$5:$G$5,0)</f>
        <v>4</v>
      </c>
      <c r="AM7" s="107" t="n">
        <f aca="false">MATCH(AM6,Premissas!$C$5:$G$5,0)</f>
        <v>4</v>
      </c>
      <c r="AN7" s="107" t="n">
        <f aca="false">MATCH(AN6,Premissas!$C$5:$G$5,0)</f>
        <v>4</v>
      </c>
      <c r="AO7" s="107" t="n">
        <f aca="false">MATCH(AO6,Premissas!$C$5:$G$5,0)</f>
        <v>4</v>
      </c>
      <c r="AP7" s="107" t="n">
        <f aca="false">MATCH(AP6,Premissas!$C$5:$G$5,0)</f>
        <v>4</v>
      </c>
      <c r="AQ7" s="107" t="n">
        <f aca="false">MATCH(AQ6,Premissas!$C$5:$G$5,0)</f>
        <v>4</v>
      </c>
      <c r="AR7" s="107" t="n">
        <f aca="false">MATCH(AR6,Premissas!$C$5:$G$5,0)</f>
        <v>4</v>
      </c>
      <c r="AS7" s="107" t="n">
        <f aca="false">MATCH(AS6,Premissas!$C$5:$G$5,0)</f>
        <v>4</v>
      </c>
      <c r="AT7" s="107" t="n">
        <f aca="false">MATCH(AT6,Premissas!$C$5:$G$5,0)</f>
        <v>4</v>
      </c>
      <c r="AU7" s="107" t="n">
        <f aca="false">MATCH(AU6,Premissas!$C$5:$G$5,0)</f>
        <v>4</v>
      </c>
      <c r="AV7" s="107" t="n">
        <f aca="false">MATCH(AV6,Premissas!$C$5:$G$5,0)</f>
        <v>4</v>
      </c>
      <c r="AW7" s="107" t="n">
        <f aca="false">MATCH(AW6,Premissas!$C$5:$G$5,0)</f>
        <v>4</v>
      </c>
      <c r="AX7" s="107" t="n">
        <f aca="false">MATCH(AX6,Premissas!$C$5:$G$5,0)</f>
        <v>5</v>
      </c>
      <c r="AY7" s="107" t="n">
        <f aca="false">MATCH(AY6,Premissas!$C$5:$G$5,0)</f>
        <v>5</v>
      </c>
      <c r="AZ7" s="107" t="n">
        <f aca="false">MATCH(AZ6,Premissas!$C$5:$G$5,0)</f>
        <v>5</v>
      </c>
      <c r="BA7" s="107" t="n">
        <f aca="false">MATCH(BA6,Premissas!$C$5:$G$5,0)</f>
        <v>5</v>
      </c>
      <c r="BB7" s="107" t="n">
        <f aca="false">MATCH(BB6,Premissas!$C$5:$G$5,0)</f>
        <v>5</v>
      </c>
      <c r="BC7" s="107" t="n">
        <f aca="false">MATCH(BC6,Premissas!$C$5:$G$5,0)</f>
        <v>5</v>
      </c>
      <c r="BD7" s="107" t="n">
        <f aca="false">MATCH(BD6,Premissas!$C$5:$G$5,0)</f>
        <v>5</v>
      </c>
      <c r="BE7" s="107" t="n">
        <f aca="false">MATCH(BE6,Premissas!$C$5:$G$5,0)</f>
        <v>5</v>
      </c>
      <c r="BF7" s="107" t="n">
        <f aca="false">MATCH(BF6,Premissas!$C$5:$G$5,0)</f>
        <v>5</v>
      </c>
      <c r="BG7" s="107" t="n">
        <f aca="false">MATCH(BG6,Premissas!$C$5:$G$5,0)</f>
        <v>5</v>
      </c>
      <c r="BH7" s="107" t="n">
        <f aca="false">MATCH(BH6,Premissas!$C$5:$G$5,0)</f>
        <v>5</v>
      </c>
      <c r="BI7" s="107" t="n">
        <f aca="false">MATCH(BI6,Premissas!$C$5:$G$5,0)</f>
        <v>5</v>
      </c>
    </row>
    <row r="8" customFormat="false" ht="18" hidden="false" customHeight="true" outlineLevel="0" collapsed="false">
      <c r="A8" s="25" t="s">
        <v>455</v>
      </c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</row>
    <row r="9" customFormat="false" ht="15" hidden="false" customHeight="false" outlineLevel="0" collapsed="false">
      <c r="A9" s="27" t="s">
        <v>416</v>
      </c>
      <c r="B9" s="113" t="n">
        <f aca="false">CHOOSE(Premissas!$B$6,Cenários!B19,Cenários!B65,Cenários!B111)</f>
        <v>0</v>
      </c>
      <c r="C9" s="113" t="n">
        <f aca="false">CHOOSE(Premissas!$B$6,Cenários!C19,Cenários!C65,Cenários!C111)</f>
        <v>0</v>
      </c>
      <c r="D9" s="113" t="n">
        <f aca="false">CHOOSE(Premissas!$B$6,Cenários!D19,Cenários!D65,Cenários!D111)</f>
        <v>0</v>
      </c>
      <c r="E9" s="113" t="n">
        <f aca="false">CHOOSE(Premissas!$B$6,Cenários!E19,Cenários!E65,Cenários!E111)</f>
        <v>0</v>
      </c>
      <c r="F9" s="113" t="n">
        <f aca="false">CHOOSE(Premissas!$B$6,Cenários!F19,Cenários!F65,Cenários!F111)</f>
        <v>0</v>
      </c>
      <c r="G9" s="113" t="n">
        <f aca="false">CHOOSE(Premissas!$B$6,Cenários!G19,Cenários!G65,Cenários!G111)</f>
        <v>0</v>
      </c>
      <c r="H9" s="113" t="n">
        <f aca="false">CHOOSE(Premissas!$B$6,Cenários!H19,Cenários!H65,Cenários!H111)</f>
        <v>0</v>
      </c>
      <c r="I9" s="113" t="n">
        <f aca="false">CHOOSE(Premissas!$B$6,Cenários!I19,Cenários!I65,Cenários!I111)</f>
        <v>0</v>
      </c>
      <c r="J9" s="113" t="n">
        <f aca="false">CHOOSE(Premissas!$B$6,Cenários!J19,Cenários!J65,Cenários!J111)</f>
        <v>0</v>
      </c>
      <c r="K9" s="113" t="n">
        <f aca="false">CHOOSE(Premissas!$B$6,Cenários!K19,Cenários!K65,Cenários!K111)</f>
        <v>2248.7</v>
      </c>
      <c r="L9" s="113" t="n">
        <f aca="false">CHOOSE(Premissas!$B$6,Cenários!L19,Cenários!L65,Cenários!L111)</f>
        <v>8636.6</v>
      </c>
      <c r="M9" s="113" t="n">
        <f aca="false">CHOOSE(Premissas!$B$6,Cenários!M19,Cenários!M65,Cenários!M111)</f>
        <v>18686.1</v>
      </c>
      <c r="N9" s="113" t="n">
        <f aca="false">CHOOSE(Premissas!$B$6,Cenários!N19,Cenários!N65,Cenários!N111)</f>
        <v>39594.632</v>
      </c>
      <c r="O9" s="113" t="n">
        <f aca="false">CHOOSE(Premissas!$B$6,Cenários!O19,Cenários!O65,Cenários!O111)</f>
        <v>64070.9355</v>
      </c>
      <c r="P9" s="113" t="n">
        <f aca="false">CHOOSE(Premissas!$B$6,Cenários!P19,Cenários!P65,Cenários!P111)</f>
        <v>93039.067</v>
      </c>
      <c r="Q9" s="113" t="n">
        <f aca="false">CHOOSE(Premissas!$B$6,Cenários!Q19,Cenários!Q65,Cenários!Q111)</f>
        <v>107991.0315</v>
      </c>
      <c r="R9" s="113" t="n">
        <f aca="false">CHOOSE(Premissas!$B$6,Cenários!R19,Cenários!R65,Cenários!R111)</f>
        <v>121840.8345</v>
      </c>
      <c r="S9" s="113" t="n">
        <f aca="false">CHOOSE(Premissas!$B$6,Cenários!S19,Cenários!S65,Cenários!S111)</f>
        <v>134630.067</v>
      </c>
      <c r="T9" s="113" t="n">
        <f aca="false">CHOOSE(Premissas!$B$6,Cenários!T19,Cenários!T65,Cenários!T111)</f>
        <v>146441.911</v>
      </c>
      <c r="U9" s="113" t="n">
        <f aca="false">CHOOSE(Premissas!$B$6,Cenários!U19,Cenários!U65,Cenários!U111)</f>
        <v>157401.1395</v>
      </c>
      <c r="V9" s="113" t="n">
        <f aca="false">CHOOSE(Premissas!$B$6,Cenários!V19,Cenários!V65,Cenários!V111)</f>
        <v>167507.7525</v>
      </c>
      <c r="W9" s="113" t="n">
        <f aca="false">CHOOSE(Premissas!$B$6,Cenários!W19,Cenários!W65,Cenários!W111)</f>
        <v>176865.7275</v>
      </c>
      <c r="X9" s="113" t="n">
        <f aca="false">CHOOSE(Premissas!$B$6,Cenários!X19,Cenários!X65,Cenários!X111)</f>
        <v>185516.6555</v>
      </c>
      <c r="Y9" s="113" t="n">
        <f aca="false">CHOOSE(Premissas!$B$6,Cenários!Y19,Cenários!Y65,Cenários!Y111)</f>
        <v>193502.1275</v>
      </c>
      <c r="Z9" s="113" t="n">
        <f aca="false">CHOOSE(Premissas!$B$6,Cenários!Z19,Cenários!Z65,Cenários!Z111)</f>
        <v>226787.82071</v>
      </c>
      <c r="AA9" s="113" t="n">
        <f aca="false">CHOOSE(Premissas!$B$6,Cenários!AA19,Cenários!AA65,Cenários!AA111)</f>
        <v>245846.1686175</v>
      </c>
      <c r="AB9" s="113" t="n">
        <f aca="false">CHOOSE(Premissas!$B$6,Cenários!AB19,Cenários!AB65,Cenários!AB111)</f>
        <v>263557.17608</v>
      </c>
      <c r="AC9" s="113" t="n">
        <f aca="false">CHOOSE(Premissas!$B$6,Cenários!AC19,Cenários!AC65,Cenários!AC111)</f>
        <v>280029.499585</v>
      </c>
      <c r="AD9" s="113" t="n">
        <f aca="false">CHOOSE(Premissas!$B$6,Cenários!AD19,Cenários!AD65,Cenários!AD111)</f>
        <v>295328.333025</v>
      </c>
      <c r="AE9" s="113" t="n">
        <f aca="false">CHOOSE(Premissas!$B$6,Cenários!AE19,Cenários!AE65,Cenários!AE111)</f>
        <v>309562.3328875</v>
      </c>
      <c r="AF9" s="113" t="n">
        <f aca="false">CHOOSE(Premissas!$B$6,Cenários!AF19,Cenários!AF65,Cenários!AF111)</f>
        <v>322774.9617675</v>
      </c>
      <c r="AG9" s="113" t="n">
        <f aca="false">CHOOSE(Premissas!$B$6,Cenários!AG19,Cenários!AG65,Cenários!AG111)</f>
        <v>335053.144855</v>
      </c>
      <c r="AH9" s="113" t="n">
        <f aca="false">CHOOSE(Premissas!$B$6,Cenários!AH19,Cenários!AH65,Cenários!AH111)</f>
        <v>346462.0760425</v>
      </c>
      <c r="AI9" s="113" t="n">
        <f aca="false">CHOOSE(Premissas!$B$6,Cenários!AI19,Cenários!AI65,Cenários!AI111)</f>
        <v>357088.68052</v>
      </c>
      <c r="AJ9" s="113" t="n">
        <f aca="false">CHOOSE(Premissas!$B$6,Cenários!AJ19,Cenários!AJ65,Cenários!AJ111)</f>
        <v>366932.9582875</v>
      </c>
      <c r="AK9" s="113" t="n">
        <f aca="false">CHOOSE(Premissas!$B$6,Cenários!AK19,Cenários!AK65,Cenários!AK111)</f>
        <v>376081.834535</v>
      </c>
      <c r="AL9" s="113" t="n">
        <f aca="false">CHOOSE(Premissas!$B$6,Cenários!AL19,Cenários!AL65,Cenários!AL111)</f>
        <v>428863.353185437</v>
      </c>
      <c r="AM9" s="113" t="n">
        <f aca="false">CHOOSE(Premissas!$B$6,Cenários!AM19,Cenários!AM65,Cenários!AM111)</f>
        <v>456296.073897537</v>
      </c>
      <c r="AN9" s="113" t="n">
        <f aca="false">CHOOSE(Premissas!$B$6,Cenários!AN19,Cenários!AN65,Cenários!AN111)</f>
        <v>481889.34893275</v>
      </c>
      <c r="AO9" s="113" t="n">
        <f aca="false">CHOOSE(Premissas!$B$6,Cenários!AO19,Cenários!AO65,Cenários!AO111)</f>
        <v>505802.142732287</v>
      </c>
      <c r="AP9" s="113" t="n">
        <f aca="false">CHOOSE(Premissas!$B$6,Cenários!AP19,Cenários!AP65,Cenários!AP111)</f>
        <v>528102.582913812</v>
      </c>
      <c r="AQ9" s="113" t="n">
        <f aca="false">CHOOSE(Premissas!$B$6,Cenários!AQ19,Cenários!AQ65,Cenários!AQ111)</f>
        <v>548926.92471265</v>
      </c>
      <c r="AR9" s="113" t="n">
        <f aca="false">CHOOSE(Premissas!$B$6,Cenários!AR19,Cenários!AR65,Cenários!AR111)</f>
        <v>568366.00495235</v>
      </c>
      <c r="AS9" s="113" t="n">
        <f aca="false">CHOOSE(Premissas!$B$6,Cenários!AS19,Cenários!AS65,Cenários!AS111)</f>
        <v>586533.36966235</v>
      </c>
      <c r="AT9" s="113" t="n">
        <f aca="false">CHOOSE(Premissas!$B$6,Cenários!AT19,Cenários!AT65,Cenários!AT111)</f>
        <v>603474.437254425</v>
      </c>
      <c r="AU9" s="113" t="n">
        <f aca="false">CHOOSE(Premissas!$B$6,Cenários!AU19,Cenários!AU65,Cenários!AU111)</f>
        <v>619302.753758012</v>
      </c>
      <c r="AV9" s="113" t="n">
        <f aca="false">CHOOSE(Premissas!$B$6,Cenários!AV19,Cenários!AV65,Cenários!AV111)</f>
        <v>634063.737584887</v>
      </c>
      <c r="AW9" s="113" t="n">
        <f aca="false">CHOOSE(Premissas!$B$6,Cenários!AW19,Cenários!AW65,Cenários!AW111)</f>
        <v>647870.934764487</v>
      </c>
      <c r="AX9" s="113" t="n">
        <f aca="false">CHOOSE(Premissas!$B$6,Cenários!AX19,Cenários!AX65,Cenários!AX111)</f>
        <v>731416.854218276</v>
      </c>
      <c r="AY9" s="113" t="n">
        <f aca="false">CHOOSE(Premissas!$B$6,Cenários!AY19,Cenários!AY65,Cenários!AY111)</f>
        <v>774488.83729495</v>
      </c>
      <c r="AZ9" s="113" t="n">
        <f aca="false">CHOOSE(Premissas!$B$6,Cenários!AZ19,Cenários!AZ65,Cenários!AZ111)</f>
        <v>814855.472674246</v>
      </c>
      <c r="BA9" s="113" t="n">
        <f aca="false">CHOOSE(Premissas!$B$6,Cenários!BA19,Cenários!BA65,Cenários!BA111)</f>
        <v>852706.609317384</v>
      </c>
      <c r="BB9" s="113" t="n">
        <f aca="false">CHOOSE(Premissas!$B$6,Cenários!BB19,Cenários!BB65,Cenários!BB111)</f>
        <v>888208.365065431</v>
      </c>
      <c r="BC9" s="113" t="n">
        <f aca="false">CHOOSE(Premissas!$B$6,Cenários!BC19,Cenários!BC65,Cenários!BC111)</f>
        <v>921479.395519148</v>
      </c>
      <c r="BD9" s="113" t="n">
        <f aca="false">CHOOSE(Premissas!$B$6,Cenários!BD19,Cenários!BD65,Cenários!BD111)</f>
        <v>952685.818519603</v>
      </c>
      <c r="BE9" s="113" t="n">
        <f aca="false">CHOOSE(Premissas!$B$6,Cenários!BE19,Cenários!BE65,Cenários!BE111)</f>
        <v>981922.558547406</v>
      </c>
      <c r="BF9" s="113" t="n">
        <f aca="false">CHOOSE(Premissas!$B$6,Cenários!BF19,Cenários!BF65,Cenários!BF111)</f>
        <v>1009355.73344362</v>
      </c>
      <c r="BG9" s="113" t="n">
        <f aca="false">CHOOSE(Premissas!$B$6,Cenários!BG19,Cenários!BG65,Cenários!BG111)</f>
        <v>1035056.53656871</v>
      </c>
      <c r="BH9" s="113" t="n">
        <f aca="false">CHOOSE(Premissas!$B$6,Cenários!BH19,Cenários!BH65,Cenários!BH111)</f>
        <v>1059167.35464359</v>
      </c>
      <c r="BI9" s="113" t="n">
        <f aca="false">CHOOSE(Premissas!$B$6,Cenários!BI19,Cenários!BI65,Cenários!BI111)</f>
        <v>1081759.38102871</v>
      </c>
      <c r="BJ9" s="111" t="n">
        <f aca="false">SUM(B9:BI9)</f>
        <v>23056072.8491046</v>
      </c>
      <c r="BK9" s="141" t="n">
        <f aca="false">IFERROR(BJ9/BJ$14,0)</f>
        <v>0.376021632774543</v>
      </c>
    </row>
    <row r="10" customFormat="false" ht="15" hidden="false" customHeight="false" outlineLevel="0" collapsed="false">
      <c r="A10" s="27" t="s">
        <v>417</v>
      </c>
      <c r="B10" s="113" t="n">
        <f aca="false">CHOOSE(Premissas!$B$6,Cenários!B20,Cenários!B66,Cenários!B112)</f>
        <v>0</v>
      </c>
      <c r="C10" s="113" t="n">
        <f aca="false">CHOOSE(Premissas!$B$6,Cenários!C20,Cenários!C66,Cenários!C112)</f>
        <v>0</v>
      </c>
      <c r="D10" s="113" t="n">
        <f aca="false">CHOOSE(Premissas!$B$6,Cenários!D20,Cenários!D66,Cenários!D112)</f>
        <v>0</v>
      </c>
      <c r="E10" s="113" t="n">
        <f aca="false">CHOOSE(Premissas!$B$6,Cenários!E20,Cenários!E66,Cenários!E112)</f>
        <v>0</v>
      </c>
      <c r="F10" s="113" t="n">
        <f aca="false">CHOOSE(Premissas!$B$6,Cenários!F20,Cenários!F66,Cenários!F112)</f>
        <v>0</v>
      </c>
      <c r="G10" s="113" t="n">
        <f aca="false">CHOOSE(Premissas!$B$6,Cenários!G20,Cenários!G66,Cenários!G112)</f>
        <v>0</v>
      </c>
      <c r="H10" s="113" t="n">
        <f aca="false">CHOOSE(Premissas!$B$6,Cenários!H20,Cenários!H66,Cenários!H112)</f>
        <v>0</v>
      </c>
      <c r="I10" s="113" t="n">
        <f aca="false">CHOOSE(Premissas!$B$6,Cenários!I20,Cenários!I66,Cenários!I112)</f>
        <v>0</v>
      </c>
      <c r="J10" s="113" t="n">
        <f aca="false">CHOOSE(Premissas!$B$6,Cenários!J20,Cenários!J66,Cenários!J112)</f>
        <v>0</v>
      </c>
      <c r="K10" s="113" t="n">
        <f aca="false">CHOOSE(Premissas!$B$6,Cenários!K20,Cenários!K66,Cenários!K112)</f>
        <v>1197</v>
      </c>
      <c r="L10" s="113" t="n">
        <f aca="false">CHOOSE(Premissas!$B$6,Cenários!L20,Cenários!L66,Cenários!L112)</f>
        <v>4628.4</v>
      </c>
      <c r="M10" s="113" t="n">
        <f aca="false">CHOOSE(Premissas!$B$6,Cenários!M20,Cenários!M66,Cenários!M112)</f>
        <v>9975</v>
      </c>
      <c r="N10" s="113" t="n">
        <f aca="false">CHOOSE(Premissas!$B$6,Cenários!N20,Cenários!N66,Cenários!N112)</f>
        <v>24266.781</v>
      </c>
      <c r="O10" s="113" t="n">
        <f aca="false">CHOOSE(Premissas!$B$6,Cenários!O20,Cenários!O66,Cenários!O112)</f>
        <v>39235.4655</v>
      </c>
      <c r="P10" s="113" t="n">
        <f aca="false">CHOOSE(Premissas!$B$6,Cenários!P20,Cenários!P66,Cenários!P112)</f>
        <v>56997.7485</v>
      </c>
      <c r="Q10" s="113" t="n">
        <f aca="false">CHOOSE(Premissas!$B$6,Cenários!Q20,Cenários!Q66,Cenários!Q112)</f>
        <v>66170.7585</v>
      </c>
      <c r="R10" s="113" t="n">
        <f aca="false">CHOOSE(Premissas!$B$6,Cenários!R20,Cenários!R66,Cenários!R112)</f>
        <v>74634.945</v>
      </c>
      <c r="S10" s="113" t="n">
        <f aca="false">CHOOSE(Premissas!$B$6,Cenários!S20,Cenários!S66,Cenários!S112)</f>
        <v>82473.699</v>
      </c>
      <c r="T10" s="113" t="n">
        <f aca="false">CHOOSE(Premissas!$B$6,Cenários!T20,Cenários!T66,Cenários!T112)</f>
        <v>89728.716</v>
      </c>
      <c r="U10" s="113" t="n">
        <f aca="false">CHOOSE(Premissas!$B$6,Cenários!U20,Cenários!U66,Cenários!U112)</f>
        <v>96441.6915</v>
      </c>
      <c r="V10" s="113" t="n">
        <f aca="false">CHOOSE(Premissas!$B$6,Cenários!V20,Cenários!V66,Cenários!V112)</f>
        <v>102612.6255</v>
      </c>
      <c r="W10" s="113" t="n">
        <f aca="false">CHOOSE(Premissas!$B$6,Cenários!W20,Cenários!W66,Cenários!W112)</f>
        <v>108366.6045</v>
      </c>
      <c r="X10" s="113" t="n">
        <f aca="false">CHOOSE(Premissas!$B$6,Cenários!X20,Cenários!X66,Cenários!X112)</f>
        <v>113661.933</v>
      </c>
      <c r="Y10" s="113" t="n">
        <f aca="false">CHOOSE(Premissas!$B$6,Cenários!Y20,Cenários!Y66,Cenários!Y112)</f>
        <v>118540.3065</v>
      </c>
      <c r="Z10" s="113" t="n">
        <f aca="false">CHOOSE(Premissas!$B$6,Cenários!Z20,Cenários!Z66,Cenários!Z112)</f>
        <v>160474.9301925</v>
      </c>
      <c r="AA10" s="113" t="n">
        <f aca="false">CHOOSE(Premissas!$B$6,Cenários!AA20,Cenários!AA66,Cenários!AA112)</f>
        <v>173982.1874175</v>
      </c>
      <c r="AB10" s="113" t="n">
        <f aca="false">CHOOSE(Premissas!$B$6,Cenários!AB20,Cenários!AB66,Cenários!AB112)</f>
        <v>186530.8650975</v>
      </c>
      <c r="AC10" s="113" t="n">
        <f aca="false">CHOOSE(Premissas!$B$6,Cenários!AC20,Cenários!AC66,Cenários!AC112)</f>
        <v>198164.53503</v>
      </c>
      <c r="AD10" s="113" t="n">
        <f aca="false">CHOOSE(Premissas!$B$6,Cenários!AD20,Cenários!AD66,Cenários!AD112)</f>
        <v>209013.9126075</v>
      </c>
      <c r="AE10" s="113" t="n">
        <f aca="false">CHOOSE(Premissas!$B$6,Cenários!AE20,Cenários!AE66,Cenários!AE112)</f>
        <v>219078.99783</v>
      </c>
      <c r="AF10" s="113" t="n">
        <f aca="false">CHOOSE(Premissas!$B$6,Cenários!AF20,Cenários!AF66,Cenários!AF112)</f>
        <v>228403.362495</v>
      </c>
      <c r="AG10" s="113" t="n">
        <f aca="false">CHOOSE(Premissas!$B$6,Cenários!AG20,Cenários!AG66,Cenários!AG112)</f>
        <v>237117.721995</v>
      </c>
      <c r="AH10" s="113" t="n">
        <f aca="false">CHOOSE(Premissas!$B$6,Cenários!AH20,Cenários!AH66,Cenários!AH112)</f>
        <v>245178.5045325</v>
      </c>
      <c r="AI10" s="113" t="n">
        <f aca="false">CHOOSE(Premissas!$B$6,Cenários!AI20,Cenários!AI66,Cenários!AI112)</f>
        <v>252672.8537025</v>
      </c>
      <c r="AJ10" s="113" t="n">
        <f aca="false">CHOOSE(Premissas!$B$6,Cenários!AJ20,Cenários!AJ66,Cenários!AJ112)</f>
        <v>259644.3413025</v>
      </c>
      <c r="AK10" s="113" t="n">
        <f aca="false">CHOOSE(Premissas!$B$6,Cenários!AK20,Cenários!AK66,Cenários!AK112)</f>
        <v>266136.53913</v>
      </c>
      <c r="AL10" s="113" t="n">
        <f aca="false">CHOOSE(Premissas!$B$6,Cenários!AL20,Cenários!AL66,Cenários!AL112)</f>
        <v>349325.5577889</v>
      </c>
      <c r="AM10" s="113" t="n">
        <f aca="false">CHOOSE(Premissas!$B$6,Cenários!AM20,Cenários!AM66,Cenários!AM112)</f>
        <v>371682.029227163</v>
      </c>
      <c r="AN10" s="113" t="n">
        <f aca="false">CHOOSE(Premissas!$B$6,Cenários!AN20,Cenários!AN66,Cenários!AN112)</f>
        <v>392535.927228637</v>
      </c>
      <c r="AO10" s="113" t="n">
        <f aca="false">CHOOSE(Premissas!$B$6,Cenários!AO20,Cenários!AO66,Cenários!AO112)</f>
        <v>411978.3168501</v>
      </c>
      <c r="AP10" s="113" t="n">
        <f aca="false">CHOOSE(Premissas!$B$6,Cenários!AP20,Cenários!AP66,Cenários!AP112)</f>
        <v>430145.795676712</v>
      </c>
      <c r="AQ10" s="113" t="n">
        <f aca="false">CHOOSE(Premissas!$B$6,Cenários!AQ20,Cenários!AQ66,Cenários!AQ112)</f>
        <v>447129.42876525</v>
      </c>
      <c r="AR10" s="113" t="n">
        <f aca="false">CHOOSE(Premissas!$B$6,Cenários!AR20,Cenários!AR66,Cenários!AR112)</f>
        <v>462974.7486441</v>
      </c>
      <c r="AS10" s="113" t="n">
        <f aca="false">CHOOSE(Premissas!$B$6,Cenários!AS20,Cenários!AS66,Cenários!AS112)</f>
        <v>477772.820370037</v>
      </c>
      <c r="AT10" s="113" t="n">
        <f aca="false">CHOOSE(Premissas!$B$6,Cenários!AT20,Cenários!AT66,Cenários!AT112)</f>
        <v>491569.17647145</v>
      </c>
      <c r="AU10" s="113" t="n">
        <f aca="false">CHOOSE(Premissas!$B$6,Cenários!AU20,Cenários!AU66,Cenários!AU112)</f>
        <v>504454.882005112</v>
      </c>
      <c r="AV10" s="113" t="n">
        <f aca="false">CHOOSE(Premissas!$B$6,Cenários!AV20,Cenários!AV66,Cenários!AV112)</f>
        <v>516475.469499412</v>
      </c>
      <c r="AW10" s="113" t="n">
        <f aca="false">CHOOSE(Premissas!$B$6,Cenários!AW20,Cenários!AW66,Cenários!AW112)</f>
        <v>527722.004011125</v>
      </c>
      <c r="AX10" s="113" t="n">
        <f aca="false">CHOOSE(Premissas!$B$6,Cenários!AX20,Cenários!AX66,Cenários!AX112)</f>
        <v>684364.601808296</v>
      </c>
      <c r="AY10" s="113" t="n">
        <f aca="false">CHOOSE(Premissas!$B$6,Cenários!AY20,Cenários!AY66,Cenários!AY112)</f>
        <v>724666.125671998</v>
      </c>
      <c r="AZ10" s="113" t="n">
        <f aca="false">CHOOSE(Premissas!$B$6,Cenários!AZ20,Cenários!AZ66,Cenários!AZ112)</f>
        <v>762445.830450958</v>
      </c>
      <c r="BA10" s="113" t="n">
        <f aca="false">CHOOSE(Premissas!$B$6,Cenários!BA20,Cenários!BA66,Cenários!BA112)</f>
        <v>797846.460621672</v>
      </c>
      <c r="BB10" s="113" t="n">
        <f aca="false">CHOOSE(Premissas!$B$6,Cenários!BB20,Cenários!BB66,Cenários!BB112)</f>
        <v>831058.342152798</v>
      </c>
      <c r="BC10" s="113" t="n">
        <f aca="false">CHOOSE(Premissas!$B$6,Cenários!BC20,Cenários!BC66,Cenários!BC112)</f>
        <v>862224.219520832</v>
      </c>
      <c r="BD10" s="113" t="n">
        <f aca="false">CHOOSE(Premissas!$B$6,Cenários!BD20,Cenários!BD66,Cenários!BD112)</f>
        <v>891391.674217939</v>
      </c>
      <c r="BE10" s="113" t="n">
        <f aca="false">CHOOSE(Premissas!$B$6,Cenários!BE20,Cenários!BE66,Cenários!BE112)</f>
        <v>918751.032212778</v>
      </c>
      <c r="BF10" s="113" t="n">
        <f aca="false">CHOOSE(Premissas!$B$6,Cenários!BF20,Cenários!BF66,Cenários!BF112)</f>
        <v>944445.037981844</v>
      </c>
      <c r="BG10" s="113" t="n">
        <f aca="false">CHOOSE(Premissas!$B$6,Cenários!BG20,Cenários!BG66,Cenários!BG112)</f>
        <v>968473.691525138</v>
      </c>
      <c r="BH10" s="113" t="n">
        <f aca="false">CHOOSE(Premissas!$B$6,Cenários!BH20,Cenários!BH66,Cenários!BH112)</f>
        <v>991027.318811318</v>
      </c>
      <c r="BI10" s="113" t="n">
        <f aca="false">CHOOSE(Premissas!$B$6,Cenários!BI20,Cenários!BI66,Cenários!BI112)</f>
        <v>1012153.50133255</v>
      </c>
      <c r="BJ10" s="111" t="n">
        <f aca="false">SUM(B10:BI10)</f>
        <v>19397944.4186786</v>
      </c>
      <c r="BK10" s="141" t="n">
        <f aca="false">IFERROR(BJ10/BJ$14,0)</f>
        <v>0.316361193882359</v>
      </c>
    </row>
    <row r="11" customFormat="false" ht="15" hidden="false" customHeight="false" outlineLevel="0" collapsed="false">
      <c r="A11" s="27" t="s">
        <v>418</v>
      </c>
      <c r="B11" s="113" t="n">
        <f aca="false">CHOOSE(Premissas!$B$6,Cenários!B21,Cenários!B67,Cenários!B113)</f>
        <v>0</v>
      </c>
      <c r="C11" s="113" t="n">
        <f aca="false">CHOOSE(Premissas!$B$6,Cenários!C21,Cenários!C67,Cenários!C113)</f>
        <v>0</v>
      </c>
      <c r="D11" s="113" t="n">
        <f aca="false">CHOOSE(Premissas!$B$6,Cenários!D21,Cenários!D67,Cenários!D113)</f>
        <v>0</v>
      </c>
      <c r="E11" s="113" t="n">
        <f aca="false">CHOOSE(Premissas!$B$6,Cenários!E21,Cenários!E67,Cenários!E113)</f>
        <v>0</v>
      </c>
      <c r="F11" s="113" t="n">
        <f aca="false">CHOOSE(Premissas!$B$6,Cenários!F21,Cenários!F67,Cenários!F113)</f>
        <v>0</v>
      </c>
      <c r="G11" s="113" t="n">
        <f aca="false">CHOOSE(Premissas!$B$6,Cenários!G21,Cenários!G67,Cenários!G113)</f>
        <v>0</v>
      </c>
      <c r="H11" s="113" t="n">
        <f aca="false">CHOOSE(Premissas!$B$6,Cenários!H21,Cenários!H67,Cenários!H113)</f>
        <v>0</v>
      </c>
      <c r="I11" s="113" t="n">
        <f aca="false">CHOOSE(Premissas!$B$6,Cenários!I21,Cenários!I67,Cenários!I113)</f>
        <v>0</v>
      </c>
      <c r="J11" s="113" t="n">
        <f aca="false">CHOOSE(Premissas!$B$6,Cenários!J21,Cenários!J67,Cenários!J113)</f>
        <v>0</v>
      </c>
      <c r="K11" s="113" t="n">
        <f aca="false">CHOOSE(Premissas!$B$6,Cenários!K21,Cenários!K67,Cenários!K113)</f>
        <v>639.2</v>
      </c>
      <c r="L11" s="113" t="n">
        <f aca="false">CHOOSE(Premissas!$B$6,Cenários!L21,Cenários!L67,Cenários!L113)</f>
        <v>2317.1</v>
      </c>
      <c r="M11" s="113" t="n">
        <f aca="false">CHOOSE(Premissas!$B$6,Cenários!M21,Cenários!M67,Cenários!M113)</f>
        <v>5033.7</v>
      </c>
      <c r="N11" s="113" t="n">
        <f aca="false">CHOOSE(Premissas!$B$6,Cenários!N21,Cenários!N67,Cenários!N113)</f>
        <v>13192.289</v>
      </c>
      <c r="O11" s="113" t="n">
        <f aca="false">CHOOSE(Premissas!$B$6,Cenários!O21,Cenários!O67,Cenários!O113)</f>
        <v>21458.3435</v>
      </c>
      <c r="P11" s="113" t="n">
        <f aca="false">CHOOSE(Premissas!$B$6,Cenários!P21,Cenários!P67,Cenários!P113)</f>
        <v>31143.8215</v>
      </c>
      <c r="Q11" s="113" t="n">
        <f aca="false">CHOOSE(Premissas!$B$6,Cenários!Q21,Cenários!Q67,Cenários!Q113)</f>
        <v>36153.5515</v>
      </c>
      <c r="R11" s="113" t="n">
        <f aca="false">CHOOSE(Premissas!$B$6,Cenários!R21,Cenários!R67,Cenários!R113)</f>
        <v>40745.804</v>
      </c>
      <c r="S11" s="113" t="n">
        <f aca="false">CHOOSE(Premissas!$B$6,Cenários!S21,Cenários!S67,Cenários!S113)</f>
        <v>45004.0745</v>
      </c>
      <c r="T11" s="113" t="n">
        <f aca="false">CHOOSE(Premissas!$B$6,Cenários!T21,Cenários!T67,Cenários!T113)</f>
        <v>49011.8585</v>
      </c>
      <c r="U11" s="113" t="n">
        <f aca="false">CHOOSE(Premissas!$B$6,Cenários!U21,Cenários!U67,Cenários!U113)</f>
        <v>52602.165</v>
      </c>
      <c r="V11" s="113" t="n">
        <f aca="false">CHOOSE(Premissas!$B$6,Cenários!V21,Cenários!V67,Cenários!V113)</f>
        <v>56025.4805</v>
      </c>
      <c r="W11" s="113" t="n">
        <f aca="false">CHOOSE(Premissas!$B$6,Cenários!W21,Cenários!W67,Cenários!W113)</f>
        <v>59114.814</v>
      </c>
      <c r="X11" s="113" t="n">
        <f aca="false">CHOOSE(Premissas!$B$6,Cenários!X21,Cenários!X67,Cenários!X113)</f>
        <v>62037.1565</v>
      </c>
      <c r="Y11" s="113" t="n">
        <f aca="false">CHOOSE(Premissas!$B$6,Cenários!Y21,Cenários!Y67,Cenários!Y113)</f>
        <v>64792.508</v>
      </c>
      <c r="Z11" s="113" t="n">
        <f aca="false">CHOOSE(Premissas!$B$6,Cenários!Z21,Cenários!Z67,Cenários!Z113)</f>
        <v>107146.43533</v>
      </c>
      <c r="AA11" s="113" t="n">
        <f aca="false">CHOOSE(Premissas!$B$6,Cenários!AA21,Cenários!AA67,Cenários!AA113)</f>
        <v>116133.4734725</v>
      </c>
      <c r="AB11" s="113" t="n">
        <f aca="false">CHOOSE(Premissas!$B$6,Cenários!AB21,Cenários!AB67,Cenários!AB113)</f>
        <v>124509.7420325</v>
      </c>
      <c r="AC11" s="113" t="n">
        <f aca="false">CHOOSE(Premissas!$B$6,Cenários!AC21,Cenários!AC67,Cenários!AC113)</f>
        <v>132275.24101</v>
      </c>
      <c r="AD11" s="113" t="n">
        <f aca="false">CHOOSE(Premissas!$B$6,Cenários!AD21,Cenários!AD67,Cenários!AD113)</f>
        <v>139517.2232025</v>
      </c>
      <c r="AE11" s="113" t="n">
        <f aca="false">CHOOSE(Premissas!$B$6,Cenários!AE21,Cenários!AE67,Cenários!AE113)</f>
        <v>146148.4358125</v>
      </c>
      <c r="AF11" s="113" t="n">
        <f aca="false">CHOOSE(Premissas!$B$6,Cenários!AF21,Cenários!AF67,Cenários!AF113)</f>
        <v>152430.6372325</v>
      </c>
      <c r="AG11" s="113" t="n">
        <f aca="false">CHOOSE(Premissas!$B$6,Cenários!AG21,Cenários!AG67,Cenários!AG113)</f>
        <v>158189.3218675</v>
      </c>
      <c r="AH11" s="113" t="n">
        <f aca="false">CHOOSE(Premissas!$B$6,Cenários!AH21,Cenários!AH67,Cenários!AH113)</f>
        <v>163686.24811</v>
      </c>
      <c r="AI11" s="113" t="n">
        <f aca="false">CHOOSE(Premissas!$B$6,Cenários!AI21,Cenários!AI67,Cenários!AI113)</f>
        <v>168659.6575675</v>
      </c>
      <c r="AJ11" s="113" t="n">
        <f aca="false">CHOOSE(Premissas!$B$6,Cenários!AJ21,Cenários!AJ67,Cenários!AJ113)</f>
        <v>173371.3086325</v>
      </c>
      <c r="AK11" s="113" t="n">
        <f aca="false">CHOOSE(Premissas!$B$6,Cenários!AK21,Cenários!AK67,Cenários!AK113)</f>
        <v>177646.69571</v>
      </c>
      <c r="AL11" s="113" t="n">
        <f aca="false">CHOOSE(Premissas!$B$6,Cenários!AL21,Cenários!AL67,Cenários!AL113)</f>
        <v>269069.740666512</v>
      </c>
      <c r="AM11" s="113" t="n">
        <f aca="false">CHOOSE(Premissas!$B$6,Cenários!AM21,Cenários!AM67,Cenários!AM113)</f>
        <v>286211.425263363</v>
      </c>
      <c r="AN11" s="113" t="n">
        <f aca="false">CHOOSE(Premissas!$B$6,Cenários!AN21,Cenários!AN67,Cenários!AN113)</f>
        <v>302258.959779562</v>
      </c>
      <c r="AO11" s="113" t="n">
        <f aca="false">CHOOSE(Premissas!$B$6,Cenários!AO21,Cenários!AO67,Cenários!AO113)</f>
        <v>317303.5233885</v>
      </c>
      <c r="AP11" s="113" t="n">
        <f aca="false">CHOOSE(Premissas!$B$6,Cenários!AP21,Cenários!AP67,Cenários!AP113)</f>
        <v>331345.116090175</v>
      </c>
      <c r="AQ11" s="113" t="n">
        <f aca="false">CHOOSE(Premissas!$B$6,Cenários!AQ21,Cenários!AQ67,Cenários!AQ113)</f>
        <v>344383.737884588</v>
      </c>
      <c r="AR11" s="113" t="n">
        <f aca="false">CHOOSE(Premissas!$B$6,Cenários!AR21,Cenários!AR67,Cenários!AR113)</f>
        <v>356601.747118512</v>
      </c>
      <c r="AS11" s="113" t="n">
        <f aca="false">CHOOSE(Premissas!$B$6,Cenários!AS21,Cenários!AS67,Cenários!AS113)</f>
        <v>367907.964618562</v>
      </c>
      <c r="AT11" s="113" t="n">
        <f aca="false">CHOOSE(Premissas!$B$6,Cenários!AT21,Cenários!AT67,Cenários!AT113)</f>
        <v>378575.9279049</v>
      </c>
      <c r="AU11" s="113" t="n">
        <f aca="false">CHOOSE(Premissas!$B$6,Cenários!AU21,Cenários!AU67,Cenários!AU113)</f>
        <v>388514.457804137</v>
      </c>
      <c r="AV11" s="113" t="n">
        <f aca="false">CHOOSE(Premissas!$B$6,Cenários!AV21,Cenários!AV67,Cenários!AV113)</f>
        <v>397814.733489662</v>
      </c>
      <c r="AW11" s="113" t="n">
        <f aca="false">CHOOSE(Premissas!$B$6,Cenários!AW21,Cenários!AW67,Cenários!AW113)</f>
        <v>406385.575788088</v>
      </c>
      <c r="AX11" s="113" t="n">
        <f aca="false">CHOOSE(Premissas!$B$6,Cenários!AX21,Cenários!AX67,Cenários!AX113)</f>
        <v>587319.703874775</v>
      </c>
      <c r="AY11" s="113" t="n">
        <f aca="false">CHOOSE(Premissas!$B$6,Cenários!AY21,Cenários!AY67,Cenários!AY113)</f>
        <v>621907.155611722</v>
      </c>
      <c r="AZ11" s="113" t="n">
        <f aca="false">CHOOSE(Premissas!$B$6,Cenários!AZ21,Cenários!AZ67,Cenários!AZ113)</f>
        <v>654398.398152491</v>
      </c>
      <c r="BA11" s="113" t="n">
        <f aca="false">CHOOSE(Premissas!$B$6,Cenários!BA21,Cenários!BA67,Cenários!BA113)</f>
        <v>684793.431497081</v>
      </c>
      <c r="BB11" s="113" t="n">
        <f aca="false">CHOOSE(Premissas!$B$6,Cenários!BB21,Cenários!BB67,Cenários!BB113)</f>
        <v>713282.820117872</v>
      </c>
      <c r="BC11" s="113" t="n">
        <f aca="false">CHOOSE(Premissas!$B$6,Cenários!BC21,Cenários!BC67,Cenários!BC113)</f>
        <v>739961.846251054</v>
      </c>
      <c r="BD11" s="113" t="n">
        <f aca="false">CHOOSE(Premissas!$B$6,Cenários!BD21,Cenários!BD67,Cenários!BD113)</f>
        <v>765021.074369008</v>
      </c>
      <c r="BE11" s="113" t="n">
        <f aca="false">CHOOSE(Premissas!$B$6,Cenários!BE21,Cenários!BE67,Cenários!BE113)</f>
        <v>788555.786707923</v>
      </c>
      <c r="BF11" s="113" t="n">
        <f aca="false">CHOOSE(Premissas!$B$6,Cenários!BF21,Cenários!BF67,Cenários!BF113)</f>
        <v>810470.701031608</v>
      </c>
      <c r="BG11" s="113" t="n">
        <f aca="false">CHOOSE(Premissas!$B$6,Cenários!BG21,Cenários!BG67,Cenários!BG113)</f>
        <v>831146.946284825</v>
      </c>
      <c r="BH11" s="113" t="n">
        <f aca="false">CHOOSE(Premissas!$B$6,Cenários!BH21,Cenários!BH67,Cenários!BH113)</f>
        <v>850489.240231382</v>
      </c>
      <c r="BI11" s="113" t="n">
        <f aca="false">CHOOSE(Premissas!$B$6,Cenários!BI21,Cenários!BI67,Cenários!BI113)</f>
        <v>868688.14734366</v>
      </c>
      <c r="BJ11" s="111" t="n">
        <f aca="false">SUM(B11:BI11)</f>
        <v>15361394.44775</v>
      </c>
      <c r="BK11" s="141" t="n">
        <f aca="false">IFERROR(BJ11/BJ$14,0)</f>
        <v>0.250529075777147</v>
      </c>
    </row>
    <row r="12" customFormat="false" ht="15" hidden="false" customHeight="false" outlineLevel="0" collapsed="false">
      <c r="A12" s="27" t="s">
        <v>523</v>
      </c>
      <c r="B12" s="113" t="n">
        <f aca="false">CHOOSE(Premissas!$B$6,Cenários!B23,Cenários!B69,Cenários!B115)</f>
        <v>0</v>
      </c>
      <c r="C12" s="113" t="n">
        <f aca="false">CHOOSE(Premissas!$B$6,Cenários!C23,Cenários!C69,Cenários!C115)</f>
        <v>0</v>
      </c>
      <c r="D12" s="113" t="n">
        <f aca="false">CHOOSE(Premissas!$B$6,Cenários!D23,Cenários!D69,Cenários!D115)</f>
        <v>0</v>
      </c>
      <c r="E12" s="113" t="n">
        <f aca="false">CHOOSE(Premissas!$B$6,Cenários!E23,Cenários!E69,Cenários!E115)</f>
        <v>0</v>
      </c>
      <c r="F12" s="113" t="n">
        <f aca="false">CHOOSE(Premissas!$B$6,Cenários!F23,Cenários!F69,Cenários!F115)</f>
        <v>0</v>
      </c>
      <c r="G12" s="113" t="n">
        <f aca="false">CHOOSE(Premissas!$B$6,Cenários!G23,Cenários!G69,Cenários!G115)</f>
        <v>0</v>
      </c>
      <c r="H12" s="113" t="n">
        <f aca="false">CHOOSE(Premissas!$B$6,Cenários!H23,Cenários!H69,Cenários!H115)</f>
        <v>0</v>
      </c>
      <c r="I12" s="113" t="n">
        <f aca="false">CHOOSE(Premissas!$B$6,Cenários!I23,Cenários!I69,Cenários!I115)</f>
        <v>0</v>
      </c>
      <c r="J12" s="113" t="n">
        <f aca="false">CHOOSE(Premissas!$B$6,Cenários!J23,Cenários!J69,Cenários!J115)</f>
        <v>0</v>
      </c>
      <c r="K12" s="113" t="n">
        <f aca="false">CHOOSE(Premissas!$B$6,Cenários!K23,Cenários!K69,Cenários!K115)</f>
        <v>0</v>
      </c>
      <c r="L12" s="113" t="n">
        <f aca="false">CHOOSE(Premissas!$B$6,Cenários!L23,Cenários!L69,Cenários!L115)</f>
        <v>0</v>
      </c>
      <c r="M12" s="113" t="n">
        <f aca="false">CHOOSE(Premissas!$B$6,Cenários!M23,Cenários!M69,Cenários!M115)</f>
        <v>0</v>
      </c>
      <c r="N12" s="113" t="n">
        <f aca="false">CHOOSE(Premissas!$B$6,Cenários!N23,Cenários!N69,Cenários!N115)</f>
        <v>3856.46297568</v>
      </c>
      <c r="O12" s="113" t="n">
        <f aca="false">CHOOSE(Premissas!$B$6,Cenários!O23,Cenários!O69,Cenários!O115)</f>
        <v>4991.83195990886</v>
      </c>
      <c r="P12" s="113" t="n">
        <f aca="false">CHOOSE(Premissas!$B$6,Cenários!P23,Cenários!P69,Cenários!P115)</f>
        <v>6041.82119652372</v>
      </c>
      <c r="Q12" s="113" t="n">
        <f aca="false">CHOOSE(Premissas!$B$6,Cenários!Q23,Cenários!Q69,Cenários!Q115)</f>
        <v>7012.85124254513</v>
      </c>
      <c r="R12" s="113" t="n">
        <f aca="false">CHOOSE(Premissas!$B$6,Cenários!R23,Cenários!R69,Cenários!R115)</f>
        <v>7910.85982910574</v>
      </c>
      <c r="S12" s="113" t="n">
        <f aca="false">CHOOSE(Premissas!$B$6,Cenários!S23,Cenários!S69,Cenários!S115)</f>
        <v>8741.33816995699</v>
      </c>
      <c r="T12" s="113" t="n">
        <f aca="false">CHOOSE(Premissas!$B$6,Cenários!T23,Cenários!T69,Cenários!T115)</f>
        <v>9509.36453957622</v>
      </c>
      <c r="U12" s="113" t="n">
        <f aca="false">CHOOSE(Premissas!$B$6,Cenários!U23,Cenários!U69,Cenários!U115)</f>
        <v>10219.6353262001</v>
      </c>
      <c r="V12" s="113" t="n">
        <f aca="false">CHOOSE(Premissas!$B$6,Cenários!V23,Cenários!V69,Cenários!V115)</f>
        <v>10876.4937496698</v>
      </c>
      <c r="W12" s="113" t="n">
        <f aca="false">CHOOSE(Premissas!$B$6,Cenários!W23,Cenários!W69,Cenários!W115)</f>
        <v>11483.9564196947</v>
      </c>
      <c r="X12" s="113" t="n">
        <f aca="false">CHOOSE(Premissas!$B$6,Cenários!X23,Cenários!X69,Cenários!X115)</f>
        <v>12045.7378969336</v>
      </c>
      <c r="Y12" s="113" t="n">
        <f aca="false">CHOOSE(Premissas!$B$6,Cenários!Y23,Cenários!Y69,Cenários!Y115)</f>
        <v>12565.2734070842</v>
      </c>
      <c r="Z12" s="113" t="n">
        <f aca="false">CHOOSE(Premissas!$B$6,Cenários!Z23,Cenários!Z69,Cenários!Z115)</f>
        <v>23025.2031008071</v>
      </c>
      <c r="AA12" s="113" t="n">
        <f aca="false">CHOOSE(Premissas!$B$6,Cenários!AA23,Cenários!AA69,Cenários!AA115)</f>
        <v>24961.0350440172</v>
      </c>
      <c r="AB12" s="113" t="n">
        <f aca="false">CHOOSE(Premissas!$B$6,Cenários!AB23,Cenários!AB69,Cenários!AB115)</f>
        <v>26760.0268988258</v>
      </c>
      <c r="AC12" s="113" t="n">
        <f aca="false">CHOOSE(Premissas!$B$6,Cenários!AC23,Cenários!AC69,Cenários!AC115)</f>
        <v>28431.8516174016</v>
      </c>
      <c r="AD12" s="113" t="n">
        <f aca="false">CHOOSE(Premissas!$B$6,Cenários!AD23,Cenários!AD69,Cenários!AD115)</f>
        <v>29985.4983902707</v>
      </c>
      <c r="AE12" s="113" t="n">
        <f aca="false">CHOOSE(Premissas!$B$6,Cenários!AE23,Cenários!AE69,Cenários!AE115)</f>
        <v>31429.3209800592</v>
      </c>
      <c r="AF12" s="113" t="n">
        <f aca="false">CHOOSE(Premissas!$B$6,Cenários!AF23,Cenários!AF69,Cenários!AF115)</f>
        <v>32771.0826386208</v>
      </c>
      <c r="AG12" s="113" t="n">
        <f aca="false">CHOOSE(Premissas!$B$6,Cenários!AG23,Cenários!AG69,Cenários!AG115)</f>
        <v>34017.997849062</v>
      </c>
      <c r="AH12" s="113" t="n">
        <f aca="false">CHOOSE(Premissas!$B$6,Cenários!AH23,Cenários!AH69,Cenários!AH115)</f>
        <v>35176.7711171075</v>
      </c>
      <c r="AI12" s="113" t="n">
        <f aca="false">CHOOSE(Premissas!$B$6,Cenários!AI23,Cenários!AI69,Cenários!AI115)</f>
        <v>36253.6330203814</v>
      </c>
      <c r="AJ12" s="113" t="n">
        <f aca="false">CHOOSE(Premissas!$B$6,Cenários!AJ23,Cenários!AJ69,Cenários!AJ115)</f>
        <v>37254.3737094367</v>
      </c>
      <c r="AK12" s="113" t="n">
        <f aca="false">CHOOSE(Premissas!$B$6,Cenários!AK23,Cenários!AK69,Cenários!AK115)</f>
        <v>38184.374040664</v>
      </c>
      <c r="AL12" s="113" t="n">
        <f aca="false">CHOOSE(Premissas!$B$6,Cenários!AL23,Cenários!AL69,Cenários!AL115)</f>
        <v>65587.686208654</v>
      </c>
      <c r="AM12" s="113" t="n">
        <f aca="false">CHOOSE(Premissas!$B$6,Cenários!AM23,Cenários!AM69,Cenários!AM115)</f>
        <v>69781.8495876997</v>
      </c>
      <c r="AN12" s="113" t="n">
        <f aca="false">CHOOSE(Premissas!$B$6,Cenários!AN23,Cenários!AN69,Cenários!AN115)</f>
        <v>73697.3245670637</v>
      </c>
      <c r="AO12" s="113" t="n">
        <f aca="false">CHOOSE(Premissas!$B$6,Cenários!AO23,Cenários!AO69,Cenários!AO115)</f>
        <v>77352.6290768069</v>
      </c>
      <c r="AP12" s="113" t="n">
        <f aca="false">CHOOSE(Premissas!$B$6,Cenários!AP23,Cenários!AP69,Cenários!AP115)</f>
        <v>80765.0505912764</v>
      </c>
      <c r="AQ12" s="113" t="n">
        <f aca="false">CHOOSE(Premissas!$B$6,Cenários!AQ23,Cenários!AQ69,Cenários!AQ115)</f>
        <v>83950.7278888521</v>
      </c>
      <c r="AR12" s="113" t="n">
        <f aca="false">CHOOSE(Premissas!$B$6,Cenários!AR23,Cenários!AR69,Cenários!AR115)</f>
        <v>86924.7273790253</v>
      </c>
      <c r="AS12" s="113" t="n">
        <f aca="false">CHOOSE(Premissas!$B$6,Cenários!AS23,Cenários!AS69,Cenários!AS115)</f>
        <v>89701.1143577949</v>
      </c>
      <c r="AT12" s="113" t="n">
        <f aca="false">CHOOSE(Premissas!$B$6,Cenários!AT23,Cenários!AT69,Cenários!AT115)</f>
        <v>92293.0195283745</v>
      </c>
      <c r="AU12" s="113" t="n">
        <f aca="false">CHOOSE(Premissas!$B$6,Cenários!AU23,Cenários!AU69,Cenários!AU115)</f>
        <v>94712.7011018181</v>
      </c>
      <c r="AV12" s="113" t="n">
        <f aca="false">CHOOSE(Premissas!$B$6,Cenários!AV23,Cenários!AV69,Cenários!AV115)</f>
        <v>96971.6027712619</v>
      </c>
      <c r="AW12" s="113" t="n">
        <f aca="false">CHOOSE(Premissas!$B$6,Cenários!AW23,Cenários!AW69,Cenários!AW115)</f>
        <v>99080.4078339686</v>
      </c>
      <c r="AX12" s="113" t="n">
        <f aca="false">CHOOSE(Premissas!$B$6,Cenários!AX23,Cenários!AX69,Cenários!AX115)</f>
        <v>132150.286005186</v>
      </c>
      <c r="AY12" s="113" t="n">
        <f aca="false">CHOOSE(Premissas!$B$6,Cenários!AY23,Cenários!AY69,Cenários!AY115)</f>
        <v>139931.658886206</v>
      </c>
      <c r="AZ12" s="113" t="n">
        <f aca="false">CHOOSE(Premissas!$B$6,Cenários!AZ23,Cenários!AZ69,Cenários!AZ115)</f>
        <v>147227.007864488</v>
      </c>
      <c r="BA12" s="113" t="n">
        <f aca="false">CHOOSE(Premissas!$B$6,Cenários!BA23,Cenários!BA69,Cenários!BA115)</f>
        <v>154066.689952559</v>
      </c>
      <c r="BB12" s="113" t="n">
        <f aca="false">CHOOSE(Premissas!$B$6,Cenários!BB23,Cenários!BB69,Cenários!BB115)</f>
        <v>160479.166066471</v>
      </c>
      <c r="BC12" s="113" t="n">
        <f aca="false">CHOOSE(Premissas!$B$6,Cenários!BC23,Cenários!BC69,Cenários!BC115)</f>
        <v>166491.119455825</v>
      </c>
      <c r="BD12" s="113" t="n">
        <f aca="false">CHOOSE(Premissas!$B$6,Cenários!BD23,Cenários!BD69,Cenários!BD115)</f>
        <v>172127.566736676</v>
      </c>
      <c r="BE12" s="113" t="n">
        <f aca="false">CHOOSE(Premissas!$B$6,Cenários!BE23,Cenários!BE69,Cenários!BE115)</f>
        <v>177411.961989316</v>
      </c>
      <c r="BF12" s="113" t="n">
        <f aca="false">CHOOSE(Premissas!$B$6,Cenários!BF23,Cenários!BF69,Cenários!BF115)</f>
        <v>182366.294354139</v>
      </c>
      <c r="BG12" s="113" t="n">
        <f aca="false">CHOOSE(Premissas!$B$6,Cenários!BG23,Cenários!BG69,Cenários!BG115)</f>
        <v>187011.179531655</v>
      </c>
      <c r="BH12" s="113" t="n">
        <f aca="false">CHOOSE(Premissas!$B$6,Cenários!BH23,Cenários!BH69,Cenários!BH115)</f>
        <v>191365.945567438</v>
      </c>
      <c r="BI12" s="113" t="n">
        <f aca="false">CHOOSE(Premissas!$B$6,Cenários!BI23,Cenários!BI69,Cenários!BI115)</f>
        <v>195448.713278943</v>
      </c>
      <c r="BJ12" s="111" t="n">
        <f aca="false">SUM(B12:BI12)</f>
        <v>3500403.22570103</v>
      </c>
      <c r="BK12" s="141" t="n">
        <f aca="false">IFERROR(BJ12/BJ$14,0)</f>
        <v>0.0570880975659519</v>
      </c>
    </row>
    <row r="13" customFormat="false" ht="15" hidden="false" customHeight="false" outlineLevel="0" collapsed="false">
      <c r="A13" s="27" t="s">
        <v>420</v>
      </c>
      <c r="B13" s="113" t="n">
        <f aca="false">CHOOSE(Premissas!$B$6,Cenários!B24,Cenários!B70,Cenários!B116)</f>
        <v>0</v>
      </c>
      <c r="C13" s="113" t="n">
        <f aca="false">CHOOSE(Premissas!$B$6,Cenários!C24,Cenários!C70,Cenários!C116)</f>
        <v>0</v>
      </c>
      <c r="D13" s="113" t="n">
        <f aca="false">CHOOSE(Premissas!$B$6,Cenários!D24,Cenários!D70,Cenários!D116)</f>
        <v>0</v>
      </c>
      <c r="E13" s="113" t="n">
        <f aca="false">CHOOSE(Premissas!$B$6,Cenários!E24,Cenários!E70,Cenários!E116)</f>
        <v>0</v>
      </c>
      <c r="F13" s="113" t="n">
        <f aca="false">CHOOSE(Premissas!$B$6,Cenários!F24,Cenários!F70,Cenários!F116)</f>
        <v>0</v>
      </c>
      <c r="G13" s="113" t="n">
        <f aca="false">CHOOSE(Premissas!$B$6,Cenários!G24,Cenários!G70,Cenários!G116)</f>
        <v>0</v>
      </c>
      <c r="H13" s="113" t="n">
        <f aca="false">CHOOSE(Premissas!$B$6,Cenários!H24,Cenários!H70,Cenários!H116)</f>
        <v>0</v>
      </c>
      <c r="I13" s="113" t="n">
        <f aca="false">CHOOSE(Premissas!$B$6,Cenários!I24,Cenários!I70,Cenários!I116)</f>
        <v>0</v>
      </c>
      <c r="J13" s="113" t="n">
        <f aca="false">CHOOSE(Premissas!$B$6,Cenários!J24,Cenários!J70,Cenários!J116)</f>
        <v>0</v>
      </c>
      <c r="K13" s="113" t="n">
        <f aca="false">CHOOSE(Premissas!$B$6,Cenários!K24,Cenários!K70,Cenários!K116)</f>
        <v>0</v>
      </c>
      <c r="L13" s="113" t="n">
        <f aca="false">CHOOSE(Premissas!$B$6,Cenários!L24,Cenários!L70,Cenários!L116)</f>
        <v>0</v>
      </c>
      <c r="M13" s="113" t="n">
        <f aca="false">CHOOSE(Premissas!$B$6,Cenários!M24,Cenários!M70,Cenários!M116)</f>
        <v>0</v>
      </c>
      <c r="N13" s="113" t="n">
        <f aca="false">CHOOSE(Premissas!$B$6,Cenários!N24,Cenários!N70,Cenários!N116)</f>
        <v>0</v>
      </c>
      <c r="O13" s="113" t="n">
        <f aca="false">CHOOSE(Premissas!$B$6,Cenários!O24,Cenários!O70,Cenários!O116)</f>
        <v>0</v>
      </c>
      <c r="P13" s="113" t="n">
        <f aca="false">CHOOSE(Premissas!$B$6,Cenários!P24,Cenários!P70,Cenários!P116)</f>
        <v>0</v>
      </c>
      <c r="Q13" s="113" t="n">
        <f aca="false">CHOOSE(Premissas!$B$6,Cenários!Q24,Cenários!Q70,Cenários!Q116)</f>
        <v>0</v>
      </c>
      <c r="R13" s="113" t="n">
        <f aca="false">CHOOSE(Premissas!$B$6,Cenários!R24,Cenários!R70,Cenários!R116)</f>
        <v>0</v>
      </c>
      <c r="S13" s="113" t="n">
        <f aca="false">CHOOSE(Premissas!$B$6,Cenários!S24,Cenários!S70,Cenários!S116)</f>
        <v>0</v>
      </c>
      <c r="T13" s="113" t="n">
        <f aca="false">CHOOSE(Premissas!$B$6,Cenários!T24,Cenários!T70,Cenários!T116)</f>
        <v>0</v>
      </c>
      <c r="U13" s="113" t="n">
        <f aca="false">CHOOSE(Premissas!$B$6,Cenários!U24,Cenários!U70,Cenários!U116)</f>
        <v>0</v>
      </c>
      <c r="V13" s="113" t="n">
        <f aca="false">CHOOSE(Premissas!$B$6,Cenários!V24,Cenários!V70,Cenários!V116)</f>
        <v>0</v>
      </c>
      <c r="W13" s="113" t="n">
        <f aca="false">CHOOSE(Premissas!$B$6,Cenários!W24,Cenários!W70,Cenários!W116)</f>
        <v>0</v>
      </c>
      <c r="X13" s="113" t="n">
        <f aca="false">CHOOSE(Premissas!$B$6,Cenários!X24,Cenários!X70,Cenários!X116)</f>
        <v>0</v>
      </c>
      <c r="Y13" s="113" t="n">
        <f aca="false">CHOOSE(Premissas!$B$6,Cenários!Y24,Cenários!Y70,Cenários!Y116)</f>
        <v>0</v>
      </c>
      <c r="Z13" s="113" t="n">
        <f aca="false">CHOOSE(Premissas!$B$6,Cenários!Z24,Cenários!Z70,Cenários!Z116)</f>
        <v>0</v>
      </c>
      <c r="AA13" s="113" t="n">
        <f aca="false">CHOOSE(Premissas!$B$6,Cenários!AA24,Cenários!AA70,Cenários!AA116)</f>
        <v>0</v>
      </c>
      <c r="AB13" s="113" t="n">
        <f aca="false">CHOOSE(Premissas!$B$6,Cenários!AB24,Cenários!AB70,Cenários!AB116)</f>
        <v>0</v>
      </c>
      <c r="AC13" s="113" t="n">
        <f aca="false">CHOOSE(Premissas!$B$6,Cenários!AC24,Cenários!AC70,Cenários!AC116)</f>
        <v>0</v>
      </c>
      <c r="AD13" s="113" t="n">
        <f aca="false">CHOOSE(Premissas!$B$6,Cenários!AD24,Cenários!AD70,Cenários!AD116)</f>
        <v>0</v>
      </c>
      <c r="AE13" s="113" t="n">
        <f aca="false">CHOOSE(Premissas!$B$6,Cenários!AE24,Cenários!AE70,Cenários!AE116)</f>
        <v>0</v>
      </c>
      <c r="AF13" s="113" t="n">
        <f aca="false">CHOOSE(Premissas!$B$6,Cenários!AF24,Cenários!AF70,Cenários!AF116)</f>
        <v>0</v>
      </c>
      <c r="AG13" s="113" t="n">
        <f aca="false">CHOOSE(Premissas!$B$6,Cenários!AG24,Cenários!AG70,Cenários!AG116)</f>
        <v>0</v>
      </c>
      <c r="AH13" s="113" t="n">
        <f aca="false">CHOOSE(Premissas!$B$6,Cenários!AH24,Cenários!AH70,Cenários!AH116)</f>
        <v>0</v>
      </c>
      <c r="AI13" s="113" t="n">
        <f aca="false">CHOOSE(Premissas!$B$6,Cenários!AI24,Cenários!AI70,Cenários!AI116)</f>
        <v>0</v>
      </c>
      <c r="AJ13" s="113" t="n">
        <f aca="false">CHOOSE(Premissas!$B$6,Cenários!AJ24,Cenários!AJ70,Cenários!AJ116)</f>
        <v>0</v>
      </c>
      <c r="AK13" s="113" t="n">
        <f aca="false">CHOOSE(Premissas!$B$6,Cenários!AK24,Cenários!AK70,Cenários!AK116)</f>
        <v>0</v>
      </c>
      <c r="AL13" s="113" t="n">
        <f aca="false">CHOOSE(Premissas!$B$6,Cenários!AL24,Cenários!AL70,Cenários!AL116)</f>
        <v>0</v>
      </c>
      <c r="AM13" s="113" t="n">
        <f aca="false">CHOOSE(Premissas!$B$6,Cenários!AM24,Cenários!AM70,Cenários!AM116)</f>
        <v>0</v>
      </c>
      <c r="AN13" s="113" t="n">
        <f aca="false">CHOOSE(Premissas!$B$6,Cenários!AN24,Cenários!AN70,Cenários!AN116)</f>
        <v>0</v>
      </c>
      <c r="AO13" s="113" t="n">
        <f aca="false">CHOOSE(Premissas!$B$6,Cenários!AO24,Cenários!AO70,Cenários!AO116)</f>
        <v>0</v>
      </c>
      <c r="AP13" s="113" t="n">
        <f aca="false">CHOOSE(Premissas!$B$6,Cenários!AP24,Cenários!AP70,Cenários!AP116)</f>
        <v>0</v>
      </c>
      <c r="AQ13" s="113" t="n">
        <f aca="false">CHOOSE(Premissas!$B$6,Cenários!AQ24,Cenários!AQ70,Cenários!AQ116)</f>
        <v>0</v>
      </c>
      <c r="AR13" s="113" t="n">
        <f aca="false">CHOOSE(Premissas!$B$6,Cenários!AR24,Cenários!AR70,Cenários!AR116)</f>
        <v>0</v>
      </c>
      <c r="AS13" s="113" t="n">
        <f aca="false">CHOOSE(Premissas!$B$6,Cenários!AS24,Cenários!AS70,Cenários!AS116)</f>
        <v>0</v>
      </c>
      <c r="AT13" s="113" t="n">
        <f aca="false">CHOOSE(Premissas!$B$6,Cenários!AT24,Cenários!AT70,Cenários!AT116)</f>
        <v>0</v>
      </c>
      <c r="AU13" s="113" t="n">
        <f aca="false">CHOOSE(Premissas!$B$6,Cenários!AU24,Cenários!AU70,Cenários!AU116)</f>
        <v>0</v>
      </c>
      <c r="AV13" s="113" t="n">
        <f aca="false">CHOOSE(Premissas!$B$6,Cenários!AV24,Cenários!AV70,Cenários!AV116)</f>
        <v>0</v>
      </c>
      <c r="AW13" s="113" t="n">
        <f aca="false">CHOOSE(Premissas!$B$6,Cenários!AW24,Cenários!AW70,Cenários!AW116)</f>
        <v>0</v>
      </c>
      <c r="AX13" s="113" t="n">
        <f aca="false">CHOOSE(Premissas!$B$6,Cenários!AX24,Cenários!AX70,Cenários!AX116)</f>
        <v>0</v>
      </c>
      <c r="AY13" s="113" t="n">
        <f aca="false">CHOOSE(Premissas!$B$6,Cenários!AY24,Cenários!AY70,Cenários!AY116)</f>
        <v>0</v>
      </c>
      <c r="AZ13" s="113" t="n">
        <f aca="false">CHOOSE(Premissas!$B$6,Cenários!AZ24,Cenários!AZ70,Cenários!AZ116)</f>
        <v>0</v>
      </c>
      <c r="BA13" s="113" t="n">
        <f aca="false">CHOOSE(Premissas!$B$6,Cenários!BA24,Cenários!BA70,Cenários!BA116)</f>
        <v>0</v>
      </c>
      <c r="BB13" s="113" t="n">
        <f aca="false">CHOOSE(Premissas!$B$6,Cenários!BB24,Cenários!BB70,Cenários!BB116)</f>
        <v>0</v>
      </c>
      <c r="BC13" s="113" t="n">
        <f aca="false">CHOOSE(Premissas!$B$6,Cenários!BC24,Cenários!BC70,Cenários!BC116)</f>
        <v>0</v>
      </c>
      <c r="BD13" s="113" t="n">
        <f aca="false">CHOOSE(Premissas!$B$6,Cenários!BD24,Cenários!BD70,Cenários!BD116)</f>
        <v>0</v>
      </c>
      <c r="BE13" s="113" t="n">
        <f aca="false">CHOOSE(Premissas!$B$6,Cenários!BE24,Cenários!BE70,Cenários!BE116)</f>
        <v>0</v>
      </c>
      <c r="BF13" s="113" t="n">
        <f aca="false">CHOOSE(Premissas!$B$6,Cenários!BF24,Cenários!BF70,Cenários!BF116)</f>
        <v>0</v>
      </c>
      <c r="BG13" s="113" t="n">
        <f aca="false">CHOOSE(Premissas!$B$6,Cenários!BG24,Cenários!BG70,Cenários!BG116)</f>
        <v>0</v>
      </c>
      <c r="BH13" s="113" t="n">
        <f aca="false">CHOOSE(Premissas!$B$6,Cenários!BH24,Cenários!BH70,Cenários!BH116)</f>
        <v>0</v>
      </c>
      <c r="BI13" s="113" t="n">
        <f aca="false">CHOOSE(Premissas!$B$6,Cenários!BI24,Cenários!BI70,Cenários!BI116)</f>
        <v>0</v>
      </c>
      <c r="BJ13" s="111" t="n">
        <f aca="false">SUM(B13:BI13)</f>
        <v>0</v>
      </c>
      <c r="BK13" s="141" t="n">
        <f aca="false">IFERROR(BJ13/BJ$14,0)</f>
        <v>0</v>
      </c>
    </row>
    <row r="14" customFormat="false" ht="15" hidden="false" customHeight="false" outlineLevel="0" collapsed="false">
      <c r="A14" s="51" t="s">
        <v>524</v>
      </c>
      <c r="B14" s="111" t="n">
        <f aca="false">SUM(B9:B13)</f>
        <v>0</v>
      </c>
      <c r="C14" s="111" t="n">
        <f aca="false">SUM(C9:C13)</f>
        <v>0</v>
      </c>
      <c r="D14" s="111" t="n">
        <f aca="false">SUM(D9:D13)</f>
        <v>0</v>
      </c>
      <c r="E14" s="111" t="n">
        <f aca="false">SUM(E9:E13)</f>
        <v>0</v>
      </c>
      <c r="F14" s="111" t="n">
        <f aca="false">SUM(F9:F13)</f>
        <v>0</v>
      </c>
      <c r="G14" s="111" t="n">
        <f aca="false">SUM(G9:G13)</f>
        <v>0</v>
      </c>
      <c r="H14" s="111" t="n">
        <f aca="false">SUM(H9:H13)</f>
        <v>0</v>
      </c>
      <c r="I14" s="111" t="n">
        <f aca="false">SUM(I9:I13)</f>
        <v>0</v>
      </c>
      <c r="J14" s="111" t="n">
        <f aca="false">SUM(J9:J13)</f>
        <v>0</v>
      </c>
      <c r="K14" s="111" t="n">
        <f aca="false">SUM(K9:K13)</f>
        <v>4084.9</v>
      </c>
      <c r="L14" s="111" t="n">
        <f aca="false">SUM(L9:L13)</f>
        <v>15582.1</v>
      </c>
      <c r="M14" s="111" t="n">
        <f aca="false">SUM(M9:M13)</f>
        <v>33694.8</v>
      </c>
      <c r="N14" s="111" t="n">
        <f aca="false">SUM(N9:N13)</f>
        <v>80910.16497568</v>
      </c>
      <c r="O14" s="111" t="n">
        <f aca="false">SUM(O9:O13)</f>
        <v>129756.576459909</v>
      </c>
      <c r="P14" s="111" t="n">
        <f aca="false">SUM(P9:P13)</f>
        <v>187222.458196524</v>
      </c>
      <c r="Q14" s="111" t="n">
        <f aca="false">SUM(Q9:Q13)</f>
        <v>217328.192742545</v>
      </c>
      <c r="R14" s="111" t="n">
        <f aca="false">SUM(R9:R13)</f>
        <v>245132.443329106</v>
      </c>
      <c r="S14" s="111" t="n">
        <f aca="false">SUM(S9:S13)</f>
        <v>270849.178669957</v>
      </c>
      <c r="T14" s="111" t="n">
        <f aca="false">SUM(T9:T13)</f>
        <v>294691.850039576</v>
      </c>
      <c r="U14" s="111" t="n">
        <f aca="false">SUM(U9:U13)</f>
        <v>316664.6313262</v>
      </c>
      <c r="V14" s="111" t="n">
        <f aca="false">SUM(V9:V13)</f>
        <v>337022.35224967</v>
      </c>
      <c r="W14" s="111" t="n">
        <f aca="false">SUM(W9:W13)</f>
        <v>355831.102419695</v>
      </c>
      <c r="X14" s="111" t="n">
        <f aca="false">SUM(X9:X13)</f>
        <v>373261.482896934</v>
      </c>
      <c r="Y14" s="111" t="n">
        <f aca="false">SUM(Y9:Y13)</f>
        <v>389400.215407084</v>
      </c>
      <c r="Z14" s="111" t="n">
        <f aca="false">SUM(Z9:Z13)</f>
        <v>517434.389333307</v>
      </c>
      <c r="AA14" s="111" t="n">
        <f aca="false">SUM(AA9:AA13)</f>
        <v>560922.864551517</v>
      </c>
      <c r="AB14" s="111" t="n">
        <f aca="false">SUM(AB9:AB13)</f>
        <v>601357.810108826</v>
      </c>
      <c r="AC14" s="111" t="n">
        <f aca="false">SUM(AC9:AC13)</f>
        <v>638901.127242402</v>
      </c>
      <c r="AD14" s="111" t="n">
        <f aca="false">SUM(AD9:AD13)</f>
        <v>673844.967225271</v>
      </c>
      <c r="AE14" s="111" t="n">
        <f aca="false">SUM(AE9:AE13)</f>
        <v>706219.087510059</v>
      </c>
      <c r="AF14" s="111" t="n">
        <f aca="false">SUM(AF9:AF13)</f>
        <v>736380.044133621</v>
      </c>
      <c r="AG14" s="111" t="n">
        <f aca="false">SUM(AG9:AG13)</f>
        <v>764378.186566562</v>
      </c>
      <c r="AH14" s="111" t="n">
        <f aca="false">SUM(AH9:AH13)</f>
        <v>790503.599802107</v>
      </c>
      <c r="AI14" s="111" t="n">
        <f aca="false">SUM(AI9:AI13)</f>
        <v>814674.824810381</v>
      </c>
      <c r="AJ14" s="111" t="n">
        <f aca="false">SUM(AJ9:AJ13)</f>
        <v>837202.981931937</v>
      </c>
      <c r="AK14" s="111" t="n">
        <f aca="false">SUM(AK9:AK13)</f>
        <v>858049.443415664</v>
      </c>
      <c r="AL14" s="111" t="n">
        <f aca="false">SUM(AL9:AL13)</f>
        <v>1112846.3378495</v>
      </c>
      <c r="AM14" s="111" t="n">
        <f aca="false">SUM(AM9:AM13)</f>
        <v>1183971.37797576</v>
      </c>
      <c r="AN14" s="111" t="n">
        <f aca="false">SUM(AN9:AN13)</f>
        <v>1250381.56050801</v>
      </c>
      <c r="AO14" s="111" t="n">
        <f aca="false">SUM(AO9:AO13)</f>
        <v>1312436.61204769</v>
      </c>
      <c r="AP14" s="111" t="n">
        <f aca="false">SUM(AP9:AP13)</f>
        <v>1370358.54527198</v>
      </c>
      <c r="AQ14" s="111" t="n">
        <f aca="false">SUM(AQ9:AQ13)</f>
        <v>1424390.81925134</v>
      </c>
      <c r="AR14" s="111" t="n">
        <f aca="false">SUM(AR9:AR13)</f>
        <v>1474867.22809399</v>
      </c>
      <c r="AS14" s="111" t="n">
        <f aca="false">SUM(AS9:AS13)</f>
        <v>1521915.26900874</v>
      </c>
      <c r="AT14" s="111" t="n">
        <f aca="false">SUM(AT9:AT13)</f>
        <v>1565912.56115915</v>
      </c>
      <c r="AU14" s="111" t="n">
        <f aca="false">SUM(AU9:AU13)</f>
        <v>1606984.79466908</v>
      </c>
      <c r="AV14" s="111" t="n">
        <f aca="false">SUM(AV9:AV13)</f>
        <v>1645325.54334522</v>
      </c>
      <c r="AW14" s="111" t="n">
        <f aca="false">SUM(AW9:AW13)</f>
        <v>1681058.92239767</v>
      </c>
      <c r="AX14" s="111" t="n">
        <f aca="false">SUM(AX9:AX13)</f>
        <v>2135251.44590653</v>
      </c>
      <c r="AY14" s="111" t="n">
        <f aca="false">SUM(AY9:AY13)</f>
        <v>2260993.77746488</v>
      </c>
      <c r="AZ14" s="111" t="n">
        <f aca="false">SUM(AZ9:AZ13)</f>
        <v>2378926.70914218</v>
      </c>
      <c r="BA14" s="111" t="n">
        <f aca="false">SUM(BA9:BA13)</f>
        <v>2489413.1913887</v>
      </c>
      <c r="BB14" s="111" t="n">
        <f aca="false">SUM(BB9:BB13)</f>
        <v>2593028.69340257</v>
      </c>
      <c r="BC14" s="111" t="n">
        <f aca="false">SUM(BC9:BC13)</f>
        <v>2690156.58074686</v>
      </c>
      <c r="BD14" s="111" t="n">
        <f aca="false">SUM(BD9:BD13)</f>
        <v>2781226.13384323</v>
      </c>
      <c r="BE14" s="111" t="n">
        <f aca="false">SUM(BE9:BE13)</f>
        <v>2866641.33945742</v>
      </c>
      <c r="BF14" s="111" t="n">
        <f aca="false">SUM(BF9:BF13)</f>
        <v>2946637.76681122</v>
      </c>
      <c r="BG14" s="111" t="n">
        <f aca="false">SUM(BG9:BG13)</f>
        <v>3021688.35391033</v>
      </c>
      <c r="BH14" s="111" t="n">
        <f aca="false">SUM(BH9:BH13)</f>
        <v>3092049.85925373</v>
      </c>
      <c r="BI14" s="111" t="n">
        <f aca="false">SUM(BI9:BI13)</f>
        <v>3158049.74298386</v>
      </c>
      <c r="BJ14" s="111" t="n">
        <f aca="false">SUM(B14:BI14)</f>
        <v>61315814.9412342</v>
      </c>
    </row>
    <row r="16" customFormat="false" ht="18" hidden="false" customHeight="true" outlineLevel="0" collapsed="false">
      <c r="A16" s="25" t="s">
        <v>525</v>
      </c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</row>
    <row r="17" customFormat="false" ht="15" hidden="false" customHeight="false" outlineLevel="0" collapsed="false">
      <c r="A17" s="27" t="s">
        <v>456</v>
      </c>
      <c r="B17" s="113" t="n">
        <f aca="false">CHOOSE(Premissas!$B$6,Cenários!B28,Cenários!B74,Cenários!B120)</f>
        <v>-0</v>
      </c>
      <c r="C17" s="113" t="n">
        <f aca="false">CHOOSE(Premissas!$B$6,Cenários!C28,Cenários!C74,Cenários!C120)</f>
        <v>-0</v>
      </c>
      <c r="D17" s="113" t="n">
        <f aca="false">CHOOSE(Premissas!$B$6,Cenários!D28,Cenários!D74,Cenários!D120)</f>
        <v>-0</v>
      </c>
      <c r="E17" s="113" t="n">
        <f aca="false">CHOOSE(Premissas!$B$6,Cenários!E28,Cenários!E74,Cenários!E120)</f>
        <v>-0</v>
      </c>
      <c r="F17" s="113" t="n">
        <f aca="false">CHOOSE(Premissas!$B$6,Cenários!F28,Cenários!F74,Cenários!F120)</f>
        <v>-0</v>
      </c>
      <c r="G17" s="113" t="n">
        <f aca="false">CHOOSE(Premissas!$B$6,Cenários!G28,Cenários!G74,Cenários!G120)</f>
        <v>-0</v>
      </c>
      <c r="H17" s="113" t="n">
        <f aca="false">CHOOSE(Premissas!$B$6,Cenários!H28,Cenários!H74,Cenários!H120)</f>
        <v>-0</v>
      </c>
      <c r="I17" s="113" t="n">
        <f aca="false">CHOOSE(Premissas!$B$6,Cenários!I28,Cenários!I74,Cenários!I120)</f>
        <v>-0</v>
      </c>
      <c r="J17" s="113" t="n">
        <f aca="false">CHOOSE(Premissas!$B$6,Cenários!J28,Cenários!J74,Cenários!J120)</f>
        <v>-0</v>
      </c>
      <c r="K17" s="113" t="n">
        <f aca="false">CHOOSE(Premissas!$B$6,Cenários!K28,Cenários!K74,Cenários!K120)</f>
        <v>-633.1595</v>
      </c>
      <c r="L17" s="113" t="n">
        <f aca="false">CHOOSE(Premissas!$B$6,Cenários!L28,Cenários!L74,Cenários!L120)</f>
        <v>-2415.2255</v>
      </c>
      <c r="M17" s="113" t="n">
        <f aca="false">CHOOSE(Premissas!$B$6,Cenários!M28,Cenários!M74,Cenários!M120)</f>
        <v>-5222.694</v>
      </c>
      <c r="N17" s="113" t="n">
        <f aca="false">CHOOSE(Premissas!$B$6,Cenários!N28,Cenários!N74,Cenários!N120)</f>
        <v>-12541.0755712304</v>
      </c>
      <c r="O17" s="113" t="n">
        <f aca="false">CHOOSE(Premissas!$B$6,Cenários!O28,Cenários!O74,Cenários!O120)</f>
        <v>-20112.2693512859</v>
      </c>
      <c r="P17" s="113" t="n">
        <f aca="false">CHOOSE(Premissas!$B$6,Cenários!P28,Cenários!P74,Cenários!P120)</f>
        <v>-30509.0955523505</v>
      </c>
      <c r="Q17" s="113" t="n">
        <f aca="false">CHOOSE(Premissas!$B$6,Cenários!Q28,Cenários!Q74,Cenários!Q120)</f>
        <v>-37611.0322840983</v>
      </c>
      <c r="R17" s="113" t="n">
        <f aca="false">CHOOSE(Premissas!$B$6,Cenários!R28,Cenários!R74,Cenários!R120)</f>
        <v>-44171.0228049153</v>
      </c>
      <c r="S17" s="113" t="n">
        <f aca="false">CHOOSE(Premissas!$B$6,Cenários!S28,Cenários!S74,Cenários!S120)</f>
        <v>-50455.1728225529</v>
      </c>
      <c r="T17" s="113" t="n">
        <f aca="false">CHOOSE(Premissas!$B$6,Cenários!T28,Cenários!T74,Cenários!T120)</f>
        <v>-56157.7372988573</v>
      </c>
      <c r="U17" s="113" t="n">
        <f aca="false">CHOOSE(Premissas!$B$6,Cenários!U28,Cenários!U74,Cenários!U120)</f>
        <v>-61255.6407064385</v>
      </c>
      <c r="V17" s="113" t="n">
        <f aca="false">CHOOSE(Premissas!$B$6,Cenários!V28,Cenários!V74,Cenários!V120)</f>
        <v>-65880.591331067</v>
      </c>
      <c r="W17" s="113" t="n">
        <f aca="false">CHOOSE(Premissas!$B$6,Cenários!W28,Cenários!W74,Cenários!W120)</f>
        <v>-71481.2207374764</v>
      </c>
      <c r="X17" s="113" t="n">
        <f aca="false">CHOOSE(Premissas!$B$6,Cenários!X28,Cenários!X74,Cenários!X120)</f>
        <v>-76521.1797877149</v>
      </c>
      <c r="Y17" s="113" t="n">
        <f aca="false">CHOOSE(Premissas!$B$6,Cenários!Y28,Cenários!Y74,Cenários!Y120)</f>
        <v>-81054.4330369866</v>
      </c>
      <c r="Z17" s="113" t="n">
        <f aca="false">CHOOSE(Premissas!$B$6,Cenários!Z28,Cenários!Z74,Cenários!Z120)</f>
        <v>-108962.390555631</v>
      </c>
      <c r="AA17" s="113" t="n">
        <f aca="false">CHOOSE(Premissas!$B$6,Cenários!AA28,Cenários!AA74,Cenários!AA120)</f>
        <v>-87743.8920771071</v>
      </c>
      <c r="AB17" s="113" t="n">
        <f aca="false">CHOOSE(Premissas!$B$6,Cenários!AB28,Cenários!AB74,Cenários!AB120)</f>
        <v>-103543.917236153</v>
      </c>
      <c r="AC17" s="113" t="n">
        <f aca="false">CHOOSE(Premissas!$B$6,Cenários!AC28,Cenários!AC74,Cenários!AC120)</f>
        <v>-117852.661115871</v>
      </c>
      <c r="AD17" s="113" t="n">
        <f aca="false">CHOOSE(Premissas!$B$6,Cenários!AD28,Cenários!AD74,Cenários!AD120)</f>
        <v>-110038.883147887</v>
      </c>
      <c r="AE17" s="113" t="n">
        <f aca="false">CHOOSE(Premissas!$B$6,Cenários!AE28,Cenários!AE74,Cenários!AE120)</f>
        <v>-115325.576990393</v>
      </c>
      <c r="AF17" s="113" t="n">
        <f aca="false">CHOOSE(Premissas!$B$6,Cenários!AF28,Cenários!AF74,Cenários!AF120)</f>
        <v>-120250.86120702</v>
      </c>
      <c r="AG17" s="113" t="n">
        <f aca="false">CHOOSE(Premissas!$B$6,Cenários!AG28,Cenários!AG74,Cenários!AG120)</f>
        <v>-124822.95786632</v>
      </c>
      <c r="AH17" s="113" t="n">
        <f aca="false">CHOOSE(Premissas!$B$6,Cenários!AH28,Cenários!AH74,Cenários!AH120)</f>
        <v>-129089.237847684</v>
      </c>
      <c r="AI17" s="113" t="n">
        <f aca="false">CHOOSE(Premissas!$B$6,Cenários!AI28,Cenários!AI74,Cenários!AI120)</f>
        <v>-133036.398891535</v>
      </c>
      <c r="AJ17" s="113" t="n">
        <f aca="false">CHOOSE(Premissas!$B$6,Cenários!AJ28,Cenários!AJ74,Cenários!AJ120)</f>
        <v>-136715.246949485</v>
      </c>
      <c r="AK17" s="113" t="n">
        <f aca="false">CHOOSE(Premissas!$B$6,Cenários!AK28,Cenários!AK74,Cenários!AK120)</f>
        <v>-140119.474109778</v>
      </c>
      <c r="AL17" s="113" t="n">
        <f aca="false">CHOOSE(Premissas!$B$6,Cenários!AL28,Cenários!AL74,Cenários!AL120)</f>
        <v>-181727.806970824</v>
      </c>
      <c r="AM17" s="113" t="n">
        <f aca="false">CHOOSE(Premissas!$B$6,Cenários!AM28,Cenários!AM74,Cenários!AM120)</f>
        <v>-193342.526023442</v>
      </c>
      <c r="AN17" s="113" t="n">
        <f aca="false">CHOOSE(Premissas!$B$6,Cenários!AN28,Cenários!AN74,Cenários!AN120)</f>
        <v>-204187.308830959</v>
      </c>
      <c r="AO17" s="113" t="n">
        <f aca="false">CHOOSE(Premissas!$B$6,Cenários!AO28,Cenários!AO74,Cenários!AO120)</f>
        <v>-214320.898747388</v>
      </c>
      <c r="AP17" s="113" t="n">
        <f aca="false">CHOOSE(Premissas!$B$6,Cenários!AP28,Cenários!AP74,Cenários!AP120)</f>
        <v>-223779.550442914</v>
      </c>
      <c r="AQ17" s="113" t="n">
        <f aca="false">CHOOSE(Premissas!$B$6,Cenários!AQ28,Cenários!AQ74,Cenários!AQ120)</f>
        <v>-232603.020783744</v>
      </c>
      <c r="AR17" s="113" t="n">
        <f aca="false">CHOOSE(Premissas!$B$6,Cenários!AR28,Cenários!AR74,Cenários!AR120)</f>
        <v>-240845.818347748</v>
      </c>
      <c r="AS17" s="113" t="n">
        <f aca="false">CHOOSE(Premissas!$B$6,Cenários!AS28,Cenários!AS74,Cenários!AS120)</f>
        <v>-248528.763429128</v>
      </c>
      <c r="AT17" s="113" t="n">
        <f aca="false">CHOOSE(Premissas!$B$6,Cenários!AT28,Cenários!AT74,Cenários!AT120)</f>
        <v>-255713.521237289</v>
      </c>
      <c r="AU17" s="113" t="n">
        <f aca="false">CHOOSE(Premissas!$B$6,Cenários!AU28,Cenários!AU74,Cenários!AU120)</f>
        <v>-262420.616969461</v>
      </c>
      <c r="AV17" s="113" t="n">
        <f aca="false">CHOOSE(Premissas!$B$6,Cenários!AV28,Cenários!AV74,Cenários!AV120)</f>
        <v>-268681.661228275</v>
      </c>
      <c r="AW17" s="113" t="n">
        <f aca="false">CHOOSE(Premissas!$B$6,Cenários!AW28,Cenários!AW74,Cenários!AW120)</f>
        <v>-274516.922027539</v>
      </c>
      <c r="AX17" s="113" t="n">
        <f aca="false">CHOOSE(Premissas!$B$6,Cenários!AX28,Cenários!AX74,Cenários!AX120)</f>
        <v>-348686.561116537</v>
      </c>
      <c r="AY17" s="113" t="n">
        <f aca="false">CHOOSE(Premissas!$B$6,Cenários!AY28,Cenários!AY74,Cenários!AY120)</f>
        <v>-369220.283860014</v>
      </c>
      <c r="AZ17" s="113" t="n">
        <f aca="false">CHOOSE(Premissas!$B$6,Cenários!AZ28,Cenários!AZ74,Cenários!AZ120)</f>
        <v>-388478.731602918</v>
      </c>
      <c r="BA17" s="113" t="n">
        <f aca="false">CHOOSE(Premissas!$B$6,Cenários!BA28,Cenários!BA74,Cenários!BA120)</f>
        <v>-406521.174153774</v>
      </c>
      <c r="BB17" s="113" t="n">
        <f aca="false">CHOOSE(Premissas!$B$6,Cenários!BB28,Cenários!BB74,Cenários!BB120)</f>
        <v>-423441.58563264</v>
      </c>
      <c r="BC17" s="113" t="n">
        <f aca="false">CHOOSE(Premissas!$B$6,Cenários!BC28,Cenários!BC74,Cenários!BC120)</f>
        <v>-439302.569635962</v>
      </c>
      <c r="BD17" s="113" t="n">
        <f aca="false">CHOOSE(Premissas!$B$6,Cenários!BD28,Cenários!BD74,Cenários!BD120)</f>
        <v>-454174.227656599</v>
      </c>
      <c r="BE17" s="113" t="n">
        <f aca="false">CHOOSE(Premissas!$B$6,Cenários!BE28,Cenários!BE74,Cenários!BE120)</f>
        <v>-468122.530733397</v>
      </c>
      <c r="BF17" s="113" t="n">
        <f aca="false">CHOOSE(Premissas!$B$6,Cenários!BF28,Cenários!BF74,Cenários!BF120)</f>
        <v>-481185.947320271</v>
      </c>
      <c r="BG17" s="113" t="n">
        <f aca="false">CHOOSE(Premissas!$B$6,Cenários!BG28,Cenários!BG74,Cenários!BG120)</f>
        <v>-493441.708193557</v>
      </c>
      <c r="BH17" s="113" t="n">
        <f aca="false">CHOOSE(Premissas!$B$6,Cenários!BH28,Cenários!BH74,Cenários!BH120)</f>
        <v>-504931.742016134</v>
      </c>
      <c r="BI17" s="113" t="n">
        <f aca="false">CHOOSE(Premissas!$B$6,Cenários!BI28,Cenários!BI74,Cenários!BI120)</f>
        <v>-515709.523029265</v>
      </c>
      <c r="BJ17" s="111" t="n">
        <f aca="false">SUM(B17:BI17)</f>
        <v>-10137408.0482696</v>
      </c>
      <c r="BK17" s="141" t="n">
        <f aca="false">IFERROR(BJ17/BJ$14,0)</f>
        <v>-0.165331049713446</v>
      </c>
    </row>
    <row r="18" customFormat="false" ht="15" hidden="false" customHeight="false" outlineLevel="0" collapsed="false">
      <c r="A18" s="27" t="s">
        <v>424</v>
      </c>
      <c r="B18" s="113" t="n">
        <f aca="false">CHOOSE(Premissas!$B$6,Cenários!B29,Cenários!B75,Cenários!B121)</f>
        <v>-0</v>
      </c>
      <c r="C18" s="113" t="n">
        <f aca="false">CHOOSE(Premissas!$B$6,Cenários!C29,Cenários!C75,Cenários!C121)</f>
        <v>-0</v>
      </c>
      <c r="D18" s="113" t="n">
        <f aca="false">CHOOSE(Premissas!$B$6,Cenários!D29,Cenários!D75,Cenários!D121)</f>
        <v>-0</v>
      </c>
      <c r="E18" s="113" t="n">
        <f aca="false">CHOOSE(Premissas!$B$6,Cenários!E29,Cenários!E75,Cenários!E121)</f>
        <v>-0</v>
      </c>
      <c r="F18" s="113" t="n">
        <f aca="false">CHOOSE(Premissas!$B$6,Cenários!F29,Cenários!F75,Cenários!F121)</f>
        <v>-0</v>
      </c>
      <c r="G18" s="113" t="n">
        <f aca="false">CHOOSE(Premissas!$B$6,Cenários!G29,Cenários!G75,Cenários!G121)</f>
        <v>-0</v>
      </c>
      <c r="H18" s="113" t="n">
        <f aca="false">CHOOSE(Premissas!$B$6,Cenários!H29,Cenários!H75,Cenários!H121)</f>
        <v>-0</v>
      </c>
      <c r="I18" s="113" t="n">
        <f aca="false">CHOOSE(Premissas!$B$6,Cenários!I29,Cenários!I75,Cenários!I121)</f>
        <v>-0</v>
      </c>
      <c r="J18" s="113" t="n">
        <f aca="false">CHOOSE(Premissas!$B$6,Cenários!J29,Cenários!J75,Cenários!J121)</f>
        <v>-0</v>
      </c>
      <c r="K18" s="113" t="n">
        <f aca="false">CHOOSE(Premissas!$B$6,Cenários!K29,Cenários!K75,Cenários!K121)</f>
        <v>-520.82475</v>
      </c>
      <c r="L18" s="113" t="n">
        <f aca="false">CHOOSE(Premissas!$B$6,Cenários!L29,Cenários!L75,Cenários!L121)</f>
        <v>-1986.71775</v>
      </c>
      <c r="M18" s="113" t="n">
        <f aca="false">CHOOSE(Premissas!$B$6,Cenários!M29,Cenários!M75,Cenários!M121)</f>
        <v>-4296.087</v>
      </c>
      <c r="N18" s="113" t="n">
        <f aca="false">CHOOSE(Premissas!$B$6,Cenários!N29,Cenários!N75,Cenários!N121)</f>
        <v>-9246.44424</v>
      </c>
      <c r="O18" s="113" t="n">
        <f aca="false">CHOOSE(Premissas!$B$6,Cenários!O29,Cenários!O75,Cenários!O121)</f>
        <v>-14971.76934</v>
      </c>
      <c r="P18" s="113" t="n">
        <f aca="false">CHOOSE(Premissas!$B$6,Cenários!P29,Cenários!P75,Cenários!P121)</f>
        <v>-21741.67644</v>
      </c>
      <c r="Q18" s="113" t="n">
        <f aca="false">CHOOSE(Premissas!$B$6,Cenários!Q29,Cenários!Q75,Cenários!Q121)</f>
        <v>-25237.84098</v>
      </c>
      <c r="R18" s="113" t="n">
        <f aca="false">CHOOSE(Premissas!$B$6,Cenários!R29,Cenários!R75,Cenários!R121)</f>
        <v>-28466.59002</v>
      </c>
      <c r="S18" s="113" t="n">
        <f aca="false">CHOOSE(Premissas!$B$6,Cenários!S29,Cenários!S75,Cenários!S121)</f>
        <v>-31452.94086</v>
      </c>
      <c r="T18" s="113" t="n">
        <f aca="false">CHOOSE(Premissas!$B$6,Cenários!T29,Cenários!T75,Cenários!T121)</f>
        <v>-34221.89826</v>
      </c>
      <c r="U18" s="113" t="n">
        <f aca="false">CHOOSE(Premissas!$B$6,Cenários!U29,Cenários!U75,Cenários!U121)</f>
        <v>-36773.39952</v>
      </c>
      <c r="V18" s="113" t="n">
        <f aca="false">CHOOSE(Premissas!$B$6,Cenários!V29,Cenários!V75,Cenários!V121)</f>
        <v>-39137.50302</v>
      </c>
      <c r="W18" s="113" t="n">
        <f aca="false">CHOOSE(Premissas!$B$6,Cenários!W29,Cenários!W75,Cenários!W121)</f>
        <v>-41321.65752</v>
      </c>
      <c r="X18" s="113" t="n">
        <f aca="false">CHOOSE(Premissas!$B$6,Cenários!X29,Cenários!X75,Cenários!X121)</f>
        <v>-43345.8894</v>
      </c>
      <c r="Y18" s="113" t="n">
        <f aca="false">CHOOSE(Premissas!$B$6,Cenários!Y29,Cenários!Y75,Cenários!Y121)</f>
        <v>-45220.19304</v>
      </c>
      <c r="Z18" s="113" t="n">
        <f aca="false">CHOOSE(Premissas!$B$6,Cenários!Z29,Cenários!Z75,Cenários!Z121)</f>
        <v>-55621.0334511562</v>
      </c>
      <c r="AA18" s="113" t="n">
        <f aca="false">CHOOSE(Premissas!$B$6,Cenários!AA29,Cenários!AA75,Cenários!AA121)</f>
        <v>-60295.7058195937</v>
      </c>
      <c r="AB18" s="113" t="n">
        <f aca="false">CHOOSE(Premissas!$B$6,Cenários!AB29,Cenários!AB75,Cenários!AB121)</f>
        <v>-64642.250611125</v>
      </c>
      <c r="AC18" s="113" t="n">
        <f aca="false">CHOOSE(Premissas!$B$6,Cenários!AC29,Cenários!AC75,Cenários!AC121)</f>
        <v>-68677.7935078125</v>
      </c>
      <c r="AD18" s="113" t="n">
        <f aca="false">CHOOSE(Premissas!$B$6,Cenários!AD29,Cenários!AD75,Cenários!AD121)</f>
        <v>-72434.1902439375</v>
      </c>
      <c r="AE18" s="113" t="n">
        <f aca="false">CHOOSE(Premissas!$B$6,Cenários!AE29,Cenários!AE75,Cenários!AE121)</f>
        <v>-75913.848734625</v>
      </c>
      <c r="AF18" s="113" t="n">
        <f aca="false">CHOOSE(Premissas!$B$6,Cenários!AF29,Cenários!AF75,Cenários!AF121)</f>
        <v>-79156.0081681875</v>
      </c>
      <c r="AG18" s="113" t="n">
        <f aca="false">CHOOSE(Premissas!$B$6,Cenários!AG29,Cenários!AG75,Cenários!AG121)</f>
        <v>-82165.5212307187</v>
      </c>
      <c r="AH18" s="113" t="n">
        <f aca="false">CHOOSE(Premissas!$B$6,Cenários!AH29,Cenários!AH75,Cenários!AH121)</f>
        <v>-84974.2682270625</v>
      </c>
      <c r="AI18" s="113" t="n">
        <f aca="false">CHOOSE(Premissas!$B$6,Cenários!AI29,Cenários!AI75,Cenários!AI121)</f>
        <v>-87572.384076375</v>
      </c>
      <c r="AJ18" s="113" t="n">
        <f aca="false">CHOOSE(Premissas!$B$6,Cenários!AJ29,Cenários!AJ75,Cenários!AJ121)</f>
        <v>-89994.2184250312</v>
      </c>
      <c r="AK18" s="113" t="n">
        <f aca="false">CHOOSE(Premissas!$B$6,Cenários!AK29,Cenários!AK75,Cenários!AK121)</f>
        <v>-92234.8203046875</v>
      </c>
      <c r="AL18" s="113" t="n">
        <f aca="false">CHOOSE(Premissas!$B$6,Cenários!AL29,Cenários!AL75,Cenários!AL121)</f>
        <v>-113103.934377212</v>
      </c>
      <c r="AM18" s="113" t="n">
        <f aca="false">CHOOSE(Premissas!$B$6,Cenários!AM29,Cenários!AM75,Cenários!AM121)</f>
        <v>-120332.469065911</v>
      </c>
      <c r="AN18" s="113" t="n">
        <f aca="false">CHOOSE(Premissas!$B$6,Cenários!AN29,Cenários!AN75,Cenários!AN121)</f>
        <v>-127081.897481623</v>
      </c>
      <c r="AO18" s="113" t="n">
        <f aca="false">CHOOSE(Premissas!$B$6,Cenários!AO29,Cenários!AO75,Cenários!AO121)</f>
        <v>-133389.070160856</v>
      </c>
      <c r="AP18" s="113" t="n">
        <f aca="false">CHOOSE(Premissas!$B$6,Cenários!AP29,Cenários!AP75,Cenários!AP121)</f>
        <v>-139276.097425516</v>
      </c>
      <c r="AQ18" s="113" t="n">
        <f aca="false">CHOOSE(Premissas!$B$6,Cenários!AQ29,Cenários!AQ75,Cenários!AQ121)</f>
        <v>-144767.529867149</v>
      </c>
      <c r="AR18" s="113" t="n">
        <f aca="false">CHOOSE(Premissas!$B$6,Cenários!AR29,Cenários!AR75,Cenários!AR121)</f>
        <v>-149897.790077216</v>
      </c>
      <c r="AS18" s="113" t="n">
        <f aca="false">CHOOSE(Premissas!$B$6,Cenários!AS29,Cenários!AS75,Cenários!AS121)</f>
        <v>-154679.128702303</v>
      </c>
      <c r="AT18" s="113" t="n">
        <f aca="false">CHOOSE(Premissas!$B$6,Cenários!AT29,Cenários!AT75,Cenários!AT121)</f>
        <v>-159150.910496124</v>
      </c>
      <c r="AU18" s="113" t="n">
        <f aca="false">CHOOSE(Premissas!$B$6,Cenários!AU29,Cenários!AU75,Cenários!AU121)</f>
        <v>-163325.386105264</v>
      </c>
      <c r="AV18" s="113" t="n">
        <f aca="false">CHOOSE(Premissas!$B$6,Cenários!AV29,Cenários!AV75,Cenários!AV121)</f>
        <v>-167222.225581988</v>
      </c>
      <c r="AW18" s="113" t="n">
        <f aca="false">CHOOSE(Premissas!$B$6,Cenários!AW29,Cenários!AW75,Cenários!AW121)</f>
        <v>-170853.67957288</v>
      </c>
      <c r="AX18" s="113" t="n">
        <f aca="false">CHOOSE(Premissas!$B$6,Cenários!AX29,Cenários!AX75,Cenários!AX121)</f>
        <v>-210325.621789641</v>
      </c>
      <c r="AY18" s="113" t="n">
        <f aca="false">CHOOSE(Premissas!$B$6,Cenários!AY29,Cenários!AY75,Cenários!AY121)</f>
        <v>-222711.52245076</v>
      </c>
      <c r="AZ18" s="113" t="n">
        <f aca="false">CHOOSE(Premissas!$B$6,Cenários!AZ29,Cenários!AZ75,Cenários!AZ121)</f>
        <v>-234328.468634158</v>
      </c>
      <c r="BA18" s="113" t="n">
        <f aca="false">CHOOSE(Premissas!$B$6,Cenários!BA29,Cenários!BA75,Cenários!BA121)</f>
        <v>-245211.382650794</v>
      </c>
      <c r="BB18" s="113" t="n">
        <f aca="false">CHOOSE(Premissas!$B$6,Cenários!BB29,Cenários!BB75,Cenários!BB121)</f>
        <v>-255417.700370291</v>
      </c>
      <c r="BC18" s="113" t="n">
        <f aca="false">CHOOSE(Premissas!$B$6,Cenários!BC29,Cenários!BC75,Cenários!BC121)</f>
        <v>-264984.873435559</v>
      </c>
      <c r="BD18" s="113" t="n">
        <f aca="false">CHOOSE(Premissas!$B$6,Cenários!BD29,Cenários!BD75,Cenários!BD121)</f>
        <v>-273955.349546188</v>
      </c>
      <c r="BE18" s="113" t="n">
        <f aca="false">CHOOSE(Premissas!$B$6,Cenários!BE29,Cenários!BE75,Cenários!BE121)</f>
        <v>-282369.084634151</v>
      </c>
      <c r="BF18" s="113" t="n">
        <f aca="false">CHOOSE(Premissas!$B$6,Cenários!BF29,Cenários!BF75,Cenários!BF121)</f>
        <v>-290248.504607993</v>
      </c>
      <c r="BG18" s="113" t="n">
        <f aca="false">CHOOSE(Premissas!$B$6,Cenários!BG29,Cenários!BG75,Cenários!BG121)</f>
        <v>-297641.103309761</v>
      </c>
      <c r="BH18" s="113" t="n">
        <f aca="false">CHOOSE(Premissas!$B$6,Cenários!BH29,Cenários!BH75,Cenários!BH121)</f>
        <v>-304571.81093706</v>
      </c>
      <c r="BI18" s="113" t="n">
        <f aca="false">CHOOSE(Premissas!$B$6,Cenários!BI29,Cenários!BI75,Cenários!BI121)</f>
        <v>-311073.108119017</v>
      </c>
      <c r="BJ18" s="111" t="n">
        <f aca="false">SUM(B18:BI18)</f>
        <v>-6227542.12433972</v>
      </c>
      <c r="BK18" s="141" t="n">
        <f aca="false">IFERROR(BJ18/BJ$14,0)</f>
        <v>-0.101565022503709</v>
      </c>
    </row>
    <row r="19" customFormat="false" ht="15" hidden="false" customHeight="false" outlineLevel="0" collapsed="false">
      <c r="A19" s="27" t="s">
        <v>426</v>
      </c>
      <c r="B19" s="113" t="n">
        <f aca="false">CHOOSE(Premissas!$B$6,Cenários!B30,Cenários!B76,Cenários!B122)</f>
        <v>-0</v>
      </c>
      <c r="C19" s="113" t="n">
        <f aca="false">CHOOSE(Premissas!$B$6,Cenários!C30,Cenários!C76,Cenários!C122)</f>
        <v>-0</v>
      </c>
      <c r="D19" s="113" t="n">
        <f aca="false">CHOOSE(Premissas!$B$6,Cenários!D30,Cenários!D76,Cenários!D122)</f>
        <v>-0</v>
      </c>
      <c r="E19" s="113" t="n">
        <f aca="false">CHOOSE(Premissas!$B$6,Cenários!E30,Cenários!E76,Cenários!E122)</f>
        <v>-0</v>
      </c>
      <c r="F19" s="113" t="n">
        <f aca="false">CHOOSE(Premissas!$B$6,Cenários!F30,Cenários!F76,Cenários!F122)</f>
        <v>-0</v>
      </c>
      <c r="G19" s="113" t="n">
        <f aca="false">CHOOSE(Premissas!$B$6,Cenários!G30,Cenários!G76,Cenários!G122)</f>
        <v>-0</v>
      </c>
      <c r="H19" s="113" t="n">
        <f aca="false">CHOOSE(Premissas!$B$6,Cenários!H30,Cenários!H76,Cenários!H122)</f>
        <v>-0</v>
      </c>
      <c r="I19" s="113" t="n">
        <f aca="false">CHOOSE(Premissas!$B$6,Cenários!I30,Cenários!I76,Cenários!I122)</f>
        <v>-0</v>
      </c>
      <c r="J19" s="113" t="n">
        <f aca="false">CHOOSE(Premissas!$B$6,Cenários!J30,Cenários!J76,Cenários!J122)</f>
        <v>-0</v>
      </c>
      <c r="K19" s="113" t="n">
        <f aca="false">CHOOSE(Premissas!$B$6,Cenários!K30,Cenários!K76,Cenários!K122)</f>
        <v>-27.573075</v>
      </c>
      <c r="L19" s="113" t="n">
        <f aca="false">CHOOSE(Premissas!$B$6,Cenários!L30,Cenários!L76,Cenários!L122)</f>
        <v>-105.179175</v>
      </c>
      <c r="M19" s="113" t="n">
        <f aca="false">CHOOSE(Premissas!$B$6,Cenários!M30,Cenários!M76,Cenários!M122)</f>
        <v>-227.4399</v>
      </c>
      <c r="N19" s="113" t="n">
        <f aca="false">CHOOSE(Premissas!$B$6,Cenários!N30,Cenários!N76,Cenários!N122)</f>
        <v>-867.0241519056</v>
      </c>
      <c r="O19" s="113" t="n">
        <f aca="false">CHOOSE(Premissas!$B$6,Cenários!O30,Cenários!O76,Cenários!O122)</f>
        <v>-1347.5151386959</v>
      </c>
      <c r="P19" s="113" t="n">
        <f aca="false">CHOOSE(Premissas!$B$6,Cenários!P30,Cenários!P76,Cenários!P122)</f>
        <v>-1902.50768684357</v>
      </c>
      <c r="Q19" s="113" t="n">
        <f aca="false">CHOOSE(Premissas!$B$6,Cenários!Q30,Cenários!Q76,Cenários!Q122)</f>
        <v>-2208.41637941453</v>
      </c>
      <c r="R19" s="113" t="n">
        <f aca="false">CHOOSE(Premissas!$B$6,Cenários!R30,Cenários!R76,Cenários!R122)</f>
        <v>-2490.98294380976</v>
      </c>
      <c r="S19" s="113" t="n">
        <f aca="false">CHOOSE(Premissas!$B$6,Cenários!S30,Cenários!S76,Cenários!S122)</f>
        <v>-2752.33078214806</v>
      </c>
      <c r="T19" s="113" t="n">
        <f aca="false">CHOOSE(Premissas!$B$6,Cenários!T30,Cenários!T76,Cenários!T122)</f>
        <v>-2994.56377378093</v>
      </c>
      <c r="U19" s="113" t="n">
        <f aca="false">CHOOSE(Premissas!$B$6,Cenários!U30,Cenários!U76,Cenários!U122)</f>
        <v>-3217.888553679</v>
      </c>
      <c r="V19" s="113" t="n">
        <f aca="false">CHOOSE(Premissas!$B$6,Cenários!V30,Cenários!V76,Cenários!V122)</f>
        <v>-3424.75494523514</v>
      </c>
      <c r="W19" s="113" t="n">
        <f aca="false">CHOOSE(Premissas!$B$6,Cenários!W30,Cenários!W76,Cenários!W122)</f>
        <v>-3615.90235288626</v>
      </c>
      <c r="X19" s="113" t="n">
        <f aca="false">CHOOSE(Premissas!$B$6,Cenários!X30,Cenários!X76,Cenários!X122)</f>
        <v>-3792.99991036201</v>
      </c>
      <c r="Y19" s="113" t="n">
        <f aca="false">CHOOSE(Premissas!$B$6,Cenários!Y30,Cenários!Y76,Cenários!Y122)</f>
        <v>-3956.95178131879</v>
      </c>
      <c r="Z19" s="113" t="n">
        <f aca="false">CHOOSE(Premissas!$B$6,Cenários!Z30,Cenários!Z76,Cenários!Z122)</f>
        <v>-6598.23748465194</v>
      </c>
      <c r="AA19" s="113" t="n">
        <f aca="false">CHOOSE(Premissas!$B$6,Cenários!AA30,Cenários!AA76,Cenários!AA122)</f>
        <v>-7152.81715894015</v>
      </c>
      <c r="AB19" s="113" t="n">
        <f aca="false">CHOOSE(Premissas!$B$6,Cenários!AB30,Cenários!AB76,Cenários!AB122)</f>
        <v>-7668.42627155966</v>
      </c>
      <c r="AC19" s="113" t="n">
        <f aca="false">CHOOSE(Premissas!$B$6,Cenários!AC30,Cenários!AC76,Cenários!AC122)</f>
        <v>-8147.21267356432</v>
      </c>
      <c r="AD19" s="113" t="n">
        <f aca="false">CHOOSE(Premissas!$B$6,Cenários!AD30,Cenários!AD76,Cenários!AD122)</f>
        <v>-8592.76645195593</v>
      </c>
      <c r="AE19" s="113" t="n">
        <f aca="false">CHOOSE(Premissas!$B$6,Cenários!AE30,Cenários!AE76,Cenários!AE122)</f>
        <v>-9005.70431756516</v>
      </c>
      <c r="AF19" s="113" t="n">
        <f aca="false">CHOOSE(Premissas!$B$6,Cenários!AF30,Cenários!AF76,Cenários!AF122)</f>
        <v>-9390.29953555668</v>
      </c>
      <c r="AG19" s="113" t="n">
        <f aca="false">CHOOSE(Premissas!$B$6,Cenários!AG30,Cenários!AG76,Cenários!AG122)</f>
        <v>-9747.36202627966</v>
      </c>
      <c r="AH19" s="113" t="n">
        <f aca="false">CHOOSE(Premissas!$B$6,Cenários!AH30,Cenários!AH76,Cenários!AH122)</f>
        <v>-10080.3815229761</v>
      </c>
      <c r="AI19" s="113" t="n">
        <f aca="false">CHOOSE(Premissas!$B$6,Cenários!AI30,Cenários!AI76,Cenários!AI122)</f>
        <v>-10388.6518935547</v>
      </c>
      <c r="AJ19" s="113" t="n">
        <f aca="false">CHOOSE(Premissas!$B$6,Cenários!AJ30,Cenários!AJ76,Cenários!AJ122)</f>
        <v>-10675.8686594278</v>
      </c>
      <c r="AK19" s="113" t="n">
        <f aca="false">CHOOSE(Premissas!$B$6,Cenários!AK30,Cenários!AK76,Cenários!AK122)</f>
        <v>-10941.7788622986</v>
      </c>
      <c r="AL19" s="113" t="n">
        <f aca="false">CHOOSE(Premissas!$B$6,Cenários!AL30,Cenários!AL76,Cenários!AL122)</f>
        <v>-16146.9048900641</v>
      </c>
      <c r="AM19" s="113" t="n">
        <f aca="false">CHOOSE(Premissas!$B$6,Cenários!AM30,Cenários!AM76,Cenários!AM122)</f>
        <v>-17178.9712891361</v>
      </c>
      <c r="AN19" s="113" t="n">
        <f aca="false">CHOOSE(Premissas!$B$6,Cenários!AN30,Cenários!AN76,Cenários!AN122)</f>
        <v>-18142.6009783738</v>
      </c>
      <c r="AO19" s="113" t="n">
        <f aca="false">CHOOSE(Premissas!$B$6,Cenários!AO30,Cenários!AO76,Cenários!AO122)</f>
        <v>-19042.9264938895</v>
      </c>
      <c r="AP19" s="113" t="n">
        <f aca="false">CHOOSE(Premissas!$B$6,Cenários!AP30,Cenários!AP76,Cenários!AP122)</f>
        <v>-19883.3053095843</v>
      </c>
      <c r="AQ19" s="113" t="n">
        <f aca="false">CHOOSE(Premissas!$B$6,Cenários!AQ30,Cenários!AQ76,Cenários!AQ122)</f>
        <v>-20667.3279061657</v>
      </c>
      <c r="AR19" s="113" t="n">
        <f aca="false">CHOOSE(Premissas!$B$6,Cenários!AR30,Cenários!AR76,Cenários!AR122)</f>
        <v>-21399.6882410647</v>
      </c>
      <c r="AS19" s="113" t="n">
        <f aca="false">CHOOSE(Premissas!$B$6,Cenários!AS30,Cenários!AS76,Cenários!AS122)</f>
        <v>-22082.4484947027</v>
      </c>
      <c r="AT19" s="113" t="n">
        <f aca="false">CHOOSE(Premissas!$B$6,Cenários!AT30,Cenários!AT76,Cenários!AT122)</f>
        <v>-22720.7921033246</v>
      </c>
      <c r="AU19" s="113" t="n">
        <f aca="false">CHOOSE(Premissas!$B$6,Cenários!AU30,Cenários!AU76,Cenários!AU122)</f>
        <v>-23316.6999285293</v>
      </c>
      <c r="AV19" s="113" t="n">
        <f aca="false">CHOOSE(Premissas!$B$6,Cenários!AV30,Cenários!AV76,Cenários!AV122)</f>
        <v>-23872.9817759387</v>
      </c>
      <c r="AW19" s="113" t="n">
        <f aca="false">CHOOSE(Premissas!$B$6,Cenários!AW30,Cenários!AW76,Cenários!AW122)</f>
        <v>-24391.5476360312</v>
      </c>
      <c r="AX19" s="113" t="n">
        <f aca="false">CHOOSE(Premissas!$B$6,Cenários!AX30,Cenários!AX76,Cenários!AX122)</f>
        <v>-32988.6285289016</v>
      </c>
      <c r="AY19" s="113" t="n">
        <f aca="false">CHOOSE(Premissas!$B$6,Cenários!AY30,Cenários!AY76,Cenários!AY122)</f>
        <v>-34931.2632506913</v>
      </c>
      <c r="AZ19" s="113" t="n">
        <f aca="false">CHOOSE(Premissas!$B$6,Cenários!AZ30,Cenários!AZ76,Cenários!AZ122)</f>
        <v>-36753.1613211508</v>
      </c>
      <c r="BA19" s="113" t="n">
        <f aca="false">CHOOSE(Premissas!$B$6,Cenários!BA30,Cenários!BA76,Cenários!BA122)</f>
        <v>-38460.178817253</v>
      </c>
      <c r="BB19" s="113" t="n">
        <f aca="false">CHOOSE(Premissas!$B$6,Cenários!BB30,Cenários!BB76,Cenários!BB122)</f>
        <v>-40060.9810920285</v>
      </c>
      <c r="BC19" s="113" t="n">
        <f aca="false">CHOOSE(Premissas!$B$6,Cenários!BC30,Cenários!BC76,Cenários!BC122)</f>
        <v>-41561.5841029411</v>
      </c>
      <c r="BD19" s="113" t="n">
        <f aca="false">CHOOSE(Premissas!$B$6,Cenários!BD30,Cenários!BD76,Cenários!BD122)</f>
        <v>-42968.5711590888</v>
      </c>
      <c r="BE19" s="113" t="n">
        <f aca="false">CHOOSE(Premissas!$B$6,Cenários!BE30,Cenários!BE76,Cenários!BE122)</f>
        <v>-44288.1348853387</v>
      </c>
      <c r="BF19" s="113" t="n">
        <f aca="false">CHOOSE(Premissas!$B$6,Cenários!BF30,Cenários!BF76,Cenários!BF122)</f>
        <v>-45524.1481241068</v>
      </c>
      <c r="BG19" s="113" t="n">
        <f aca="false">CHOOSE(Premissas!$B$6,Cenários!BG30,Cenários!BG76,Cenários!BG122)</f>
        <v>-46683.6449330366</v>
      </c>
      <c r="BH19" s="113" t="n">
        <f aca="false">CHOOSE(Premissas!$B$6,Cenários!BH30,Cenários!BH76,Cenários!BH122)</f>
        <v>-47770.7003852996</v>
      </c>
      <c r="BI19" s="113" t="n">
        <f aca="false">CHOOSE(Premissas!$B$6,Cenários!BI30,Cenários!BI76,Cenários!BI122)</f>
        <v>-48790.3059985689</v>
      </c>
      <c r="BJ19" s="111" t="n">
        <f aca="false">SUM(B19:BI19)</f>
        <v>-890949.035053621</v>
      </c>
      <c r="BK19" s="141" t="n">
        <f aca="false">IFERROR(BJ19/BJ$14,0)</f>
        <v>-0.0145304932488872</v>
      </c>
    </row>
    <row r="20" customFormat="false" ht="15" hidden="false" customHeight="false" outlineLevel="0" collapsed="false">
      <c r="A20" s="51" t="s">
        <v>526</v>
      </c>
      <c r="B20" s="111" t="n">
        <f aca="false">B14+SUM(B17:B19)</f>
        <v>0</v>
      </c>
      <c r="C20" s="111" t="n">
        <f aca="false">C14+SUM(C17:C19)</f>
        <v>0</v>
      </c>
      <c r="D20" s="111" t="n">
        <f aca="false">D14+SUM(D17:D19)</f>
        <v>0</v>
      </c>
      <c r="E20" s="111" t="n">
        <f aca="false">E14+SUM(E17:E19)</f>
        <v>0</v>
      </c>
      <c r="F20" s="111" t="n">
        <f aca="false">F14+SUM(F17:F19)</f>
        <v>0</v>
      </c>
      <c r="G20" s="111" t="n">
        <f aca="false">G14+SUM(G17:G19)</f>
        <v>0</v>
      </c>
      <c r="H20" s="111" t="n">
        <f aca="false">H14+SUM(H17:H19)</f>
        <v>0</v>
      </c>
      <c r="I20" s="111" t="n">
        <f aca="false">I14+SUM(I17:I19)</f>
        <v>0</v>
      </c>
      <c r="J20" s="111" t="n">
        <f aca="false">J14+SUM(J17:J19)</f>
        <v>0</v>
      </c>
      <c r="K20" s="111" t="n">
        <f aca="false">K14+SUM(K17:K19)</f>
        <v>2903.342675</v>
      </c>
      <c r="L20" s="111" t="n">
        <f aca="false">L14+SUM(L17:L19)</f>
        <v>11074.977575</v>
      </c>
      <c r="M20" s="111" t="n">
        <f aca="false">M14+SUM(M17:M19)</f>
        <v>23948.5791</v>
      </c>
      <c r="N20" s="111" t="n">
        <f aca="false">N14+SUM(N17:N19)</f>
        <v>58255.621012544</v>
      </c>
      <c r="O20" s="111" t="n">
        <f aca="false">O14+SUM(O17:O19)</f>
        <v>93325.0226299271</v>
      </c>
      <c r="P20" s="111" t="n">
        <f aca="false">P14+SUM(P17:P19)</f>
        <v>133069.17851733</v>
      </c>
      <c r="Q20" s="111" t="n">
        <f aca="false">Q14+SUM(Q17:Q19)</f>
        <v>152270.903099032</v>
      </c>
      <c r="R20" s="111" t="n">
        <f aca="false">R14+SUM(R17:R19)</f>
        <v>170003.847560381</v>
      </c>
      <c r="S20" s="111" t="n">
        <f aca="false">S14+SUM(S17:S19)</f>
        <v>186188.734205256</v>
      </c>
      <c r="T20" s="111" t="n">
        <f aca="false">T14+SUM(T17:T19)</f>
        <v>201317.650706938</v>
      </c>
      <c r="U20" s="111" t="n">
        <f aca="false">U14+SUM(U17:U19)</f>
        <v>215417.702546083</v>
      </c>
      <c r="V20" s="111" t="n">
        <f aca="false">V14+SUM(V17:V19)</f>
        <v>228579.502953368</v>
      </c>
      <c r="W20" s="111" t="n">
        <f aca="false">W14+SUM(W17:W19)</f>
        <v>239412.321809332</v>
      </c>
      <c r="X20" s="111" t="n">
        <f aca="false">X14+SUM(X17:X19)</f>
        <v>249601.413798857</v>
      </c>
      <c r="Y20" s="111" t="n">
        <f aca="false">Y14+SUM(Y17:Y19)</f>
        <v>259168.637548779</v>
      </c>
      <c r="Z20" s="111" t="n">
        <f aca="false">Z14+SUM(Z17:Z19)</f>
        <v>346252.727841868</v>
      </c>
      <c r="AA20" s="111" t="n">
        <f aca="false">AA14+SUM(AA17:AA19)</f>
        <v>405730.449495876</v>
      </c>
      <c r="AB20" s="111" t="n">
        <f aca="false">AB14+SUM(AB17:AB19)</f>
        <v>425503.215989989</v>
      </c>
      <c r="AC20" s="111" t="n">
        <f aca="false">AC14+SUM(AC17:AC19)</f>
        <v>444223.459945154</v>
      </c>
      <c r="AD20" s="111" t="n">
        <f aca="false">AD14+SUM(AD17:AD19)</f>
        <v>482779.12738149</v>
      </c>
      <c r="AE20" s="111" t="n">
        <f aca="false">AE14+SUM(AE17:AE19)</f>
        <v>505973.957467476</v>
      </c>
      <c r="AF20" s="111" t="n">
        <f aca="false">AF14+SUM(AF17:AF19)</f>
        <v>527582.875222856</v>
      </c>
      <c r="AG20" s="111" t="n">
        <f aca="false">AG14+SUM(AG17:AG19)</f>
        <v>547642.345443244</v>
      </c>
      <c r="AH20" s="111" t="n">
        <f aca="false">AH14+SUM(AH17:AH19)</f>
        <v>566359.712204385</v>
      </c>
      <c r="AI20" s="111" t="n">
        <f aca="false">AI14+SUM(AI17:AI19)</f>
        <v>583677.389948916</v>
      </c>
      <c r="AJ20" s="111" t="n">
        <f aca="false">AJ14+SUM(AJ17:AJ19)</f>
        <v>599817.647897992</v>
      </c>
      <c r="AK20" s="111" t="n">
        <f aca="false">AK14+SUM(AK17:AK19)</f>
        <v>614753.3701389</v>
      </c>
      <c r="AL20" s="111" t="n">
        <f aca="false">AL14+SUM(AL17:AL19)</f>
        <v>801867.691611404</v>
      </c>
      <c r="AM20" s="111" t="n">
        <f aca="false">AM14+SUM(AM17:AM19)</f>
        <v>853117.411597273</v>
      </c>
      <c r="AN20" s="111" t="n">
        <f aca="false">AN14+SUM(AN17:AN19)</f>
        <v>900969.753217058</v>
      </c>
      <c r="AO20" s="111" t="n">
        <f aca="false">AO14+SUM(AO17:AO19)</f>
        <v>945683.716645561</v>
      </c>
      <c r="AP20" s="111" t="n">
        <f aca="false">AP14+SUM(AP17:AP19)</f>
        <v>987419.592093963</v>
      </c>
      <c r="AQ20" s="111" t="n">
        <f aca="false">AQ14+SUM(AQ17:AQ19)</f>
        <v>1026352.94069428</v>
      </c>
      <c r="AR20" s="111" t="n">
        <f aca="false">AR14+SUM(AR17:AR19)</f>
        <v>1062723.93142796</v>
      </c>
      <c r="AS20" s="111" t="n">
        <f aca="false">AS14+SUM(AS17:AS19)</f>
        <v>1096624.92838261</v>
      </c>
      <c r="AT20" s="111" t="n">
        <f aca="false">AT14+SUM(AT17:AT19)</f>
        <v>1128327.33732241</v>
      </c>
      <c r="AU20" s="111" t="n">
        <f aca="false">AU14+SUM(AU17:AU19)</f>
        <v>1157922.09166583</v>
      </c>
      <c r="AV20" s="111" t="n">
        <f aca="false">AV14+SUM(AV17:AV19)</f>
        <v>1185548.67475902</v>
      </c>
      <c r="AW20" s="111" t="n">
        <f aca="false">AW14+SUM(AW17:AW19)</f>
        <v>1211296.77316122</v>
      </c>
      <c r="AX20" s="111" t="n">
        <f aca="false">AX14+SUM(AX17:AX19)</f>
        <v>1543250.63447145</v>
      </c>
      <c r="AY20" s="111" t="n">
        <f aca="false">AY14+SUM(AY17:AY19)</f>
        <v>1634130.70790341</v>
      </c>
      <c r="AZ20" s="111" t="n">
        <f aca="false">AZ14+SUM(AZ17:AZ19)</f>
        <v>1719366.34758396</v>
      </c>
      <c r="BA20" s="111" t="n">
        <f aca="false">BA14+SUM(BA17:BA19)</f>
        <v>1799220.45576687</v>
      </c>
      <c r="BB20" s="111" t="n">
        <f aca="false">BB14+SUM(BB17:BB19)</f>
        <v>1874108.42630761</v>
      </c>
      <c r="BC20" s="111" t="n">
        <f aca="false">BC14+SUM(BC17:BC19)</f>
        <v>1944307.5535724</v>
      </c>
      <c r="BD20" s="111" t="n">
        <f aca="false">BD14+SUM(BD17:BD19)</f>
        <v>2010127.98548135</v>
      </c>
      <c r="BE20" s="111" t="n">
        <f aca="false">BE14+SUM(BE17:BE19)</f>
        <v>2071861.58920454</v>
      </c>
      <c r="BF20" s="111" t="n">
        <f aca="false">BF14+SUM(BF17:BF19)</f>
        <v>2129679.16675884</v>
      </c>
      <c r="BG20" s="111" t="n">
        <f aca="false">BG14+SUM(BG17:BG19)</f>
        <v>2183921.89747398</v>
      </c>
      <c r="BH20" s="111" t="n">
        <f aca="false">BH14+SUM(BH17:BH19)</f>
        <v>2234775.60591523</v>
      </c>
      <c r="BI20" s="111" t="n">
        <f aca="false">BI14+SUM(BI17:BI19)</f>
        <v>2282476.80583701</v>
      </c>
      <c r="BJ20" s="111" t="n">
        <f aca="false">SUM(B20:BI20)</f>
        <v>44059915.7335712</v>
      </c>
      <c r="BK20" s="141" t="n">
        <f aca="false">IFERROR(BJ20/BJ$14,0)</f>
        <v>0.718573434533958</v>
      </c>
    </row>
    <row r="21" customFormat="false" ht="15" hidden="false" customHeight="false" outlineLevel="0" collapsed="false">
      <c r="A21" s="57" t="s">
        <v>527</v>
      </c>
      <c r="B21" s="154" t="n">
        <f aca="false">CHOOSE(Premissas!$B$6,Cenários!B27,Cenários!B73,Cenários!B119)</f>
        <v>0.155</v>
      </c>
      <c r="C21" s="154" t="n">
        <f aca="false">CHOOSE(Premissas!$B$6,Cenários!C27,Cenários!C73,Cenários!C119)</f>
        <v>0.155</v>
      </c>
      <c r="D21" s="154" t="n">
        <f aca="false">CHOOSE(Premissas!$B$6,Cenários!D27,Cenários!D73,Cenários!D119)</f>
        <v>0.155</v>
      </c>
      <c r="E21" s="154" t="n">
        <f aca="false">CHOOSE(Premissas!$B$6,Cenários!E27,Cenários!E73,Cenários!E119)</f>
        <v>0.155</v>
      </c>
      <c r="F21" s="154" t="n">
        <f aca="false">CHOOSE(Premissas!$B$6,Cenários!F27,Cenários!F73,Cenários!F119)</f>
        <v>0.155</v>
      </c>
      <c r="G21" s="154" t="n">
        <f aca="false">CHOOSE(Premissas!$B$6,Cenários!G27,Cenários!G73,Cenários!G119)</f>
        <v>0.155</v>
      </c>
      <c r="H21" s="154" t="n">
        <f aca="false">CHOOSE(Premissas!$B$6,Cenários!H27,Cenários!H73,Cenários!H119)</f>
        <v>0.155</v>
      </c>
      <c r="I21" s="154" t="n">
        <f aca="false">CHOOSE(Premissas!$B$6,Cenários!I27,Cenários!I73,Cenários!I119)</f>
        <v>0.155</v>
      </c>
      <c r="J21" s="154" t="n">
        <f aca="false">CHOOSE(Premissas!$B$6,Cenários!J27,Cenários!J73,Cenários!J119)</f>
        <v>0.155</v>
      </c>
      <c r="K21" s="154" t="n">
        <f aca="false">CHOOSE(Premissas!$B$6,Cenários!K27,Cenários!K73,Cenários!K119)</f>
        <v>0.155</v>
      </c>
      <c r="L21" s="154" t="n">
        <f aca="false">CHOOSE(Premissas!$B$6,Cenários!L27,Cenários!L73,Cenários!L119)</f>
        <v>0.155</v>
      </c>
      <c r="M21" s="154" t="n">
        <f aca="false">CHOOSE(Premissas!$B$6,Cenários!M27,Cenários!M73,Cenários!M119)</f>
        <v>0.155</v>
      </c>
      <c r="N21" s="154" t="n">
        <f aca="false">CHOOSE(Premissas!$B$6,Cenários!N27,Cenários!N73,Cenários!N119)</f>
        <v>0.155</v>
      </c>
      <c r="O21" s="154" t="n">
        <f aca="false">CHOOSE(Premissas!$B$6,Cenários!O27,Cenários!O73,Cenários!O119)</f>
        <v>0.155</v>
      </c>
      <c r="P21" s="154" t="n">
        <f aca="false">CHOOSE(Premissas!$B$6,Cenários!P27,Cenários!P73,Cenários!P119)</f>
        <v>0.162956388064971</v>
      </c>
      <c r="Q21" s="154" t="n">
        <f aca="false">CHOOSE(Premissas!$B$6,Cenários!Q27,Cenários!Q73,Cenários!Q119)</f>
        <v>0.173060990428673</v>
      </c>
      <c r="R21" s="154" t="n">
        <f aca="false">CHOOSE(Premissas!$B$6,Cenários!R27,Cenários!R73,Cenários!R119)</f>
        <v>0.180192479645026</v>
      </c>
      <c r="S21" s="154" t="n">
        <f aca="false">CHOOSE(Premissas!$B$6,Cenários!S27,Cenários!S73,Cenários!S119)</f>
        <v>0.18628512395836</v>
      </c>
      <c r="T21" s="154" t="n">
        <f aca="false">CHOOSE(Premissas!$B$6,Cenários!T27,Cenários!T73,Cenários!T119)</f>
        <v>0.190564270071655</v>
      </c>
      <c r="U21" s="154" t="n">
        <f aca="false">CHOOSE(Premissas!$B$6,Cenários!U27,Cenários!U73,Cenários!U119)</f>
        <v>0.193440108703957</v>
      </c>
      <c r="V21" s="154" t="n">
        <f aca="false">CHOOSE(Premissas!$B$6,Cenários!V27,Cenários!V73,Cenários!V119)</f>
        <v>0.195478403409463</v>
      </c>
      <c r="W21" s="154" t="n">
        <f aca="false">CHOOSE(Premissas!$B$6,Cenários!W27,Cenários!W73,Cenários!W119)</f>
        <v>0.200885252164287</v>
      </c>
      <c r="X21" s="154" t="n">
        <f aca="false">CHOOSE(Premissas!$B$6,Cenários!X27,Cenários!X73,Cenários!X119)</f>
        <v>0.205006900775894</v>
      </c>
      <c r="Y21" s="154" t="n">
        <f aca="false">CHOOSE(Premissas!$B$6,Cenários!Y27,Cenários!Y73,Cenários!Y119)</f>
        <v>0.208151998458068</v>
      </c>
      <c r="Z21" s="154" t="n">
        <f aca="false">CHOOSE(Premissas!$B$6,Cenários!Z27,Cenários!Z73,Cenários!Z119)</f>
        <v>0.210582042480834</v>
      </c>
      <c r="AA21" s="154" t="n">
        <f aca="false">CHOOSE(Premissas!$B$6,Cenários!AA27,Cenários!AA73,Cenários!AA119)</f>
        <v>0.156427732977621</v>
      </c>
      <c r="AB21" s="154" t="n">
        <f aca="false">CHOOSE(Premissas!$B$6,Cenários!AB27,Cenários!AB73,Cenários!AB119)</f>
        <v>0.172183541139034</v>
      </c>
      <c r="AC21" s="154" t="n">
        <f aca="false">CHOOSE(Premissas!$B$6,Cenários!AC27,Cenários!AC73,Cenários!AC119)</f>
        <v>0.184461501303874</v>
      </c>
      <c r="AD21" s="154" t="n">
        <f aca="false">CHOOSE(Premissas!$B$6,Cenários!AD27,Cenários!AD73,Cenários!AD119)</f>
        <v>0.1633</v>
      </c>
      <c r="AE21" s="154" t="n">
        <f aca="false">CHOOSE(Premissas!$B$6,Cenários!AE27,Cenários!AE73,Cenários!AE119)</f>
        <v>0.1633</v>
      </c>
      <c r="AF21" s="154" t="n">
        <f aca="false">CHOOSE(Premissas!$B$6,Cenários!AF27,Cenários!AF73,Cenários!AF119)</f>
        <v>0.1633</v>
      </c>
      <c r="AG21" s="154" t="n">
        <f aca="false">CHOOSE(Premissas!$B$6,Cenários!AG27,Cenários!AG73,Cenários!AG119)</f>
        <v>0.1633</v>
      </c>
      <c r="AH21" s="154" t="n">
        <f aca="false">CHOOSE(Premissas!$B$6,Cenários!AH27,Cenários!AH73,Cenários!AH119)</f>
        <v>0.1633</v>
      </c>
      <c r="AI21" s="154" t="n">
        <f aca="false">CHOOSE(Premissas!$B$6,Cenários!AI27,Cenários!AI73,Cenários!AI119)</f>
        <v>0.1633</v>
      </c>
      <c r="AJ21" s="154" t="n">
        <f aca="false">CHOOSE(Premissas!$B$6,Cenários!AJ27,Cenários!AJ73,Cenários!AJ119)</f>
        <v>0.1633</v>
      </c>
      <c r="AK21" s="154" t="n">
        <f aca="false">CHOOSE(Premissas!$B$6,Cenários!AK27,Cenários!AK73,Cenários!AK119)</f>
        <v>0.1633</v>
      </c>
      <c r="AL21" s="154" t="n">
        <f aca="false">CHOOSE(Premissas!$B$6,Cenários!AL27,Cenários!AL73,Cenários!AL119)</f>
        <v>0.1633</v>
      </c>
      <c r="AM21" s="154" t="n">
        <f aca="false">CHOOSE(Premissas!$B$6,Cenários!AM27,Cenários!AM73,Cenários!AM119)</f>
        <v>0.1633</v>
      </c>
      <c r="AN21" s="154" t="n">
        <f aca="false">CHOOSE(Premissas!$B$6,Cenários!AN27,Cenários!AN73,Cenários!AN119)</f>
        <v>0.1633</v>
      </c>
      <c r="AO21" s="154" t="n">
        <f aca="false">CHOOSE(Premissas!$B$6,Cenários!AO27,Cenários!AO73,Cenários!AO119)</f>
        <v>0.1633</v>
      </c>
      <c r="AP21" s="154" t="n">
        <f aca="false">CHOOSE(Premissas!$B$6,Cenários!AP27,Cenários!AP73,Cenários!AP119)</f>
        <v>0.1633</v>
      </c>
      <c r="AQ21" s="154" t="n">
        <f aca="false">CHOOSE(Premissas!$B$6,Cenários!AQ27,Cenários!AQ73,Cenários!AQ119)</f>
        <v>0.1633</v>
      </c>
      <c r="AR21" s="154" t="n">
        <f aca="false">CHOOSE(Premissas!$B$6,Cenários!AR27,Cenários!AR73,Cenários!AR119)</f>
        <v>0.1633</v>
      </c>
      <c r="AS21" s="154" t="n">
        <f aca="false">CHOOSE(Premissas!$B$6,Cenários!AS27,Cenários!AS73,Cenários!AS119)</f>
        <v>0.1633</v>
      </c>
      <c r="AT21" s="154" t="n">
        <f aca="false">CHOOSE(Premissas!$B$6,Cenários!AT27,Cenários!AT73,Cenários!AT119)</f>
        <v>0.1633</v>
      </c>
      <c r="AU21" s="154" t="n">
        <f aca="false">CHOOSE(Premissas!$B$6,Cenários!AU27,Cenários!AU73,Cenários!AU119)</f>
        <v>0.1633</v>
      </c>
      <c r="AV21" s="154" t="n">
        <f aca="false">CHOOSE(Premissas!$B$6,Cenários!AV27,Cenários!AV73,Cenários!AV119)</f>
        <v>0.1633</v>
      </c>
      <c r="AW21" s="154" t="n">
        <f aca="false">CHOOSE(Premissas!$B$6,Cenários!AW27,Cenários!AW73,Cenários!AW119)</f>
        <v>0.1633</v>
      </c>
      <c r="AX21" s="154" t="n">
        <f aca="false">CHOOSE(Premissas!$B$6,Cenários!AX27,Cenários!AX73,Cenários!AX119)</f>
        <v>0.1633</v>
      </c>
      <c r="AY21" s="154" t="n">
        <f aca="false">CHOOSE(Premissas!$B$6,Cenários!AY27,Cenários!AY73,Cenários!AY119)</f>
        <v>0.1633</v>
      </c>
      <c r="AZ21" s="154" t="n">
        <f aca="false">CHOOSE(Premissas!$B$6,Cenários!AZ27,Cenários!AZ73,Cenários!AZ119)</f>
        <v>0.1633</v>
      </c>
      <c r="BA21" s="154" t="n">
        <f aca="false">CHOOSE(Premissas!$B$6,Cenários!BA27,Cenários!BA73,Cenários!BA119)</f>
        <v>0.1633</v>
      </c>
      <c r="BB21" s="154" t="n">
        <f aca="false">CHOOSE(Premissas!$B$6,Cenários!BB27,Cenários!BB73,Cenários!BB119)</f>
        <v>0.1633</v>
      </c>
      <c r="BC21" s="154" t="n">
        <f aca="false">CHOOSE(Premissas!$B$6,Cenários!BC27,Cenários!BC73,Cenários!BC119)</f>
        <v>0.1633</v>
      </c>
      <c r="BD21" s="154" t="n">
        <f aca="false">CHOOSE(Premissas!$B$6,Cenários!BD27,Cenários!BD73,Cenários!BD119)</f>
        <v>0.1633</v>
      </c>
      <c r="BE21" s="154" t="n">
        <f aca="false">CHOOSE(Premissas!$B$6,Cenários!BE27,Cenários!BE73,Cenários!BE119)</f>
        <v>0.1633</v>
      </c>
      <c r="BF21" s="154" t="n">
        <f aca="false">CHOOSE(Premissas!$B$6,Cenários!BF27,Cenários!BF73,Cenários!BF119)</f>
        <v>0.1633</v>
      </c>
      <c r="BG21" s="154" t="n">
        <f aca="false">CHOOSE(Premissas!$B$6,Cenários!BG27,Cenários!BG73,Cenários!BG119)</f>
        <v>0.1633</v>
      </c>
      <c r="BH21" s="154" t="n">
        <f aca="false">CHOOSE(Premissas!$B$6,Cenários!BH27,Cenários!BH73,Cenários!BH119)</f>
        <v>0.1633</v>
      </c>
      <c r="BI21" s="154" t="n">
        <f aca="false">CHOOSE(Premissas!$B$6,Cenários!BI27,Cenários!BI73,Cenários!BI119)</f>
        <v>0.1633</v>
      </c>
      <c r="BK21" s="29" t="s">
        <v>528</v>
      </c>
    </row>
    <row r="23" customFormat="false" ht="18" hidden="false" customHeight="true" outlineLevel="0" collapsed="false">
      <c r="A23" s="25" t="s">
        <v>529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26"/>
    </row>
    <row r="24" customFormat="false" ht="15" hidden="false" customHeight="false" outlineLevel="0" collapsed="false">
      <c r="A24" s="155" t="s">
        <v>329</v>
      </c>
      <c r="B24" s="53" t="n">
        <v>2026</v>
      </c>
      <c r="C24" s="53" t="n">
        <v>2027</v>
      </c>
      <c r="D24" s="53" t="n">
        <v>2028</v>
      </c>
      <c r="E24" s="53" t="n">
        <v>2029</v>
      </c>
      <c r="F24" s="53" t="n">
        <v>2030</v>
      </c>
      <c r="G24" s="133" t="s">
        <v>326</v>
      </c>
    </row>
    <row r="25" customFormat="false" ht="15" hidden="false" customHeight="false" outlineLevel="0" collapsed="false">
      <c r="A25" s="31" t="s">
        <v>530</v>
      </c>
      <c r="B25" s="144" t="n">
        <f aca="false">SUMIFS($B$14:$BI$14,$B$6:$BI$6,B$24)</f>
        <v>53361.8</v>
      </c>
      <c r="C25" s="144" t="n">
        <f aca="false">SUMIFS($B$14:$BI$14,$B$6:$BI$6,C$24)</f>
        <v>3198070.64871288</v>
      </c>
      <c r="D25" s="144" t="n">
        <f aca="false">SUMIFS($B$14:$BI$14,$B$6:$BI$6,D$24)</f>
        <v>8499869.32663165</v>
      </c>
      <c r="E25" s="144" t="n">
        <f aca="false">SUMIFS($B$14:$BI$14,$B$6:$BI$6,E$24)</f>
        <v>17150449.5715781</v>
      </c>
      <c r="F25" s="144" t="n">
        <f aca="false">SUMIFS($B$14:$BI$14,$B$6:$BI$6,F$24)</f>
        <v>32414063.5943115</v>
      </c>
      <c r="G25" s="111" t="n">
        <f aca="false">SUM(B25:F25)</f>
        <v>61315814.9412342</v>
      </c>
    </row>
    <row r="26" customFormat="false" ht="15" hidden="false" customHeight="false" outlineLevel="0" collapsed="false">
      <c r="A26" s="27" t="s">
        <v>531</v>
      </c>
      <c r="B26" s="110" t="n">
        <f aca="false">SUMIFS($B$20:$BI$20,$B$6:$BI$6,B$24)</f>
        <v>37926.89935</v>
      </c>
      <c r="C26" s="110" t="n">
        <f aca="false">SUMIFS($B$20:$BI$20,$B$6:$BI$6,C$24)</f>
        <v>2186610.53638783</v>
      </c>
      <c r="D26" s="110" t="n">
        <f aca="false">SUMIFS($B$20:$BI$20,$B$6:$BI$6,D$24)</f>
        <v>6050296.27897815</v>
      </c>
      <c r="E26" s="110" t="n">
        <f aca="false">SUMIFS($B$20:$BI$20,$B$6:$BI$6,E$24)</f>
        <v>12357854.8425786</v>
      </c>
      <c r="F26" s="110" t="n">
        <f aca="false">SUMIFS($B$20:$BI$20,$B$6:$BI$6,F$24)</f>
        <v>23427227.1762767</v>
      </c>
      <c r="G26" s="111" t="n">
        <f aca="false">SUM(B26:F26)</f>
        <v>44059915.7335712</v>
      </c>
    </row>
    <row r="27" customFormat="false" ht="15" hidden="false" customHeight="false" outlineLevel="0" collapsed="false">
      <c r="A27" s="27" t="s">
        <v>532</v>
      </c>
      <c r="B27" s="110" t="n">
        <f aca="false">SUMIFS($B$17:$BI$17,$B$6:$BI$6,B$24)</f>
        <v>-8271.079</v>
      </c>
      <c r="C27" s="110" t="n">
        <f aca="false">SUMIFS($B$17:$BI$17,$B$6:$BI$6,C$24)</f>
        <v>-607750.471284974</v>
      </c>
      <c r="D27" s="110" t="n">
        <f aca="false">SUMIFS($B$17:$BI$17,$B$6:$BI$6,D$24)</f>
        <v>-1427501.49799486</v>
      </c>
      <c r="E27" s="110" t="n">
        <f aca="false">SUMIFS($B$17:$BI$17,$B$6:$BI$6,E$24)</f>
        <v>-2800668.41503871</v>
      </c>
      <c r="F27" s="110" t="n">
        <f aca="false">SUMIFS($B$17:$BI$17,$B$6:$BI$6,F$24)</f>
        <v>-5293216.58495107</v>
      </c>
      <c r="G27" s="111" t="n">
        <f aca="false">SUM(B27:F27)</f>
        <v>-10137408.0482696</v>
      </c>
    </row>
    <row r="28" customFormat="false" ht="15" hidden="false" customHeight="false" outlineLevel="0" collapsed="false">
      <c r="A28" s="27" t="s">
        <v>533</v>
      </c>
      <c r="B28" s="110" t="n">
        <f aca="false">SUMIFS($B$18:$BI$18,$B$6:$BI$6,B$24)</f>
        <v>-6803.6295</v>
      </c>
      <c r="C28" s="110" t="n">
        <f aca="false">SUMIFS($B$18:$BI$18,$B$6:$BI$6,C$24)</f>
        <v>-371137.80264</v>
      </c>
      <c r="D28" s="110" t="n">
        <f aca="false">SUMIFS($B$18:$BI$18,$B$6:$BI$6,D$24)</f>
        <v>-913682.042800312</v>
      </c>
      <c r="E28" s="110" t="n">
        <f aca="false">SUMIFS($B$18:$BI$18,$B$6:$BI$6,E$24)</f>
        <v>-1743080.11891404</v>
      </c>
      <c r="F28" s="110" t="n">
        <f aca="false">SUMIFS($B$18:$BI$18,$B$6:$BI$6,F$24)</f>
        <v>-3192838.53048537</v>
      </c>
      <c r="G28" s="111" t="n">
        <f aca="false">SUM(B28:F28)</f>
        <v>-6227542.12433972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C8A"/>
    <pageSetUpPr fitToPage="false"/>
  </sheetPr>
  <dimension ref="A1:BK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1" min="2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534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140" t="str">
        <f aca="false">" Cenário ativo: "&amp;Premissas!B7&amp;"  ·  todas as linhas recalculam ao trocar o cenário."</f>
        <v> Cenário ativo: PROVÁVEL  ·  todas as linhas recalculam ao trocar o cenário.</v>
      </c>
    </row>
    <row r="4" customFormat="false" ht="15" hidden="false" customHeight="false" outlineLevel="0" collapsed="false">
      <c r="A4" s="100" t="s">
        <v>325</v>
      </c>
      <c r="B4" s="101" t="n">
        <v>46023</v>
      </c>
      <c r="C4" s="101" t="n">
        <v>46054</v>
      </c>
      <c r="D4" s="101" t="n">
        <v>46082</v>
      </c>
      <c r="E4" s="101" t="n">
        <v>46113</v>
      </c>
      <c r="F4" s="101" t="n">
        <v>46143</v>
      </c>
      <c r="G4" s="101" t="n">
        <v>46174</v>
      </c>
      <c r="H4" s="101" t="n">
        <v>46204</v>
      </c>
      <c r="I4" s="101" t="n">
        <v>46235</v>
      </c>
      <c r="J4" s="101" t="n">
        <v>46266</v>
      </c>
      <c r="K4" s="101" t="n">
        <v>46296</v>
      </c>
      <c r="L4" s="101" t="n">
        <v>46327</v>
      </c>
      <c r="M4" s="101" t="n">
        <v>46357</v>
      </c>
      <c r="N4" s="101" t="n">
        <v>46388</v>
      </c>
      <c r="O4" s="101" t="n">
        <v>46419</v>
      </c>
      <c r="P4" s="101" t="n">
        <v>46447</v>
      </c>
      <c r="Q4" s="101" t="n">
        <v>46478</v>
      </c>
      <c r="R4" s="101" t="n">
        <v>46508</v>
      </c>
      <c r="S4" s="101" t="n">
        <v>46539</v>
      </c>
      <c r="T4" s="101" t="n">
        <v>46569</v>
      </c>
      <c r="U4" s="101" t="n">
        <v>46600</v>
      </c>
      <c r="V4" s="101" t="n">
        <v>46631</v>
      </c>
      <c r="W4" s="101" t="n">
        <v>46661</v>
      </c>
      <c r="X4" s="101" t="n">
        <v>46692</v>
      </c>
      <c r="Y4" s="101" t="n">
        <v>46722</v>
      </c>
      <c r="Z4" s="101" t="n">
        <v>46753</v>
      </c>
      <c r="AA4" s="101" t="n">
        <v>46784</v>
      </c>
      <c r="AB4" s="101" t="n">
        <v>46813</v>
      </c>
      <c r="AC4" s="101" t="n">
        <v>46844</v>
      </c>
      <c r="AD4" s="101" t="n">
        <v>46874</v>
      </c>
      <c r="AE4" s="101" t="n">
        <v>46905</v>
      </c>
      <c r="AF4" s="101" t="n">
        <v>46935</v>
      </c>
      <c r="AG4" s="101" t="n">
        <v>46966</v>
      </c>
      <c r="AH4" s="101" t="n">
        <v>46997</v>
      </c>
      <c r="AI4" s="101" t="n">
        <v>47027</v>
      </c>
      <c r="AJ4" s="101" t="n">
        <v>47058</v>
      </c>
      <c r="AK4" s="101" t="n">
        <v>47088</v>
      </c>
      <c r="AL4" s="101" t="n">
        <v>47119</v>
      </c>
      <c r="AM4" s="101" t="n">
        <v>47150</v>
      </c>
      <c r="AN4" s="101" t="n">
        <v>47178</v>
      </c>
      <c r="AO4" s="101" t="n">
        <v>47209</v>
      </c>
      <c r="AP4" s="101" t="n">
        <v>47239</v>
      </c>
      <c r="AQ4" s="101" t="n">
        <v>47270</v>
      </c>
      <c r="AR4" s="101" t="n">
        <v>47300</v>
      </c>
      <c r="AS4" s="101" t="n">
        <v>47331</v>
      </c>
      <c r="AT4" s="101" t="n">
        <v>47362</v>
      </c>
      <c r="AU4" s="101" t="n">
        <v>47392</v>
      </c>
      <c r="AV4" s="101" t="n">
        <v>47423</v>
      </c>
      <c r="AW4" s="101" t="n">
        <v>47453</v>
      </c>
      <c r="AX4" s="101" t="n">
        <v>47484</v>
      </c>
      <c r="AY4" s="101" t="n">
        <v>47515</v>
      </c>
      <c r="AZ4" s="101" t="n">
        <v>47543</v>
      </c>
      <c r="BA4" s="101" t="n">
        <v>47574</v>
      </c>
      <c r="BB4" s="101" t="n">
        <v>47604</v>
      </c>
      <c r="BC4" s="101" t="n">
        <v>47635</v>
      </c>
      <c r="BD4" s="101" t="n">
        <v>47665</v>
      </c>
      <c r="BE4" s="101" t="n">
        <v>47696</v>
      </c>
      <c r="BF4" s="101" t="n">
        <v>47727</v>
      </c>
      <c r="BG4" s="101" t="n">
        <v>47757</v>
      </c>
      <c r="BH4" s="101" t="n">
        <v>47788</v>
      </c>
      <c r="BI4" s="101" t="n">
        <v>47818</v>
      </c>
      <c r="BJ4" s="102" t="s">
        <v>326</v>
      </c>
      <c r="BK4" s="102" t="s">
        <v>327</v>
      </c>
    </row>
    <row r="5" customFormat="false" ht="15" hidden="false" customHeight="false" outlineLevel="0" collapsed="false">
      <c r="A5" s="103" t="s">
        <v>328</v>
      </c>
      <c r="B5" s="104" t="n">
        <v>1</v>
      </c>
      <c r="C5" s="104" t="n">
        <v>2</v>
      </c>
      <c r="D5" s="104" t="n">
        <v>3</v>
      </c>
      <c r="E5" s="104" t="n">
        <v>4</v>
      </c>
      <c r="F5" s="104" t="n">
        <v>5</v>
      </c>
      <c r="G5" s="104" t="n">
        <v>6</v>
      </c>
      <c r="H5" s="104" t="n">
        <v>7</v>
      </c>
      <c r="I5" s="104" t="n">
        <v>8</v>
      </c>
      <c r="J5" s="104" t="n">
        <v>9</v>
      </c>
      <c r="K5" s="104" t="n">
        <v>10</v>
      </c>
      <c r="L5" s="104" t="n">
        <v>11</v>
      </c>
      <c r="M5" s="104" t="n">
        <v>12</v>
      </c>
      <c r="N5" s="104" t="n">
        <v>13</v>
      </c>
      <c r="O5" s="104" t="n">
        <v>14</v>
      </c>
      <c r="P5" s="104" t="n">
        <v>15</v>
      </c>
      <c r="Q5" s="104" t="n">
        <v>16</v>
      </c>
      <c r="R5" s="104" t="n">
        <v>17</v>
      </c>
      <c r="S5" s="104" t="n">
        <v>18</v>
      </c>
      <c r="T5" s="104" t="n">
        <v>19</v>
      </c>
      <c r="U5" s="104" t="n">
        <v>20</v>
      </c>
      <c r="V5" s="104" t="n">
        <v>21</v>
      </c>
      <c r="W5" s="104" t="n">
        <v>22</v>
      </c>
      <c r="X5" s="104" t="n">
        <v>23</v>
      </c>
      <c r="Y5" s="104" t="n">
        <v>24</v>
      </c>
      <c r="Z5" s="104" t="n">
        <v>25</v>
      </c>
      <c r="AA5" s="104" t="n">
        <v>26</v>
      </c>
      <c r="AB5" s="104" t="n">
        <v>27</v>
      </c>
      <c r="AC5" s="104" t="n">
        <v>28</v>
      </c>
      <c r="AD5" s="104" t="n">
        <v>29</v>
      </c>
      <c r="AE5" s="104" t="n">
        <v>30</v>
      </c>
      <c r="AF5" s="104" t="n">
        <v>31</v>
      </c>
      <c r="AG5" s="104" t="n">
        <v>32</v>
      </c>
      <c r="AH5" s="104" t="n">
        <v>33</v>
      </c>
      <c r="AI5" s="104" t="n">
        <v>34</v>
      </c>
      <c r="AJ5" s="104" t="n">
        <v>35</v>
      </c>
      <c r="AK5" s="104" t="n">
        <v>36</v>
      </c>
      <c r="AL5" s="104" t="n">
        <v>37</v>
      </c>
      <c r="AM5" s="104" t="n">
        <v>38</v>
      </c>
      <c r="AN5" s="104" t="n">
        <v>39</v>
      </c>
      <c r="AO5" s="104" t="n">
        <v>40</v>
      </c>
      <c r="AP5" s="104" t="n">
        <v>41</v>
      </c>
      <c r="AQ5" s="104" t="n">
        <v>42</v>
      </c>
      <c r="AR5" s="104" t="n">
        <v>43</v>
      </c>
      <c r="AS5" s="104" t="n">
        <v>44</v>
      </c>
      <c r="AT5" s="104" t="n">
        <v>45</v>
      </c>
      <c r="AU5" s="104" t="n">
        <v>46</v>
      </c>
      <c r="AV5" s="104" t="n">
        <v>47</v>
      </c>
      <c r="AW5" s="104" t="n">
        <v>48</v>
      </c>
      <c r="AX5" s="104" t="n">
        <v>49</v>
      </c>
      <c r="AY5" s="104" t="n">
        <v>50</v>
      </c>
      <c r="AZ5" s="104" t="n">
        <v>51</v>
      </c>
      <c r="BA5" s="104" t="n">
        <v>52</v>
      </c>
      <c r="BB5" s="104" t="n">
        <v>53</v>
      </c>
      <c r="BC5" s="104" t="n">
        <v>54</v>
      </c>
      <c r="BD5" s="104" t="n">
        <v>55</v>
      </c>
      <c r="BE5" s="104" t="n">
        <v>56</v>
      </c>
      <c r="BF5" s="104" t="n">
        <v>57</v>
      </c>
      <c r="BG5" s="104" t="n">
        <v>58</v>
      </c>
      <c r="BH5" s="104" t="n">
        <v>59</v>
      </c>
      <c r="BI5" s="104" t="n">
        <v>60</v>
      </c>
    </row>
    <row r="6" customFormat="false" ht="15" hidden="false" customHeight="false" outlineLevel="0" collapsed="false">
      <c r="A6" s="103" t="s">
        <v>329</v>
      </c>
      <c r="B6" s="105" t="n">
        <f aca="false">YEAR(B4)</f>
        <v>2026</v>
      </c>
      <c r="C6" s="105" t="n">
        <f aca="false">YEAR(C4)</f>
        <v>2026</v>
      </c>
      <c r="D6" s="105" t="n">
        <f aca="false">YEAR(D4)</f>
        <v>2026</v>
      </c>
      <c r="E6" s="105" t="n">
        <f aca="false">YEAR(E4)</f>
        <v>2026</v>
      </c>
      <c r="F6" s="105" t="n">
        <f aca="false">YEAR(F4)</f>
        <v>2026</v>
      </c>
      <c r="G6" s="105" t="n">
        <f aca="false">YEAR(G4)</f>
        <v>2026</v>
      </c>
      <c r="H6" s="105" t="n">
        <f aca="false">YEAR(H4)</f>
        <v>2026</v>
      </c>
      <c r="I6" s="105" t="n">
        <f aca="false">YEAR(I4)</f>
        <v>2026</v>
      </c>
      <c r="J6" s="105" t="n">
        <f aca="false">YEAR(J4)</f>
        <v>2026</v>
      </c>
      <c r="K6" s="105" t="n">
        <f aca="false">YEAR(K4)</f>
        <v>2026</v>
      </c>
      <c r="L6" s="105" t="n">
        <f aca="false">YEAR(L4)</f>
        <v>2026</v>
      </c>
      <c r="M6" s="105" t="n">
        <f aca="false">YEAR(M4)</f>
        <v>2026</v>
      </c>
      <c r="N6" s="105" t="n">
        <f aca="false">YEAR(N4)</f>
        <v>2027</v>
      </c>
      <c r="O6" s="105" t="n">
        <f aca="false">YEAR(O4)</f>
        <v>2027</v>
      </c>
      <c r="P6" s="105" t="n">
        <f aca="false">YEAR(P4)</f>
        <v>2027</v>
      </c>
      <c r="Q6" s="105" t="n">
        <f aca="false">YEAR(Q4)</f>
        <v>2027</v>
      </c>
      <c r="R6" s="105" t="n">
        <f aca="false">YEAR(R4)</f>
        <v>2027</v>
      </c>
      <c r="S6" s="105" t="n">
        <f aca="false">YEAR(S4)</f>
        <v>2027</v>
      </c>
      <c r="T6" s="105" t="n">
        <f aca="false">YEAR(T4)</f>
        <v>2027</v>
      </c>
      <c r="U6" s="105" t="n">
        <f aca="false">YEAR(U4)</f>
        <v>2027</v>
      </c>
      <c r="V6" s="105" t="n">
        <f aca="false">YEAR(V4)</f>
        <v>2027</v>
      </c>
      <c r="W6" s="105" t="n">
        <f aca="false">YEAR(W4)</f>
        <v>2027</v>
      </c>
      <c r="X6" s="105" t="n">
        <f aca="false">YEAR(X4)</f>
        <v>2027</v>
      </c>
      <c r="Y6" s="105" t="n">
        <f aca="false">YEAR(Y4)</f>
        <v>2027</v>
      </c>
      <c r="Z6" s="105" t="n">
        <f aca="false">YEAR(Z4)</f>
        <v>2028</v>
      </c>
      <c r="AA6" s="105" t="n">
        <f aca="false">YEAR(AA4)</f>
        <v>2028</v>
      </c>
      <c r="AB6" s="105" t="n">
        <f aca="false">YEAR(AB4)</f>
        <v>2028</v>
      </c>
      <c r="AC6" s="105" t="n">
        <f aca="false">YEAR(AC4)</f>
        <v>2028</v>
      </c>
      <c r="AD6" s="105" t="n">
        <f aca="false">YEAR(AD4)</f>
        <v>2028</v>
      </c>
      <c r="AE6" s="105" t="n">
        <f aca="false">YEAR(AE4)</f>
        <v>2028</v>
      </c>
      <c r="AF6" s="105" t="n">
        <f aca="false">YEAR(AF4)</f>
        <v>2028</v>
      </c>
      <c r="AG6" s="105" t="n">
        <f aca="false">YEAR(AG4)</f>
        <v>2028</v>
      </c>
      <c r="AH6" s="105" t="n">
        <f aca="false">YEAR(AH4)</f>
        <v>2028</v>
      </c>
      <c r="AI6" s="105" t="n">
        <f aca="false">YEAR(AI4)</f>
        <v>2028</v>
      </c>
      <c r="AJ6" s="105" t="n">
        <f aca="false">YEAR(AJ4)</f>
        <v>2028</v>
      </c>
      <c r="AK6" s="105" t="n">
        <f aca="false">YEAR(AK4)</f>
        <v>2028</v>
      </c>
      <c r="AL6" s="105" t="n">
        <f aca="false">YEAR(AL4)</f>
        <v>2029</v>
      </c>
      <c r="AM6" s="105" t="n">
        <f aca="false">YEAR(AM4)</f>
        <v>2029</v>
      </c>
      <c r="AN6" s="105" t="n">
        <f aca="false">YEAR(AN4)</f>
        <v>2029</v>
      </c>
      <c r="AO6" s="105" t="n">
        <f aca="false">YEAR(AO4)</f>
        <v>2029</v>
      </c>
      <c r="AP6" s="105" t="n">
        <f aca="false">YEAR(AP4)</f>
        <v>2029</v>
      </c>
      <c r="AQ6" s="105" t="n">
        <f aca="false">YEAR(AQ4)</f>
        <v>2029</v>
      </c>
      <c r="AR6" s="105" t="n">
        <f aca="false">YEAR(AR4)</f>
        <v>2029</v>
      </c>
      <c r="AS6" s="105" t="n">
        <f aca="false">YEAR(AS4)</f>
        <v>2029</v>
      </c>
      <c r="AT6" s="105" t="n">
        <f aca="false">YEAR(AT4)</f>
        <v>2029</v>
      </c>
      <c r="AU6" s="105" t="n">
        <f aca="false">YEAR(AU4)</f>
        <v>2029</v>
      </c>
      <c r="AV6" s="105" t="n">
        <f aca="false">YEAR(AV4)</f>
        <v>2029</v>
      </c>
      <c r="AW6" s="105" t="n">
        <f aca="false">YEAR(AW4)</f>
        <v>2029</v>
      </c>
      <c r="AX6" s="105" t="n">
        <f aca="false">YEAR(AX4)</f>
        <v>2030</v>
      </c>
      <c r="AY6" s="105" t="n">
        <f aca="false">YEAR(AY4)</f>
        <v>2030</v>
      </c>
      <c r="AZ6" s="105" t="n">
        <f aca="false">YEAR(AZ4)</f>
        <v>2030</v>
      </c>
      <c r="BA6" s="105" t="n">
        <f aca="false">YEAR(BA4)</f>
        <v>2030</v>
      </c>
      <c r="BB6" s="105" t="n">
        <f aca="false">YEAR(BB4)</f>
        <v>2030</v>
      </c>
      <c r="BC6" s="105" t="n">
        <f aca="false">YEAR(BC4)</f>
        <v>2030</v>
      </c>
      <c r="BD6" s="105" t="n">
        <f aca="false">YEAR(BD4)</f>
        <v>2030</v>
      </c>
      <c r="BE6" s="105" t="n">
        <f aca="false">YEAR(BE4)</f>
        <v>2030</v>
      </c>
      <c r="BF6" s="105" t="n">
        <f aca="false">YEAR(BF4)</f>
        <v>2030</v>
      </c>
      <c r="BG6" s="105" t="n">
        <f aca="false">YEAR(BG4)</f>
        <v>2030</v>
      </c>
      <c r="BH6" s="105" t="n">
        <f aca="false">YEAR(BH4)</f>
        <v>2030</v>
      </c>
      <c r="BI6" s="105" t="n">
        <f aca="false">YEAR(BI4)</f>
        <v>2030</v>
      </c>
    </row>
    <row r="7" customFormat="false" ht="15" hidden="false" customHeight="false" outlineLevel="0" collapsed="false">
      <c r="A7" s="106" t="s">
        <v>330</v>
      </c>
      <c r="B7" s="107" t="n">
        <f aca="false">MATCH(B6,Premissas!$C$5:$G$5,0)</f>
        <v>1</v>
      </c>
      <c r="C7" s="107" t="n">
        <f aca="false">MATCH(C6,Premissas!$C$5:$G$5,0)</f>
        <v>1</v>
      </c>
      <c r="D7" s="107" t="n">
        <f aca="false">MATCH(D6,Premissas!$C$5:$G$5,0)</f>
        <v>1</v>
      </c>
      <c r="E7" s="107" t="n">
        <f aca="false">MATCH(E6,Premissas!$C$5:$G$5,0)</f>
        <v>1</v>
      </c>
      <c r="F7" s="107" t="n">
        <f aca="false">MATCH(F6,Premissas!$C$5:$G$5,0)</f>
        <v>1</v>
      </c>
      <c r="G7" s="107" t="n">
        <f aca="false">MATCH(G6,Premissas!$C$5:$G$5,0)</f>
        <v>1</v>
      </c>
      <c r="H7" s="107" t="n">
        <f aca="false">MATCH(H6,Premissas!$C$5:$G$5,0)</f>
        <v>1</v>
      </c>
      <c r="I7" s="107" t="n">
        <f aca="false">MATCH(I6,Premissas!$C$5:$G$5,0)</f>
        <v>1</v>
      </c>
      <c r="J7" s="107" t="n">
        <f aca="false">MATCH(J6,Premissas!$C$5:$G$5,0)</f>
        <v>1</v>
      </c>
      <c r="K7" s="107" t="n">
        <f aca="false">MATCH(K6,Premissas!$C$5:$G$5,0)</f>
        <v>1</v>
      </c>
      <c r="L7" s="107" t="n">
        <f aca="false">MATCH(L6,Premissas!$C$5:$G$5,0)</f>
        <v>1</v>
      </c>
      <c r="M7" s="107" t="n">
        <f aca="false">MATCH(M6,Premissas!$C$5:$G$5,0)</f>
        <v>1</v>
      </c>
      <c r="N7" s="107" t="n">
        <f aca="false">MATCH(N6,Premissas!$C$5:$G$5,0)</f>
        <v>2</v>
      </c>
      <c r="O7" s="107" t="n">
        <f aca="false">MATCH(O6,Premissas!$C$5:$G$5,0)</f>
        <v>2</v>
      </c>
      <c r="P7" s="107" t="n">
        <f aca="false">MATCH(P6,Premissas!$C$5:$G$5,0)</f>
        <v>2</v>
      </c>
      <c r="Q7" s="107" t="n">
        <f aca="false">MATCH(Q6,Premissas!$C$5:$G$5,0)</f>
        <v>2</v>
      </c>
      <c r="R7" s="107" t="n">
        <f aca="false">MATCH(R6,Premissas!$C$5:$G$5,0)</f>
        <v>2</v>
      </c>
      <c r="S7" s="107" t="n">
        <f aca="false">MATCH(S6,Premissas!$C$5:$G$5,0)</f>
        <v>2</v>
      </c>
      <c r="T7" s="107" t="n">
        <f aca="false">MATCH(T6,Premissas!$C$5:$G$5,0)</f>
        <v>2</v>
      </c>
      <c r="U7" s="107" t="n">
        <f aca="false">MATCH(U6,Premissas!$C$5:$G$5,0)</f>
        <v>2</v>
      </c>
      <c r="V7" s="107" t="n">
        <f aca="false">MATCH(V6,Premissas!$C$5:$G$5,0)</f>
        <v>2</v>
      </c>
      <c r="W7" s="107" t="n">
        <f aca="false">MATCH(W6,Premissas!$C$5:$G$5,0)</f>
        <v>2</v>
      </c>
      <c r="X7" s="107" t="n">
        <f aca="false">MATCH(X6,Premissas!$C$5:$G$5,0)</f>
        <v>2</v>
      </c>
      <c r="Y7" s="107" t="n">
        <f aca="false">MATCH(Y6,Premissas!$C$5:$G$5,0)</f>
        <v>2</v>
      </c>
      <c r="Z7" s="107" t="n">
        <f aca="false">MATCH(Z6,Premissas!$C$5:$G$5,0)</f>
        <v>3</v>
      </c>
      <c r="AA7" s="107" t="n">
        <f aca="false">MATCH(AA6,Premissas!$C$5:$G$5,0)</f>
        <v>3</v>
      </c>
      <c r="AB7" s="107" t="n">
        <f aca="false">MATCH(AB6,Premissas!$C$5:$G$5,0)</f>
        <v>3</v>
      </c>
      <c r="AC7" s="107" t="n">
        <f aca="false">MATCH(AC6,Premissas!$C$5:$G$5,0)</f>
        <v>3</v>
      </c>
      <c r="AD7" s="107" t="n">
        <f aca="false">MATCH(AD6,Premissas!$C$5:$G$5,0)</f>
        <v>3</v>
      </c>
      <c r="AE7" s="107" t="n">
        <f aca="false">MATCH(AE6,Premissas!$C$5:$G$5,0)</f>
        <v>3</v>
      </c>
      <c r="AF7" s="107" t="n">
        <f aca="false">MATCH(AF6,Premissas!$C$5:$G$5,0)</f>
        <v>3</v>
      </c>
      <c r="AG7" s="107" t="n">
        <f aca="false">MATCH(AG6,Premissas!$C$5:$G$5,0)</f>
        <v>3</v>
      </c>
      <c r="AH7" s="107" t="n">
        <f aca="false">MATCH(AH6,Premissas!$C$5:$G$5,0)</f>
        <v>3</v>
      </c>
      <c r="AI7" s="107" t="n">
        <f aca="false">MATCH(AI6,Premissas!$C$5:$G$5,0)</f>
        <v>3</v>
      </c>
      <c r="AJ7" s="107" t="n">
        <f aca="false">MATCH(AJ6,Premissas!$C$5:$G$5,0)</f>
        <v>3</v>
      </c>
      <c r="AK7" s="107" t="n">
        <f aca="false">MATCH(AK6,Premissas!$C$5:$G$5,0)</f>
        <v>3</v>
      </c>
      <c r="AL7" s="107" t="n">
        <f aca="false">MATCH(AL6,Premissas!$C$5:$G$5,0)</f>
        <v>4</v>
      </c>
      <c r="AM7" s="107" t="n">
        <f aca="false">MATCH(AM6,Premissas!$C$5:$G$5,0)</f>
        <v>4</v>
      </c>
      <c r="AN7" s="107" t="n">
        <f aca="false">MATCH(AN6,Premissas!$C$5:$G$5,0)</f>
        <v>4</v>
      </c>
      <c r="AO7" s="107" t="n">
        <f aca="false">MATCH(AO6,Premissas!$C$5:$G$5,0)</f>
        <v>4</v>
      </c>
      <c r="AP7" s="107" t="n">
        <f aca="false">MATCH(AP6,Premissas!$C$5:$G$5,0)</f>
        <v>4</v>
      </c>
      <c r="AQ7" s="107" t="n">
        <f aca="false">MATCH(AQ6,Premissas!$C$5:$G$5,0)</f>
        <v>4</v>
      </c>
      <c r="AR7" s="107" t="n">
        <f aca="false">MATCH(AR6,Premissas!$C$5:$G$5,0)</f>
        <v>4</v>
      </c>
      <c r="AS7" s="107" t="n">
        <f aca="false">MATCH(AS6,Premissas!$C$5:$G$5,0)</f>
        <v>4</v>
      </c>
      <c r="AT7" s="107" t="n">
        <f aca="false">MATCH(AT6,Premissas!$C$5:$G$5,0)</f>
        <v>4</v>
      </c>
      <c r="AU7" s="107" t="n">
        <f aca="false">MATCH(AU6,Premissas!$C$5:$G$5,0)</f>
        <v>4</v>
      </c>
      <c r="AV7" s="107" t="n">
        <f aca="false">MATCH(AV6,Premissas!$C$5:$G$5,0)</f>
        <v>4</v>
      </c>
      <c r="AW7" s="107" t="n">
        <f aca="false">MATCH(AW6,Premissas!$C$5:$G$5,0)</f>
        <v>4</v>
      </c>
      <c r="AX7" s="107" t="n">
        <f aca="false">MATCH(AX6,Premissas!$C$5:$G$5,0)</f>
        <v>5</v>
      </c>
      <c r="AY7" s="107" t="n">
        <f aca="false">MATCH(AY6,Premissas!$C$5:$G$5,0)</f>
        <v>5</v>
      </c>
      <c r="AZ7" s="107" t="n">
        <f aca="false">MATCH(AZ6,Premissas!$C$5:$G$5,0)</f>
        <v>5</v>
      </c>
      <c r="BA7" s="107" t="n">
        <f aca="false">MATCH(BA6,Premissas!$C$5:$G$5,0)</f>
        <v>5</v>
      </c>
      <c r="BB7" s="107" t="n">
        <f aca="false">MATCH(BB6,Premissas!$C$5:$G$5,0)</f>
        <v>5</v>
      </c>
      <c r="BC7" s="107" t="n">
        <f aca="false">MATCH(BC6,Premissas!$C$5:$G$5,0)</f>
        <v>5</v>
      </c>
      <c r="BD7" s="107" t="n">
        <f aca="false">MATCH(BD6,Premissas!$C$5:$G$5,0)</f>
        <v>5</v>
      </c>
      <c r="BE7" s="107" t="n">
        <f aca="false">MATCH(BE6,Premissas!$C$5:$G$5,0)</f>
        <v>5</v>
      </c>
      <c r="BF7" s="107" t="n">
        <f aca="false">MATCH(BF6,Premissas!$C$5:$G$5,0)</f>
        <v>5</v>
      </c>
      <c r="BG7" s="107" t="n">
        <f aca="false">MATCH(BG6,Premissas!$C$5:$G$5,0)</f>
        <v>5</v>
      </c>
      <c r="BH7" s="107" t="n">
        <f aca="false">MATCH(BH6,Premissas!$C$5:$G$5,0)</f>
        <v>5</v>
      </c>
      <c r="BI7" s="107" t="n">
        <f aca="false">MATCH(BI6,Premissas!$C$5:$G$5,0)</f>
        <v>5</v>
      </c>
    </row>
    <row r="8" customFormat="false" ht="18" hidden="false" customHeight="true" outlineLevel="0" collapsed="false">
      <c r="A8" s="25" t="s">
        <v>535</v>
      </c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</row>
    <row r="9" customFormat="false" ht="15" hidden="false" customHeight="false" outlineLevel="0" collapsed="false">
      <c r="A9" s="27" t="s">
        <v>536</v>
      </c>
      <c r="B9" s="156" t="n">
        <f aca="false">CHOOSE(Premissas!$B$6,Cenários!B10,Cenários!B56,Cenários!B102)</f>
        <v>0</v>
      </c>
      <c r="C9" s="156" t="n">
        <f aca="false">CHOOSE(Premissas!$B$6,Cenários!C10,Cenários!C56,Cenários!C102)</f>
        <v>0</v>
      </c>
      <c r="D9" s="156" t="n">
        <f aca="false">CHOOSE(Premissas!$B$6,Cenários!D10,Cenários!D56,Cenários!D102)</f>
        <v>0</v>
      </c>
      <c r="E9" s="156" t="n">
        <f aca="false">CHOOSE(Premissas!$B$6,Cenários!E10,Cenários!E56,Cenários!E102)</f>
        <v>0</v>
      </c>
      <c r="F9" s="156" t="n">
        <f aca="false">CHOOSE(Premissas!$B$6,Cenários!F10,Cenários!F56,Cenários!F102)</f>
        <v>0</v>
      </c>
      <c r="G9" s="156" t="n">
        <f aca="false">CHOOSE(Premissas!$B$6,Cenários!G10,Cenários!G56,Cenários!G102)</f>
        <v>0</v>
      </c>
      <c r="H9" s="156" t="n">
        <f aca="false">CHOOSE(Premissas!$B$6,Cenários!H10,Cenários!H56,Cenários!H102)</f>
        <v>0</v>
      </c>
      <c r="I9" s="156" t="n">
        <f aca="false">CHOOSE(Premissas!$B$6,Cenários!I10,Cenários!I56,Cenários!I102)</f>
        <v>0</v>
      </c>
      <c r="J9" s="156" t="n">
        <f aca="false">CHOOSE(Premissas!$B$6,Cenários!J10,Cenários!J56,Cenários!J102)</f>
        <v>0</v>
      </c>
      <c r="K9" s="156" t="n">
        <f aca="false">CHOOSE(Premissas!$B$6,Cenários!K10,Cenários!K56,Cenários!K102)</f>
        <v>18100</v>
      </c>
      <c r="L9" s="156" t="n">
        <f aca="false">CHOOSE(Premissas!$B$6,Cenários!L10,Cenários!L56,Cenários!L102)</f>
        <v>18100</v>
      </c>
      <c r="M9" s="156" t="n">
        <f aca="false">CHOOSE(Premissas!$B$6,Cenários!M10,Cenários!M56,Cenários!M102)</f>
        <v>18100</v>
      </c>
      <c r="N9" s="156" t="n">
        <f aca="false">CHOOSE(Premissas!$B$6,Cenários!N10,Cenários!N56,Cenários!N102)</f>
        <v>27150</v>
      </c>
      <c r="O9" s="156" t="n">
        <f aca="false">CHOOSE(Premissas!$B$6,Cenários!O10,Cenários!O56,Cenários!O102)</f>
        <v>27150</v>
      </c>
      <c r="P9" s="156" t="n">
        <f aca="false">CHOOSE(Premissas!$B$6,Cenários!P10,Cenários!P56,Cenários!P102)</f>
        <v>27150</v>
      </c>
      <c r="Q9" s="156" t="n">
        <f aca="false">CHOOSE(Premissas!$B$6,Cenários!Q10,Cenários!Q56,Cenários!Q102)</f>
        <v>27150</v>
      </c>
      <c r="R9" s="156" t="n">
        <f aca="false">CHOOSE(Premissas!$B$6,Cenários!R10,Cenários!R56,Cenários!R102)</f>
        <v>27150</v>
      </c>
      <c r="S9" s="156" t="n">
        <f aca="false">CHOOSE(Premissas!$B$6,Cenários!S10,Cenários!S56,Cenários!S102)</f>
        <v>27150</v>
      </c>
      <c r="T9" s="156" t="n">
        <f aca="false">CHOOSE(Premissas!$B$6,Cenários!T10,Cenários!T56,Cenários!T102)</f>
        <v>27150</v>
      </c>
      <c r="U9" s="156" t="n">
        <f aca="false">CHOOSE(Premissas!$B$6,Cenários!U10,Cenários!U56,Cenários!U102)</f>
        <v>27150</v>
      </c>
      <c r="V9" s="156" t="n">
        <f aca="false">CHOOSE(Premissas!$B$6,Cenários!V10,Cenários!V56,Cenários!V102)</f>
        <v>27150</v>
      </c>
      <c r="W9" s="156" t="n">
        <f aca="false">CHOOSE(Premissas!$B$6,Cenários!W10,Cenários!W56,Cenários!W102)</f>
        <v>27150</v>
      </c>
      <c r="X9" s="156" t="n">
        <f aca="false">CHOOSE(Premissas!$B$6,Cenários!X10,Cenários!X56,Cenários!X102)</f>
        <v>27150</v>
      </c>
      <c r="Y9" s="156" t="n">
        <f aca="false">CHOOSE(Premissas!$B$6,Cenários!Y10,Cenários!Y56,Cenários!Y102)</f>
        <v>27150</v>
      </c>
      <c r="Z9" s="156" t="n">
        <f aca="false">CHOOSE(Premissas!$B$6,Cenários!Z10,Cenários!Z56,Cenários!Z102)</f>
        <v>40725</v>
      </c>
      <c r="AA9" s="156" t="n">
        <f aca="false">CHOOSE(Premissas!$B$6,Cenários!AA10,Cenários!AA56,Cenários!AA102)</f>
        <v>40725</v>
      </c>
      <c r="AB9" s="156" t="n">
        <f aca="false">CHOOSE(Premissas!$B$6,Cenários!AB10,Cenários!AB56,Cenários!AB102)</f>
        <v>40725</v>
      </c>
      <c r="AC9" s="156" t="n">
        <f aca="false">CHOOSE(Premissas!$B$6,Cenários!AC10,Cenários!AC56,Cenários!AC102)</f>
        <v>40725</v>
      </c>
      <c r="AD9" s="156" t="n">
        <f aca="false">CHOOSE(Premissas!$B$6,Cenários!AD10,Cenários!AD56,Cenários!AD102)</f>
        <v>40725</v>
      </c>
      <c r="AE9" s="156" t="n">
        <f aca="false">CHOOSE(Premissas!$B$6,Cenários!AE10,Cenários!AE56,Cenários!AE102)</f>
        <v>40725</v>
      </c>
      <c r="AF9" s="156" t="n">
        <f aca="false">CHOOSE(Premissas!$B$6,Cenários!AF10,Cenários!AF56,Cenários!AF102)</f>
        <v>40725</v>
      </c>
      <c r="AG9" s="156" t="n">
        <f aca="false">CHOOSE(Premissas!$B$6,Cenários!AG10,Cenários!AG56,Cenários!AG102)</f>
        <v>40725</v>
      </c>
      <c r="AH9" s="156" t="n">
        <f aca="false">CHOOSE(Premissas!$B$6,Cenários!AH10,Cenários!AH56,Cenários!AH102)</f>
        <v>40725</v>
      </c>
      <c r="AI9" s="156" t="n">
        <f aca="false">CHOOSE(Premissas!$B$6,Cenários!AI10,Cenários!AI56,Cenários!AI102)</f>
        <v>40725</v>
      </c>
      <c r="AJ9" s="156" t="n">
        <f aca="false">CHOOSE(Premissas!$B$6,Cenários!AJ10,Cenários!AJ56,Cenários!AJ102)</f>
        <v>40725</v>
      </c>
      <c r="AK9" s="156" t="n">
        <f aca="false">CHOOSE(Premissas!$B$6,Cenários!AK10,Cenários!AK56,Cenários!AK102)</f>
        <v>40725</v>
      </c>
      <c r="AL9" s="156" t="n">
        <f aca="false">CHOOSE(Premissas!$B$6,Cenários!AL10,Cenários!AL56,Cenários!AL102)</f>
        <v>61087.5</v>
      </c>
      <c r="AM9" s="156" t="n">
        <f aca="false">CHOOSE(Premissas!$B$6,Cenários!AM10,Cenários!AM56,Cenários!AM102)</f>
        <v>61087.5</v>
      </c>
      <c r="AN9" s="156" t="n">
        <f aca="false">CHOOSE(Premissas!$B$6,Cenários!AN10,Cenários!AN56,Cenários!AN102)</f>
        <v>61087.5</v>
      </c>
      <c r="AO9" s="156" t="n">
        <f aca="false">CHOOSE(Premissas!$B$6,Cenários!AO10,Cenários!AO56,Cenários!AO102)</f>
        <v>61087.5</v>
      </c>
      <c r="AP9" s="156" t="n">
        <f aca="false">CHOOSE(Premissas!$B$6,Cenários!AP10,Cenários!AP56,Cenários!AP102)</f>
        <v>61087.5</v>
      </c>
      <c r="AQ9" s="156" t="n">
        <f aca="false">CHOOSE(Premissas!$B$6,Cenários!AQ10,Cenários!AQ56,Cenários!AQ102)</f>
        <v>61087.5</v>
      </c>
      <c r="AR9" s="156" t="n">
        <f aca="false">CHOOSE(Premissas!$B$6,Cenários!AR10,Cenários!AR56,Cenários!AR102)</f>
        <v>61087.5</v>
      </c>
      <c r="AS9" s="156" t="n">
        <f aca="false">CHOOSE(Premissas!$B$6,Cenários!AS10,Cenários!AS56,Cenários!AS102)</f>
        <v>61087.5</v>
      </c>
      <c r="AT9" s="156" t="n">
        <f aca="false">CHOOSE(Premissas!$B$6,Cenários!AT10,Cenários!AT56,Cenários!AT102)</f>
        <v>61087.5</v>
      </c>
      <c r="AU9" s="156" t="n">
        <f aca="false">CHOOSE(Premissas!$B$6,Cenários!AU10,Cenários!AU56,Cenários!AU102)</f>
        <v>61087.5</v>
      </c>
      <c r="AV9" s="156" t="n">
        <f aca="false">CHOOSE(Premissas!$B$6,Cenários!AV10,Cenários!AV56,Cenários!AV102)</f>
        <v>61087.5</v>
      </c>
      <c r="AW9" s="156" t="n">
        <f aca="false">CHOOSE(Premissas!$B$6,Cenários!AW10,Cenários!AW56,Cenários!AW102)</f>
        <v>61087.5</v>
      </c>
      <c r="AX9" s="156" t="n">
        <f aca="false">CHOOSE(Premissas!$B$6,Cenários!AX10,Cenários!AX56,Cenários!AX102)</f>
        <v>91631.25</v>
      </c>
      <c r="AY9" s="156" t="n">
        <f aca="false">CHOOSE(Premissas!$B$6,Cenários!AY10,Cenários!AY56,Cenários!AY102)</f>
        <v>91631.25</v>
      </c>
      <c r="AZ9" s="156" t="n">
        <f aca="false">CHOOSE(Premissas!$B$6,Cenários!AZ10,Cenários!AZ56,Cenários!AZ102)</f>
        <v>91631.25</v>
      </c>
      <c r="BA9" s="156" t="n">
        <f aca="false">CHOOSE(Premissas!$B$6,Cenários!BA10,Cenários!BA56,Cenários!BA102)</f>
        <v>91631.25</v>
      </c>
      <c r="BB9" s="156" t="n">
        <f aca="false">CHOOSE(Premissas!$B$6,Cenários!BB10,Cenários!BB56,Cenários!BB102)</f>
        <v>91631.25</v>
      </c>
      <c r="BC9" s="156" t="n">
        <f aca="false">CHOOSE(Premissas!$B$6,Cenários!BC10,Cenários!BC56,Cenários!BC102)</f>
        <v>91631.25</v>
      </c>
      <c r="BD9" s="156" t="n">
        <f aca="false">CHOOSE(Premissas!$B$6,Cenários!BD10,Cenários!BD56,Cenários!BD102)</f>
        <v>91631.25</v>
      </c>
      <c r="BE9" s="156" t="n">
        <f aca="false">CHOOSE(Premissas!$B$6,Cenários!BE10,Cenários!BE56,Cenários!BE102)</f>
        <v>91631.25</v>
      </c>
      <c r="BF9" s="156" t="n">
        <f aca="false">CHOOSE(Premissas!$B$6,Cenários!BF10,Cenários!BF56,Cenários!BF102)</f>
        <v>91631.25</v>
      </c>
      <c r="BG9" s="156" t="n">
        <f aca="false">CHOOSE(Premissas!$B$6,Cenários!BG10,Cenários!BG56,Cenários!BG102)</f>
        <v>91631.25</v>
      </c>
      <c r="BH9" s="156" t="n">
        <f aca="false">CHOOSE(Premissas!$B$6,Cenários!BH10,Cenários!BH56,Cenários!BH102)</f>
        <v>91631.25</v>
      </c>
      <c r="BI9" s="156" t="n">
        <f aca="false">CHOOSE(Premissas!$B$6,Cenários!BI10,Cenários!BI56,Cenários!BI102)</f>
        <v>91631.25</v>
      </c>
      <c r="BJ9" s="109" t="n">
        <f aca="false">SUM(B9:BI9)</f>
        <v>2701425</v>
      </c>
    </row>
    <row r="10" customFormat="false" ht="15" hidden="false" customHeight="false" outlineLevel="0" collapsed="false">
      <c r="A10" s="27" t="s">
        <v>537</v>
      </c>
      <c r="B10" s="156" t="n">
        <f aca="false">CHOOSE(Premissas!$B$6,Cenários!B11,Cenários!B57,Cenários!B103)</f>
        <v>0</v>
      </c>
      <c r="C10" s="156" t="n">
        <f aca="false">CHOOSE(Premissas!$B$6,Cenários!C11,Cenários!C57,Cenários!C103)</f>
        <v>0</v>
      </c>
      <c r="D10" s="156" t="n">
        <f aca="false">CHOOSE(Premissas!$B$6,Cenários!D11,Cenários!D57,Cenários!D103)</f>
        <v>0</v>
      </c>
      <c r="E10" s="156" t="n">
        <f aca="false">CHOOSE(Premissas!$B$6,Cenários!E11,Cenários!E57,Cenários!E103)</f>
        <v>0</v>
      </c>
      <c r="F10" s="156" t="n">
        <f aca="false">CHOOSE(Premissas!$B$6,Cenários!F11,Cenários!F57,Cenários!F103)</f>
        <v>0</v>
      </c>
      <c r="G10" s="156" t="n">
        <f aca="false">CHOOSE(Premissas!$B$6,Cenários!G11,Cenários!G57,Cenários!G103)</f>
        <v>0</v>
      </c>
      <c r="H10" s="156" t="n">
        <f aca="false">CHOOSE(Premissas!$B$6,Cenários!H11,Cenários!H57,Cenários!H103)</f>
        <v>0</v>
      </c>
      <c r="I10" s="156" t="n">
        <f aca="false">CHOOSE(Premissas!$B$6,Cenários!I11,Cenários!I57,Cenários!I103)</f>
        <v>0</v>
      </c>
      <c r="J10" s="156" t="n">
        <f aca="false">CHOOSE(Premissas!$B$6,Cenários!J11,Cenários!J57,Cenários!J103)</f>
        <v>0</v>
      </c>
      <c r="K10" s="156" t="n">
        <f aca="false">CHOOSE(Premissas!$B$6,Cenários!K11,Cenários!K57,Cenários!K103)</f>
        <v>0</v>
      </c>
      <c r="L10" s="156" t="n">
        <f aca="false">CHOOSE(Premissas!$B$6,Cenários!L11,Cenários!L57,Cenários!L103)</f>
        <v>18100</v>
      </c>
      <c r="M10" s="156" t="n">
        <f aca="false">CHOOSE(Premissas!$B$6,Cenários!M11,Cenários!M57,Cenários!M103)</f>
        <v>34752</v>
      </c>
      <c r="N10" s="156" t="n">
        <f aca="false">CHOOSE(Premissas!$B$6,Cenários!N11,Cenários!N57,Cenários!N103)</f>
        <v>50071.84</v>
      </c>
      <c r="O10" s="156" t="n">
        <f aca="false">CHOOSE(Premissas!$B$6,Cenários!O11,Cenários!O57,Cenários!O103)</f>
        <v>73456.437632</v>
      </c>
      <c r="P10" s="156" t="n">
        <f aca="false">CHOOSE(Premissas!$B$6,Cenários!P11,Cenários!P57,Cenários!P103)</f>
        <v>95082.5135220736</v>
      </c>
      <c r="Q10" s="156" t="n">
        <f aca="false">CHOOSE(Premissas!$B$6,Cenários!Q11,Cenários!Q57,Cenários!Q103)</f>
        <v>115082.308505214</v>
      </c>
      <c r="R10" s="156" t="n">
        <f aca="false">CHOOSE(Premissas!$B$6,Cenários!R11,Cenários!R57,Cenários!R103)</f>
        <v>133578.118905622</v>
      </c>
      <c r="S10" s="156" t="n">
        <f aca="false">CHOOSE(Premissas!$B$6,Cenários!S11,Cenários!S57,Cenários!S103)</f>
        <v>150683.044363919</v>
      </c>
      <c r="T10" s="156" t="n">
        <f aca="false">CHOOSE(Premissas!$B$6,Cenários!T11,Cenários!T57,Cenários!T103)</f>
        <v>166501.679427752</v>
      </c>
      <c r="U10" s="156" t="n">
        <f aca="false">CHOOSE(Premissas!$B$6,Cenários!U11,Cenários!U57,Cenários!U103)</f>
        <v>181130.753134785</v>
      </c>
      <c r="V10" s="156" t="n">
        <f aca="false">CHOOSE(Premissas!$B$6,Cenários!V11,Cenários!V57,Cenários!V103)</f>
        <v>194659.720499049</v>
      </c>
      <c r="W10" s="156" t="n">
        <f aca="false">CHOOSE(Premissas!$B$6,Cenários!W11,Cenários!W57,Cenários!W103)</f>
        <v>207171.309517521</v>
      </c>
      <c r="X10" s="156" t="n">
        <f aca="false">CHOOSE(Premissas!$B$6,Cenários!X11,Cenários!X57,Cenários!X103)</f>
        <v>218742.027041803</v>
      </c>
      <c r="Y10" s="156" t="n">
        <f aca="false">CHOOSE(Premissas!$B$6,Cenários!Y11,Cenários!Y57,Cenários!Y103)</f>
        <v>229442.62660826</v>
      </c>
      <c r="Z10" s="156" t="n">
        <f aca="false">CHOOSE(Premissas!$B$6,Cenários!Z11,Cenários!Z57,Cenários!Z103)</f>
        <v>239338.541087319</v>
      </c>
      <c r="AA10" s="156" t="n">
        <f aca="false">CHOOSE(Premissas!$B$6,Cenários!AA11,Cenários!AA57,Cenários!AA103)</f>
        <v>263145.178294938</v>
      </c>
      <c r="AB10" s="156" t="n">
        <f aca="false">CHOOSE(Premissas!$B$6,Cenários!AB11,Cenários!AB57,Cenários!AB103)</f>
        <v>285268.971931626</v>
      </c>
      <c r="AC10" s="156" t="n">
        <f aca="false">CHOOSE(Premissas!$B$6,Cenários!AC11,Cenários!AC57,Cenários!AC103)</f>
        <v>305828.878843723</v>
      </c>
      <c r="AD10" s="156" t="n">
        <f aca="false">CHOOSE(Premissas!$B$6,Cenários!AD11,Cenários!AD57,Cenários!AD103)</f>
        <v>324935.447056018</v>
      </c>
      <c r="AE10" s="156" t="n">
        <f aca="false">CHOOSE(Premissas!$B$6,Cenários!AE11,Cenários!AE57,Cenários!AE103)</f>
        <v>342691.410174522</v>
      </c>
      <c r="AF10" s="156" t="n">
        <f aca="false">CHOOSE(Premissas!$B$6,Cenários!AF11,Cenários!AF57,Cenários!AF103)</f>
        <v>359192.239772105</v>
      </c>
      <c r="AG10" s="156" t="n">
        <f aca="false">CHOOSE(Premissas!$B$6,Cenários!AG11,Cenários!AG57,Cenários!AG103)</f>
        <v>374526.658727095</v>
      </c>
      <c r="AH10" s="156" t="n">
        <f aca="false">CHOOSE(Premissas!$B$6,Cenários!AH11,Cenários!AH57,Cenários!AH103)</f>
        <v>388777.118274994</v>
      </c>
      <c r="AI10" s="156" t="n">
        <f aca="false">CHOOSE(Premissas!$B$6,Cenários!AI11,Cenários!AI57,Cenários!AI103)</f>
        <v>402020.241338371</v>
      </c>
      <c r="AJ10" s="156" t="n">
        <f aca="false">CHOOSE(Premissas!$B$6,Cenários!AJ11,Cenários!AJ57,Cenários!AJ103)</f>
        <v>414327.234518644</v>
      </c>
      <c r="AK10" s="156" t="n">
        <f aca="false">CHOOSE(Premissas!$B$6,Cenários!AK11,Cenários!AK57,Cenários!AK103)</f>
        <v>425764.27096499</v>
      </c>
      <c r="AL10" s="156" t="n">
        <f aca="false">CHOOSE(Premissas!$B$6,Cenários!AL11,Cenários!AL57,Cenários!AL103)</f>
        <v>436392.846179017</v>
      </c>
      <c r="AM10" s="156" t="n">
        <f aca="false">CHOOSE(Premissas!$B$6,Cenários!AM11,Cenários!AM57,Cenários!AM103)</f>
        <v>468483.472918957</v>
      </c>
      <c r="AN10" s="156" t="n">
        <f aca="false">CHOOSE(Premissas!$B$6,Cenários!AN11,Cenários!AN57,Cenários!AN103)</f>
        <v>498441.782769284</v>
      </c>
      <c r="AO10" s="156" t="n">
        <f aca="false">CHOOSE(Premissas!$B$6,Cenários!AO11,Cenários!AO57,Cenários!AO103)</f>
        <v>526409.461193312</v>
      </c>
      <c r="AP10" s="156" t="n">
        <f aca="false">CHOOSE(Premissas!$B$6,Cenários!AP11,Cenários!AP57,Cenários!AP103)</f>
        <v>552518.779120049</v>
      </c>
      <c r="AQ10" s="156" t="n">
        <f aca="false">CHOOSE(Premissas!$B$6,Cenários!AQ11,Cenários!AQ57,Cenários!AQ103)</f>
        <v>576893.218509117</v>
      </c>
      <c r="AR10" s="156" t="n">
        <f aca="false">CHOOSE(Premissas!$B$6,Cenários!AR11,Cenários!AR57,Cenários!AR103)</f>
        <v>599648.056348943</v>
      </c>
      <c r="AS10" s="156" t="n">
        <f aca="false">CHOOSE(Premissas!$B$6,Cenários!AS11,Cenários!AS57,Cenários!AS103)</f>
        <v>620890.909850181</v>
      </c>
      <c r="AT10" s="156" t="n">
        <f aca="false">CHOOSE(Premissas!$B$6,Cenários!AT11,Cenários!AT57,Cenários!AT103)</f>
        <v>640722.245412821</v>
      </c>
      <c r="AU10" s="156" t="n">
        <f aca="false">CHOOSE(Premissas!$B$6,Cenários!AU11,Cenários!AU57,Cenários!AU103)</f>
        <v>659235.853774104</v>
      </c>
      <c r="AV10" s="156" t="n">
        <f aca="false">CHOOSE(Premissas!$B$6,Cenários!AV11,Cenários!AV57,Cenários!AV103)</f>
        <v>676519.293584415</v>
      </c>
      <c r="AW10" s="156" t="n">
        <f aca="false">CHOOSE(Premissas!$B$6,Cenários!AW11,Cenários!AW57,Cenários!AW103)</f>
        <v>692654.305509013</v>
      </c>
      <c r="AX10" s="156" t="n">
        <f aca="false">CHOOSE(Premissas!$B$6,Cenários!AX11,Cenários!AX57,Cenários!AX103)</f>
        <v>707717.198814062</v>
      </c>
      <c r="AY10" s="156" t="n">
        <f aca="false">CHOOSE(Premissas!$B$6,Cenários!AY11,Cenários!AY57,Cenários!AY103)</f>
        <v>755144.491458206</v>
      </c>
      <c r="AZ10" s="156" t="n">
        <f aca="false">CHOOSE(Premissas!$B$6,Cenários!AZ11,Cenários!AZ57,Cenários!AZ103)</f>
        <v>799609.479349748</v>
      </c>
      <c r="BA10" s="156" t="n">
        <f aca="false">CHOOSE(Premissas!$B$6,Cenários!BA11,Cenários!BA57,Cenários!BA103)</f>
        <v>841297.187797072</v>
      </c>
      <c r="BB10" s="156" t="n">
        <f aca="false">CHOOSE(Premissas!$B$6,Cenários!BB11,Cenários!BB57,Cenários!BB103)</f>
        <v>880381.085443193</v>
      </c>
      <c r="BC10" s="156" t="n">
        <f aca="false">CHOOSE(Premissas!$B$6,Cenários!BC11,Cenários!BC57,Cenários!BC103)</f>
        <v>917023.806094117</v>
      </c>
      <c r="BD10" s="156" t="n">
        <f aca="false">CHOOSE(Premissas!$B$6,Cenários!BD11,Cenários!BD57,Cenários!BD103)</f>
        <v>951377.825461859</v>
      </c>
      <c r="BE10" s="156" t="n">
        <f aca="false">CHOOSE(Premissas!$B$6,Cenários!BE11,Cenários!BE57,Cenários!BE103)</f>
        <v>983586.095638147</v>
      </c>
      <c r="BF10" s="156" t="n">
        <f aca="false">CHOOSE(Premissas!$B$6,Cenários!BF11,Cenários!BF57,Cenários!BF103)</f>
        <v>1013782.63993895</v>
      </c>
      <c r="BG10" s="156" t="n">
        <f aca="false">CHOOSE(Premissas!$B$6,Cenários!BG11,Cenários!BG57,Cenários!BG103)</f>
        <v>1042093.11059508</v>
      </c>
      <c r="BH10" s="156" t="n">
        <f aca="false">CHOOSE(Premissas!$B$6,Cenários!BH11,Cenários!BH57,Cenários!BH103)</f>
        <v>1068635.31160946</v>
      </c>
      <c r="BI10" s="156" t="n">
        <f aca="false">CHOOSE(Premissas!$B$6,Cenários!BI11,Cenários!BI57,Cenários!BI103)</f>
        <v>1093519.68895679</v>
      </c>
      <c r="BJ10" s="109" t="n">
        <f aca="false">BI10</f>
        <v>1093519.68895679</v>
      </c>
      <c r="BK10" s="29" t="s">
        <v>538</v>
      </c>
    </row>
    <row r="11" customFormat="false" ht="15" hidden="false" customHeight="false" outlineLevel="0" collapsed="false">
      <c r="A11" s="27" t="s">
        <v>539</v>
      </c>
      <c r="B11" s="156" t="n">
        <f aca="false">CHOOSE(Premissas!$B$6,Cenários!B12,Cenários!B58,Cenários!B104)</f>
        <v>-0</v>
      </c>
      <c r="C11" s="156" t="n">
        <f aca="false">CHOOSE(Premissas!$B$6,Cenários!C12,Cenários!C58,Cenários!C104)</f>
        <v>-0</v>
      </c>
      <c r="D11" s="156" t="n">
        <f aca="false">CHOOSE(Premissas!$B$6,Cenários!D12,Cenários!D58,Cenários!D104)</f>
        <v>-0</v>
      </c>
      <c r="E11" s="156" t="n">
        <f aca="false">CHOOSE(Premissas!$B$6,Cenários!E12,Cenários!E58,Cenários!E104)</f>
        <v>-0</v>
      </c>
      <c r="F11" s="156" t="n">
        <f aca="false">CHOOSE(Premissas!$B$6,Cenários!F12,Cenários!F58,Cenários!F104)</f>
        <v>-0</v>
      </c>
      <c r="G11" s="156" t="n">
        <f aca="false">CHOOSE(Premissas!$B$6,Cenários!G12,Cenários!G58,Cenários!G104)</f>
        <v>-0</v>
      </c>
      <c r="H11" s="156" t="n">
        <f aca="false">CHOOSE(Premissas!$B$6,Cenários!H12,Cenários!H58,Cenários!H104)</f>
        <v>-0</v>
      </c>
      <c r="I11" s="156" t="n">
        <f aca="false">CHOOSE(Premissas!$B$6,Cenários!I12,Cenários!I58,Cenários!I104)</f>
        <v>-0</v>
      </c>
      <c r="J11" s="156" t="n">
        <f aca="false">CHOOSE(Premissas!$B$6,Cenários!J12,Cenários!J58,Cenários!J104)</f>
        <v>-0</v>
      </c>
      <c r="K11" s="156" t="n">
        <f aca="false">CHOOSE(Premissas!$B$6,Cenários!K12,Cenários!K58,Cenários!K104)</f>
        <v>-0</v>
      </c>
      <c r="L11" s="156" t="n">
        <f aca="false">CHOOSE(Premissas!$B$6,Cenários!L12,Cenários!L58,Cenários!L104)</f>
        <v>-1448</v>
      </c>
      <c r="M11" s="156" t="n">
        <f aca="false">CHOOSE(Premissas!$B$6,Cenários!M12,Cenários!M58,Cenários!M104)</f>
        <v>-2780.16</v>
      </c>
      <c r="N11" s="156" t="n">
        <f aca="false">CHOOSE(Premissas!$B$6,Cenários!N12,Cenários!N58,Cenários!N104)</f>
        <v>-3765.402368</v>
      </c>
      <c r="O11" s="156" t="n">
        <f aca="false">CHOOSE(Premissas!$B$6,Cenários!O12,Cenários!O58,Cenários!O104)</f>
        <v>-5523.9241099264</v>
      </c>
      <c r="P11" s="156" t="n">
        <f aca="false">CHOOSE(Premissas!$B$6,Cenários!P12,Cenários!P58,Cenários!P104)</f>
        <v>-7150.20501685993</v>
      </c>
      <c r="Q11" s="156" t="n">
        <f aca="false">CHOOSE(Premissas!$B$6,Cenários!Q12,Cenários!Q58,Cenários!Q104)</f>
        <v>-8654.18959959207</v>
      </c>
      <c r="R11" s="156" t="n">
        <f aca="false">CHOOSE(Premissas!$B$6,Cenários!R12,Cenários!R58,Cenários!R104)</f>
        <v>-10045.0745417027</v>
      </c>
      <c r="S11" s="156" t="n">
        <f aca="false">CHOOSE(Premissas!$B$6,Cenários!S12,Cenários!S58,Cenários!S104)</f>
        <v>-11331.3649361667</v>
      </c>
      <c r="T11" s="156" t="n">
        <f aca="false">CHOOSE(Premissas!$B$6,Cenários!T12,Cenários!T58,Cenários!T104)</f>
        <v>-12520.926292967</v>
      </c>
      <c r="U11" s="156" t="n">
        <f aca="false">CHOOSE(Premissas!$B$6,Cenários!U12,Cenários!U58,Cenários!U104)</f>
        <v>-13621.0326357358</v>
      </c>
      <c r="V11" s="156" t="n">
        <f aca="false">CHOOSE(Premissas!$B$6,Cenários!V12,Cenários!V58,Cenários!V104)</f>
        <v>-14638.4109815285</v>
      </c>
      <c r="W11" s="156" t="n">
        <f aca="false">CHOOSE(Premissas!$B$6,Cenários!W12,Cenários!W58,Cenários!W104)</f>
        <v>-15579.2824757176</v>
      </c>
      <c r="X11" s="156" t="n">
        <f aca="false">CHOOSE(Premissas!$B$6,Cenários!X12,Cenários!X58,Cenários!X104)</f>
        <v>-16449.4004335436</v>
      </c>
      <c r="Y11" s="156" t="n">
        <f aca="false">CHOOSE(Premissas!$B$6,Cenários!Y12,Cenários!Y58,Cenários!Y104)</f>
        <v>-17254.0855209411</v>
      </c>
      <c r="Z11" s="156" t="n">
        <f aca="false">CHOOSE(Premissas!$B$6,Cenários!Z12,Cenários!Z58,Cenários!Z104)</f>
        <v>-16918.3627923804</v>
      </c>
      <c r="AA11" s="156" t="n">
        <f aca="false">CHOOSE(Premissas!$B$6,Cenários!AA12,Cenários!AA58,Cenários!AA104)</f>
        <v>-18601.2063633126</v>
      </c>
      <c r="AB11" s="156" t="n">
        <f aca="false">CHOOSE(Premissas!$B$6,Cenários!AB12,Cenários!AB58,Cenários!AB104)</f>
        <v>-20165.0930879028</v>
      </c>
      <c r="AC11" s="156" t="n">
        <f aca="false">CHOOSE(Premissas!$B$6,Cenários!AC12,Cenários!AC58,Cenários!AC104)</f>
        <v>-21618.4317877051</v>
      </c>
      <c r="AD11" s="156" t="n">
        <f aca="false">CHOOSE(Premissas!$B$6,Cenários!AD12,Cenários!AD58,Cenários!AD104)</f>
        <v>-22969.0368814958</v>
      </c>
      <c r="AE11" s="156" t="n">
        <f aca="false">CHOOSE(Premissas!$B$6,Cenários!AE12,Cenários!AE58,Cenários!AE104)</f>
        <v>-24224.1704024166</v>
      </c>
      <c r="AF11" s="156" t="n">
        <f aca="false">CHOOSE(Premissas!$B$6,Cenários!AF12,Cenários!AF58,Cenários!AF104)</f>
        <v>-25390.5810450106</v>
      </c>
      <c r="AG11" s="156" t="n">
        <f aca="false">CHOOSE(Premissas!$B$6,Cenários!AG12,Cenários!AG58,Cenários!AG104)</f>
        <v>-26474.5404521009</v>
      </c>
      <c r="AH11" s="156" t="n">
        <f aca="false">CHOOSE(Premissas!$B$6,Cenários!AH12,Cenários!AH58,Cenários!AH104)</f>
        <v>-27481.8769366228</v>
      </c>
      <c r="AI11" s="156" t="n">
        <f aca="false">CHOOSE(Premissas!$B$6,Cenários!AI12,Cenários!AI58,Cenários!AI104)</f>
        <v>-28418.0068197268</v>
      </c>
      <c r="AJ11" s="156" t="n">
        <f aca="false">CHOOSE(Premissas!$B$6,Cenários!AJ12,Cenários!AJ58,Cenários!AJ104)</f>
        <v>-29287.9635536539</v>
      </c>
      <c r="AK11" s="156" t="n">
        <f aca="false">CHOOSE(Premissas!$B$6,Cenários!AK12,Cenários!AK58,Cenários!AK104)</f>
        <v>-30096.4247859732</v>
      </c>
      <c r="AL11" s="156" t="n">
        <f aca="false">CHOOSE(Premissas!$B$6,Cenários!AL12,Cenários!AL58,Cenários!AL104)</f>
        <v>-28996.8732600602</v>
      </c>
      <c r="AM11" s="156" t="n">
        <f aca="false">CHOOSE(Premissas!$B$6,Cenários!AM12,Cenários!AM58,Cenários!AM104)</f>
        <v>-31129.1901496735</v>
      </c>
      <c r="AN11" s="156" t="n">
        <f aca="false">CHOOSE(Premissas!$B$6,Cenários!AN12,Cenários!AN58,Cenários!AN104)</f>
        <v>-33119.8215759714</v>
      </c>
      <c r="AO11" s="156" t="n">
        <f aca="false">CHOOSE(Premissas!$B$6,Cenários!AO12,Cenários!AO58,Cenários!AO104)</f>
        <v>-34978.1820732629</v>
      </c>
      <c r="AP11" s="156" t="n">
        <f aca="false">CHOOSE(Premissas!$B$6,Cenários!AP12,Cenários!AP58,Cenários!AP104)</f>
        <v>-36713.0606109318</v>
      </c>
      <c r="AQ11" s="156" t="n">
        <f aca="false">CHOOSE(Premissas!$B$6,Cenários!AQ12,Cenários!AQ58,Cenários!AQ104)</f>
        <v>-38332.6621601741</v>
      </c>
      <c r="AR11" s="156" t="n">
        <f aca="false">CHOOSE(Premissas!$B$6,Cenários!AR12,Cenários!AR58,Cenários!AR104)</f>
        <v>-39844.6464987625</v>
      </c>
      <c r="AS11" s="156" t="n">
        <f aca="false">CHOOSE(Premissas!$B$6,Cenários!AS12,Cenários!AS58,Cenários!AS104)</f>
        <v>-41256.1644373602</v>
      </c>
      <c r="AT11" s="156" t="n">
        <f aca="false">CHOOSE(Premissas!$B$6,Cenários!AT12,Cenários!AT58,Cenários!AT104)</f>
        <v>-42573.891638717</v>
      </c>
      <c r="AU11" s="156" t="n">
        <f aca="false">CHOOSE(Premissas!$B$6,Cenários!AU12,Cenários!AU58,Cenários!AU104)</f>
        <v>-43804.0601896888</v>
      </c>
      <c r="AV11" s="156" t="n">
        <f aca="false">CHOOSE(Premissas!$B$6,Cenários!AV12,Cenários!AV58,Cenários!AV104)</f>
        <v>-44952.4880754014</v>
      </c>
      <c r="AW11" s="156" t="n">
        <f aca="false">CHOOSE(Premissas!$B$6,Cenários!AW12,Cenários!AW58,Cenários!AW104)</f>
        <v>-46024.6066949519</v>
      </c>
      <c r="AX11" s="156" t="n">
        <f aca="false">CHOOSE(Premissas!$B$6,Cenários!AX12,Cenários!AX58,Cenários!AX104)</f>
        <v>-44203.9573558553</v>
      </c>
      <c r="AY11" s="156" t="n">
        <f aca="false">CHOOSE(Premissas!$B$6,Cenários!AY12,Cenários!AY58,Cenários!AY104)</f>
        <v>-47166.2621084579</v>
      </c>
      <c r="AZ11" s="156" t="n">
        <f aca="false">CHOOSE(Premissas!$B$6,Cenários!AZ12,Cenários!AZ58,Cenários!AZ104)</f>
        <v>-49943.5415526766</v>
      </c>
      <c r="BA11" s="156" t="n">
        <f aca="false">CHOOSE(Premissas!$B$6,Cenários!BA12,Cenários!BA58,Cenários!BA104)</f>
        <v>-52547.3523538791</v>
      </c>
      <c r="BB11" s="156" t="n">
        <f aca="false">CHOOSE(Premissas!$B$6,Cenários!BB12,Cenários!BB58,Cenários!BB104)</f>
        <v>-54988.5293490755</v>
      </c>
      <c r="BC11" s="156" t="n">
        <f aca="false">CHOOSE(Premissas!$B$6,Cenários!BC12,Cenários!BC58,Cenários!BC104)</f>
        <v>-57277.2306322579</v>
      </c>
      <c r="BD11" s="156" t="n">
        <f aca="false">CHOOSE(Premissas!$B$6,Cenários!BD12,Cenários!BD58,Cenários!BD104)</f>
        <v>-59422.9798237126</v>
      </c>
      <c r="BE11" s="156" t="n">
        <f aca="false">CHOOSE(Premissas!$B$6,Cenários!BE12,Cenários!BE58,Cenários!BE104)</f>
        <v>-61434.7056991955</v>
      </c>
      <c r="BF11" s="156" t="n">
        <f aca="false">CHOOSE(Premissas!$B$6,Cenários!BF12,Cenários!BF58,Cenários!BF104)</f>
        <v>-63320.7793438712</v>
      </c>
      <c r="BG11" s="156" t="n">
        <f aca="false">CHOOSE(Premissas!$B$6,Cenários!BG12,Cenários!BG58,Cenários!BG104)</f>
        <v>-65089.0489856219</v>
      </c>
      <c r="BH11" s="156" t="n">
        <f aca="false">CHOOSE(Premissas!$B$6,Cenários!BH12,Cenários!BH58,Cenários!BH104)</f>
        <v>-66746.8726526688</v>
      </c>
      <c r="BI11" s="156" t="n">
        <f aca="false">CHOOSE(Premissas!$B$6,Cenários!BI12,Cenários!BI58,Cenários!BI104)</f>
        <v>-68301.1487914029</v>
      </c>
      <c r="BJ11" s="109" t="n">
        <f aca="false">SUM(B11:BI11)</f>
        <v>-1584575.20983461</v>
      </c>
    </row>
    <row r="12" customFormat="false" ht="15" hidden="false" customHeight="false" outlineLevel="0" collapsed="false">
      <c r="A12" s="51" t="s">
        <v>540</v>
      </c>
      <c r="B12" s="157" t="n">
        <f aca="false">CHOOSE(Premissas!$B$6,Cenários!B13,Cenários!B59,Cenários!B105)</f>
        <v>0</v>
      </c>
      <c r="C12" s="157" t="n">
        <f aca="false">CHOOSE(Premissas!$B$6,Cenários!C13,Cenários!C59,Cenários!C105)</f>
        <v>0</v>
      </c>
      <c r="D12" s="157" t="n">
        <f aca="false">CHOOSE(Premissas!$B$6,Cenários!D13,Cenários!D59,Cenários!D105)</f>
        <v>0</v>
      </c>
      <c r="E12" s="157" t="n">
        <f aca="false">CHOOSE(Premissas!$B$6,Cenários!E13,Cenários!E59,Cenários!E105)</f>
        <v>0</v>
      </c>
      <c r="F12" s="157" t="n">
        <f aca="false">CHOOSE(Premissas!$B$6,Cenários!F13,Cenários!F59,Cenários!F105)</f>
        <v>0</v>
      </c>
      <c r="G12" s="157" t="n">
        <f aca="false">CHOOSE(Premissas!$B$6,Cenários!G13,Cenários!G59,Cenários!G105)</f>
        <v>0</v>
      </c>
      <c r="H12" s="157" t="n">
        <f aca="false">CHOOSE(Premissas!$B$6,Cenários!H13,Cenários!H59,Cenários!H105)</f>
        <v>0</v>
      </c>
      <c r="I12" s="157" t="n">
        <f aca="false">CHOOSE(Premissas!$B$6,Cenários!I13,Cenários!I59,Cenários!I105)</f>
        <v>0</v>
      </c>
      <c r="J12" s="157" t="n">
        <f aca="false">CHOOSE(Premissas!$B$6,Cenários!J13,Cenários!J59,Cenários!J105)</f>
        <v>0</v>
      </c>
      <c r="K12" s="157" t="n">
        <f aca="false">CHOOSE(Premissas!$B$6,Cenários!K13,Cenários!K59,Cenários!K105)</f>
        <v>18100</v>
      </c>
      <c r="L12" s="157" t="n">
        <f aca="false">CHOOSE(Premissas!$B$6,Cenários!L13,Cenários!L59,Cenários!L105)</f>
        <v>34752</v>
      </c>
      <c r="M12" s="157" t="n">
        <f aca="false">CHOOSE(Premissas!$B$6,Cenários!M13,Cenários!M59,Cenários!M105)</f>
        <v>50071.84</v>
      </c>
      <c r="N12" s="157" t="n">
        <f aca="false">CHOOSE(Premissas!$B$6,Cenários!N13,Cenários!N59,Cenários!N105)</f>
        <v>73456.437632</v>
      </c>
      <c r="O12" s="157" t="n">
        <f aca="false">CHOOSE(Premissas!$B$6,Cenários!O13,Cenários!O59,Cenários!O105)</f>
        <v>95082.5135220736</v>
      </c>
      <c r="P12" s="157" t="n">
        <f aca="false">CHOOSE(Premissas!$B$6,Cenários!P13,Cenários!P59,Cenários!P105)</f>
        <v>115082.308505214</v>
      </c>
      <c r="Q12" s="157" t="n">
        <f aca="false">CHOOSE(Premissas!$B$6,Cenários!Q13,Cenários!Q59,Cenários!Q105)</f>
        <v>133578.118905622</v>
      </c>
      <c r="R12" s="157" t="n">
        <f aca="false">CHOOSE(Premissas!$B$6,Cenários!R13,Cenários!R59,Cenários!R105)</f>
        <v>150683.044363919</v>
      </c>
      <c r="S12" s="157" t="n">
        <f aca="false">CHOOSE(Premissas!$B$6,Cenários!S13,Cenários!S59,Cenários!S105)</f>
        <v>166501.679427752</v>
      </c>
      <c r="T12" s="157" t="n">
        <f aca="false">CHOOSE(Premissas!$B$6,Cenários!T13,Cenários!T59,Cenários!T105)</f>
        <v>181130.753134785</v>
      </c>
      <c r="U12" s="157" t="n">
        <f aca="false">CHOOSE(Premissas!$B$6,Cenários!U13,Cenários!U59,Cenários!U105)</f>
        <v>194659.720499049</v>
      </c>
      <c r="V12" s="157" t="n">
        <f aca="false">CHOOSE(Premissas!$B$6,Cenários!V13,Cenários!V59,Cenários!V105)</f>
        <v>207171.309517521</v>
      </c>
      <c r="W12" s="157" t="n">
        <f aca="false">CHOOSE(Premissas!$B$6,Cenários!W13,Cenários!W59,Cenários!W105)</f>
        <v>218742.027041803</v>
      </c>
      <c r="X12" s="157" t="n">
        <f aca="false">CHOOSE(Premissas!$B$6,Cenários!X13,Cenários!X59,Cenários!X105)</f>
        <v>229442.62660826</v>
      </c>
      <c r="Y12" s="157" t="n">
        <f aca="false">CHOOSE(Premissas!$B$6,Cenários!Y13,Cenários!Y59,Cenários!Y105)</f>
        <v>239338.541087319</v>
      </c>
      <c r="Z12" s="157" t="n">
        <f aca="false">CHOOSE(Premissas!$B$6,Cenários!Z13,Cenários!Z59,Cenários!Z105)</f>
        <v>263145.178294938</v>
      </c>
      <c r="AA12" s="157" t="n">
        <f aca="false">CHOOSE(Premissas!$B$6,Cenários!AA13,Cenários!AA59,Cenários!AA105)</f>
        <v>285268.971931626</v>
      </c>
      <c r="AB12" s="157" t="n">
        <f aca="false">CHOOSE(Premissas!$B$6,Cenários!AB13,Cenários!AB59,Cenários!AB105)</f>
        <v>305828.878843723</v>
      </c>
      <c r="AC12" s="157" t="n">
        <f aca="false">CHOOSE(Premissas!$B$6,Cenários!AC13,Cenários!AC59,Cenários!AC105)</f>
        <v>324935.447056018</v>
      </c>
      <c r="AD12" s="157" t="n">
        <f aca="false">CHOOSE(Premissas!$B$6,Cenários!AD13,Cenários!AD59,Cenários!AD105)</f>
        <v>342691.410174522</v>
      </c>
      <c r="AE12" s="157" t="n">
        <f aca="false">CHOOSE(Premissas!$B$6,Cenários!AE13,Cenários!AE59,Cenários!AE105)</f>
        <v>359192.239772105</v>
      </c>
      <c r="AF12" s="157" t="n">
        <f aca="false">CHOOSE(Premissas!$B$6,Cenários!AF13,Cenários!AF59,Cenários!AF105)</f>
        <v>374526.658727095</v>
      </c>
      <c r="AG12" s="157" t="n">
        <f aca="false">CHOOSE(Premissas!$B$6,Cenários!AG13,Cenários!AG59,Cenários!AG105)</f>
        <v>388777.118274994</v>
      </c>
      <c r="AH12" s="157" t="n">
        <f aca="false">CHOOSE(Premissas!$B$6,Cenários!AH13,Cenários!AH59,Cenários!AH105)</f>
        <v>402020.241338371</v>
      </c>
      <c r="AI12" s="157" t="n">
        <f aca="false">CHOOSE(Premissas!$B$6,Cenários!AI13,Cenários!AI59,Cenários!AI105)</f>
        <v>414327.234518644</v>
      </c>
      <c r="AJ12" s="157" t="n">
        <f aca="false">CHOOSE(Premissas!$B$6,Cenários!AJ13,Cenários!AJ59,Cenários!AJ105)</f>
        <v>425764.27096499</v>
      </c>
      <c r="AK12" s="157" t="n">
        <f aca="false">CHOOSE(Premissas!$B$6,Cenários!AK13,Cenários!AK59,Cenários!AK105)</f>
        <v>436392.846179017</v>
      </c>
      <c r="AL12" s="157" t="n">
        <f aca="false">CHOOSE(Premissas!$B$6,Cenários!AL13,Cenários!AL59,Cenários!AL105)</f>
        <v>468483.472918957</v>
      </c>
      <c r="AM12" s="157" t="n">
        <f aca="false">CHOOSE(Premissas!$B$6,Cenários!AM13,Cenários!AM59,Cenários!AM105)</f>
        <v>498441.782769284</v>
      </c>
      <c r="AN12" s="157" t="n">
        <f aca="false">CHOOSE(Premissas!$B$6,Cenários!AN13,Cenários!AN59,Cenários!AN105)</f>
        <v>526409.461193312</v>
      </c>
      <c r="AO12" s="157" t="n">
        <f aca="false">CHOOSE(Premissas!$B$6,Cenários!AO13,Cenários!AO59,Cenários!AO105)</f>
        <v>552518.779120049</v>
      </c>
      <c r="AP12" s="157" t="n">
        <f aca="false">CHOOSE(Premissas!$B$6,Cenários!AP13,Cenários!AP59,Cenários!AP105)</f>
        <v>576893.218509117</v>
      </c>
      <c r="AQ12" s="157" t="n">
        <f aca="false">CHOOSE(Premissas!$B$6,Cenários!AQ13,Cenários!AQ59,Cenários!AQ105)</f>
        <v>599648.056348943</v>
      </c>
      <c r="AR12" s="157" t="n">
        <f aca="false">CHOOSE(Premissas!$B$6,Cenários!AR13,Cenários!AR59,Cenários!AR105)</f>
        <v>620890.909850181</v>
      </c>
      <c r="AS12" s="157" t="n">
        <f aca="false">CHOOSE(Premissas!$B$6,Cenários!AS13,Cenários!AS59,Cenários!AS105)</f>
        <v>640722.245412821</v>
      </c>
      <c r="AT12" s="157" t="n">
        <f aca="false">CHOOSE(Premissas!$B$6,Cenários!AT13,Cenários!AT59,Cenários!AT105)</f>
        <v>659235.853774104</v>
      </c>
      <c r="AU12" s="157" t="n">
        <f aca="false">CHOOSE(Premissas!$B$6,Cenários!AU13,Cenários!AU59,Cenários!AU105)</f>
        <v>676519.293584415</v>
      </c>
      <c r="AV12" s="157" t="n">
        <f aca="false">CHOOSE(Premissas!$B$6,Cenários!AV13,Cenários!AV59,Cenários!AV105)</f>
        <v>692654.305509013</v>
      </c>
      <c r="AW12" s="157" t="n">
        <f aca="false">CHOOSE(Premissas!$B$6,Cenários!AW13,Cenários!AW59,Cenários!AW105)</f>
        <v>707717.198814062</v>
      </c>
      <c r="AX12" s="157" t="n">
        <f aca="false">CHOOSE(Premissas!$B$6,Cenários!AX13,Cenários!AX59,Cenários!AX105)</f>
        <v>755144.491458206</v>
      </c>
      <c r="AY12" s="157" t="n">
        <f aca="false">CHOOSE(Premissas!$B$6,Cenários!AY13,Cenários!AY59,Cenários!AY105)</f>
        <v>799609.479349748</v>
      </c>
      <c r="AZ12" s="157" t="n">
        <f aca="false">CHOOSE(Premissas!$B$6,Cenários!AZ13,Cenários!AZ59,Cenários!AZ105)</f>
        <v>841297.187797072</v>
      </c>
      <c r="BA12" s="157" t="n">
        <f aca="false">CHOOSE(Premissas!$B$6,Cenários!BA13,Cenários!BA59,Cenários!BA105)</f>
        <v>880381.085443193</v>
      </c>
      <c r="BB12" s="157" t="n">
        <f aca="false">CHOOSE(Premissas!$B$6,Cenários!BB13,Cenários!BB59,Cenários!BB105)</f>
        <v>917023.806094117</v>
      </c>
      <c r="BC12" s="157" t="n">
        <f aca="false">CHOOSE(Premissas!$B$6,Cenários!BC13,Cenários!BC59,Cenários!BC105)</f>
        <v>951377.825461859</v>
      </c>
      <c r="BD12" s="157" t="n">
        <f aca="false">CHOOSE(Premissas!$B$6,Cenários!BD13,Cenários!BD59,Cenários!BD105)</f>
        <v>983586.095638147</v>
      </c>
      <c r="BE12" s="157" t="n">
        <f aca="false">CHOOSE(Premissas!$B$6,Cenários!BE13,Cenários!BE59,Cenários!BE105)</f>
        <v>1013782.63993895</v>
      </c>
      <c r="BF12" s="157" t="n">
        <f aca="false">CHOOSE(Premissas!$B$6,Cenários!BF13,Cenários!BF59,Cenários!BF105)</f>
        <v>1042093.11059508</v>
      </c>
      <c r="BG12" s="157" t="n">
        <f aca="false">CHOOSE(Premissas!$B$6,Cenários!BG13,Cenários!BG59,Cenários!BG105)</f>
        <v>1068635.31160946</v>
      </c>
      <c r="BH12" s="157" t="n">
        <f aca="false">CHOOSE(Premissas!$B$6,Cenários!BH13,Cenários!BH59,Cenários!BH105)</f>
        <v>1093519.68895679</v>
      </c>
      <c r="BI12" s="157" t="n">
        <f aca="false">CHOOSE(Premissas!$B$6,Cenários!BI13,Cenários!BI59,Cenários!BI105)</f>
        <v>1116849.79016539</v>
      </c>
      <c r="BJ12" s="109" t="n">
        <f aca="false">BI12</f>
        <v>1116849.79016539</v>
      </c>
      <c r="BK12" s="29" t="s">
        <v>538</v>
      </c>
    </row>
    <row r="13" customFormat="false" ht="15" hidden="false" customHeight="false" outlineLevel="0" collapsed="false">
      <c r="A13" s="27" t="s">
        <v>541</v>
      </c>
      <c r="B13" s="158" t="n">
        <f aca="false">CHOOSE(Premissas!$B$6,Cenários!B14,Cenários!B60,Cenários!B106)</f>
        <v>0</v>
      </c>
      <c r="C13" s="158" t="n">
        <f aca="false">CHOOSE(Premissas!$B$6,Cenários!C14,Cenários!C60,Cenários!C106)</f>
        <v>0</v>
      </c>
      <c r="D13" s="158" t="n">
        <f aca="false">CHOOSE(Premissas!$B$6,Cenários!D14,Cenários!D60,Cenários!D106)</f>
        <v>0</v>
      </c>
      <c r="E13" s="158" t="n">
        <f aca="false">CHOOSE(Premissas!$B$6,Cenários!E14,Cenários!E60,Cenários!E106)</f>
        <v>0</v>
      </c>
      <c r="F13" s="158" t="n">
        <f aca="false">CHOOSE(Premissas!$B$6,Cenários!F14,Cenários!F60,Cenários!F106)</f>
        <v>0</v>
      </c>
      <c r="G13" s="158" t="n">
        <f aca="false">CHOOSE(Premissas!$B$6,Cenários!G14,Cenários!G60,Cenários!G106)</f>
        <v>0</v>
      </c>
      <c r="H13" s="158" t="n">
        <f aca="false">CHOOSE(Premissas!$B$6,Cenários!H14,Cenários!H60,Cenários!H106)</f>
        <v>0</v>
      </c>
      <c r="I13" s="158" t="n">
        <f aca="false">CHOOSE(Premissas!$B$6,Cenários!I14,Cenários!I60,Cenários!I106)</f>
        <v>0</v>
      </c>
      <c r="J13" s="158" t="n">
        <f aca="false">CHOOSE(Premissas!$B$6,Cenários!J14,Cenários!J60,Cenários!J106)</f>
        <v>0</v>
      </c>
      <c r="K13" s="158" t="n">
        <f aca="false">CHOOSE(Premissas!$B$6,Cenários!K14,Cenários!K60,Cenários!K106)</f>
        <v>0.00833333333333333</v>
      </c>
      <c r="L13" s="158" t="n">
        <f aca="false">CHOOSE(Premissas!$B$6,Cenários!L14,Cenários!L60,Cenários!L106)</f>
        <v>0.0166666666666667</v>
      </c>
      <c r="M13" s="158" t="n">
        <f aca="false">CHOOSE(Premissas!$B$6,Cenários!M14,Cenários!M60,Cenários!M106)</f>
        <v>0.025</v>
      </c>
      <c r="N13" s="158" t="n">
        <f aca="false">CHOOSE(Premissas!$B$6,Cenários!N14,Cenários!N60,Cenários!N106)</f>
        <v>0.036</v>
      </c>
      <c r="O13" s="158" t="n">
        <f aca="false">CHOOSE(Premissas!$B$6,Cenários!O14,Cenários!O60,Cenários!O106)</f>
        <v>0.045</v>
      </c>
      <c r="P13" s="158" t="n">
        <f aca="false">CHOOSE(Premissas!$B$6,Cenários!P14,Cenários!P60,Cenários!P106)</f>
        <v>0.054</v>
      </c>
      <c r="Q13" s="158" t="n">
        <f aca="false">CHOOSE(Premissas!$B$6,Cenários!Q14,Cenários!Q60,Cenários!Q106)</f>
        <v>0.054</v>
      </c>
      <c r="R13" s="158" t="n">
        <f aca="false">CHOOSE(Premissas!$B$6,Cenários!R14,Cenários!R60,Cenários!R106)</f>
        <v>0.054</v>
      </c>
      <c r="S13" s="158" t="n">
        <f aca="false">CHOOSE(Premissas!$B$6,Cenários!S14,Cenários!S60,Cenários!S106)</f>
        <v>0.054</v>
      </c>
      <c r="T13" s="158" t="n">
        <f aca="false">CHOOSE(Premissas!$B$6,Cenários!T14,Cenários!T60,Cenários!T106)</f>
        <v>0.054</v>
      </c>
      <c r="U13" s="158" t="n">
        <f aca="false">CHOOSE(Premissas!$B$6,Cenários!U14,Cenários!U60,Cenários!U106)</f>
        <v>0.054</v>
      </c>
      <c r="V13" s="158" t="n">
        <f aca="false">CHOOSE(Premissas!$B$6,Cenários!V14,Cenários!V60,Cenários!V106)</f>
        <v>0.054</v>
      </c>
      <c r="W13" s="158" t="n">
        <f aca="false">CHOOSE(Premissas!$B$6,Cenários!W14,Cenários!W60,Cenários!W106)</f>
        <v>0.054</v>
      </c>
      <c r="X13" s="158" t="n">
        <f aca="false">CHOOSE(Premissas!$B$6,Cenários!X14,Cenários!X60,Cenários!X106)</f>
        <v>0.054</v>
      </c>
      <c r="Y13" s="158" t="n">
        <f aca="false">CHOOSE(Premissas!$B$6,Cenários!Y14,Cenários!Y60,Cenários!Y106)</f>
        <v>0.054</v>
      </c>
      <c r="Z13" s="158" t="n">
        <f aca="false">CHOOSE(Premissas!$B$6,Cenários!Z14,Cenários!Z60,Cenários!Z106)</f>
        <v>0.05832</v>
      </c>
      <c r="AA13" s="158" t="n">
        <f aca="false">CHOOSE(Premissas!$B$6,Cenários!AA14,Cenários!AA60,Cenários!AA106)</f>
        <v>0.05832</v>
      </c>
      <c r="AB13" s="158" t="n">
        <f aca="false">CHOOSE(Premissas!$B$6,Cenários!AB14,Cenários!AB60,Cenários!AB106)</f>
        <v>0.05832</v>
      </c>
      <c r="AC13" s="158" t="n">
        <f aca="false">CHOOSE(Premissas!$B$6,Cenários!AC14,Cenários!AC60,Cenários!AC106)</f>
        <v>0.05832</v>
      </c>
      <c r="AD13" s="158" t="n">
        <f aca="false">CHOOSE(Premissas!$B$6,Cenários!AD14,Cenários!AD60,Cenários!AD106)</f>
        <v>0.05832</v>
      </c>
      <c r="AE13" s="158" t="n">
        <f aca="false">CHOOSE(Premissas!$B$6,Cenários!AE14,Cenários!AE60,Cenários!AE106)</f>
        <v>0.05832</v>
      </c>
      <c r="AF13" s="158" t="n">
        <f aca="false">CHOOSE(Premissas!$B$6,Cenários!AF14,Cenários!AF60,Cenários!AF106)</f>
        <v>0.05832</v>
      </c>
      <c r="AG13" s="158" t="n">
        <f aca="false">CHOOSE(Premissas!$B$6,Cenários!AG14,Cenários!AG60,Cenários!AG106)</f>
        <v>0.05832</v>
      </c>
      <c r="AH13" s="158" t="n">
        <f aca="false">CHOOSE(Premissas!$B$6,Cenários!AH14,Cenários!AH60,Cenários!AH106)</f>
        <v>0.05832</v>
      </c>
      <c r="AI13" s="158" t="n">
        <f aca="false">CHOOSE(Premissas!$B$6,Cenários!AI14,Cenários!AI60,Cenários!AI106)</f>
        <v>0.05832</v>
      </c>
      <c r="AJ13" s="158" t="n">
        <f aca="false">CHOOSE(Premissas!$B$6,Cenários!AJ14,Cenários!AJ60,Cenários!AJ106)</f>
        <v>0.05832</v>
      </c>
      <c r="AK13" s="158" t="n">
        <f aca="false">CHOOSE(Premissas!$B$6,Cenários!AK14,Cenários!AK60,Cenários!AK106)</f>
        <v>0.05832</v>
      </c>
      <c r="AL13" s="158" t="n">
        <f aca="false">CHOOSE(Premissas!$B$6,Cenários!AL14,Cenários!AL60,Cenários!AL106)</f>
        <v>0.0629856</v>
      </c>
      <c r="AM13" s="158" t="n">
        <f aca="false">CHOOSE(Premissas!$B$6,Cenários!AM14,Cenários!AM60,Cenários!AM106)</f>
        <v>0.0629856</v>
      </c>
      <c r="AN13" s="158" t="n">
        <f aca="false">CHOOSE(Premissas!$B$6,Cenários!AN14,Cenários!AN60,Cenários!AN106)</f>
        <v>0.0629856</v>
      </c>
      <c r="AO13" s="158" t="n">
        <f aca="false">CHOOSE(Premissas!$B$6,Cenários!AO14,Cenários!AO60,Cenários!AO106)</f>
        <v>0.0629856</v>
      </c>
      <c r="AP13" s="158" t="n">
        <f aca="false">CHOOSE(Premissas!$B$6,Cenários!AP14,Cenários!AP60,Cenários!AP106)</f>
        <v>0.0629856</v>
      </c>
      <c r="AQ13" s="158" t="n">
        <f aca="false">CHOOSE(Premissas!$B$6,Cenários!AQ14,Cenários!AQ60,Cenários!AQ106)</f>
        <v>0.0629856</v>
      </c>
      <c r="AR13" s="158" t="n">
        <f aca="false">CHOOSE(Premissas!$B$6,Cenários!AR14,Cenários!AR60,Cenários!AR106)</f>
        <v>0.0629856</v>
      </c>
      <c r="AS13" s="158" t="n">
        <f aca="false">CHOOSE(Premissas!$B$6,Cenários!AS14,Cenários!AS60,Cenários!AS106)</f>
        <v>0.0629856</v>
      </c>
      <c r="AT13" s="158" t="n">
        <f aca="false">CHOOSE(Premissas!$B$6,Cenários!AT14,Cenários!AT60,Cenários!AT106)</f>
        <v>0.0629856</v>
      </c>
      <c r="AU13" s="158" t="n">
        <f aca="false">CHOOSE(Premissas!$B$6,Cenários!AU14,Cenários!AU60,Cenários!AU106)</f>
        <v>0.0629856</v>
      </c>
      <c r="AV13" s="158" t="n">
        <f aca="false">CHOOSE(Premissas!$B$6,Cenários!AV14,Cenários!AV60,Cenários!AV106)</f>
        <v>0.0629856</v>
      </c>
      <c r="AW13" s="158" t="n">
        <f aca="false">CHOOSE(Premissas!$B$6,Cenários!AW14,Cenários!AW60,Cenários!AW106)</f>
        <v>0.0629856</v>
      </c>
      <c r="AX13" s="158" t="n">
        <f aca="false">CHOOSE(Premissas!$B$6,Cenários!AX14,Cenários!AX60,Cenários!AX106)</f>
        <v>0.068024448</v>
      </c>
      <c r="AY13" s="158" t="n">
        <f aca="false">CHOOSE(Premissas!$B$6,Cenários!AY14,Cenários!AY60,Cenários!AY106)</f>
        <v>0.068024448</v>
      </c>
      <c r="AZ13" s="158" t="n">
        <f aca="false">CHOOSE(Premissas!$B$6,Cenários!AZ14,Cenários!AZ60,Cenários!AZ106)</f>
        <v>0.068024448</v>
      </c>
      <c r="BA13" s="158" t="n">
        <f aca="false">CHOOSE(Premissas!$B$6,Cenários!BA14,Cenários!BA60,Cenários!BA106)</f>
        <v>0.068024448</v>
      </c>
      <c r="BB13" s="158" t="n">
        <f aca="false">CHOOSE(Premissas!$B$6,Cenários!BB14,Cenários!BB60,Cenários!BB106)</f>
        <v>0.068024448</v>
      </c>
      <c r="BC13" s="158" t="n">
        <f aca="false">CHOOSE(Premissas!$B$6,Cenários!BC14,Cenários!BC60,Cenários!BC106)</f>
        <v>0.068024448</v>
      </c>
      <c r="BD13" s="158" t="n">
        <f aca="false">CHOOSE(Premissas!$B$6,Cenários!BD14,Cenários!BD60,Cenários!BD106)</f>
        <v>0.068024448</v>
      </c>
      <c r="BE13" s="158" t="n">
        <f aca="false">CHOOSE(Premissas!$B$6,Cenários!BE14,Cenários!BE60,Cenários!BE106)</f>
        <v>0.068024448</v>
      </c>
      <c r="BF13" s="158" t="n">
        <f aca="false">CHOOSE(Premissas!$B$6,Cenários!BF14,Cenários!BF60,Cenários!BF106)</f>
        <v>0.068024448</v>
      </c>
      <c r="BG13" s="158" t="n">
        <f aca="false">CHOOSE(Premissas!$B$6,Cenários!BG14,Cenários!BG60,Cenários!BG106)</f>
        <v>0.068024448</v>
      </c>
      <c r="BH13" s="158" t="n">
        <f aca="false">CHOOSE(Premissas!$B$6,Cenários!BH14,Cenários!BH60,Cenários!BH106)</f>
        <v>0.068024448</v>
      </c>
      <c r="BI13" s="158" t="n">
        <f aca="false">CHOOSE(Premissas!$B$6,Cenários!BI14,Cenários!BI60,Cenários!BI106)</f>
        <v>0.068024448</v>
      </c>
      <c r="BJ13" s="143" t="n">
        <f aca="false">BI13</f>
        <v>0.068024448</v>
      </c>
      <c r="BK13" s="29" t="s">
        <v>538</v>
      </c>
    </row>
    <row r="14" customFormat="false" ht="15" hidden="false" customHeight="false" outlineLevel="0" collapsed="false">
      <c r="A14" s="51" t="s">
        <v>542</v>
      </c>
      <c r="B14" s="157" t="n">
        <f aca="false">CHOOSE(Premissas!$B$6,Cenários!B15,Cenários!B61,Cenários!B107)</f>
        <v>0</v>
      </c>
      <c r="C14" s="157" t="n">
        <f aca="false">CHOOSE(Premissas!$B$6,Cenários!C15,Cenários!C61,Cenários!C107)</f>
        <v>0</v>
      </c>
      <c r="D14" s="157" t="n">
        <f aca="false">CHOOSE(Premissas!$B$6,Cenários!D15,Cenários!D61,Cenários!D107)</f>
        <v>0</v>
      </c>
      <c r="E14" s="157" t="n">
        <f aca="false">CHOOSE(Premissas!$B$6,Cenários!E15,Cenários!E61,Cenários!E107)</f>
        <v>0</v>
      </c>
      <c r="F14" s="157" t="n">
        <f aca="false">CHOOSE(Premissas!$B$6,Cenários!F15,Cenários!F61,Cenários!F107)</f>
        <v>0</v>
      </c>
      <c r="G14" s="157" t="n">
        <f aca="false">CHOOSE(Premissas!$B$6,Cenários!G15,Cenários!G61,Cenários!G107)</f>
        <v>0</v>
      </c>
      <c r="H14" s="157" t="n">
        <f aca="false">CHOOSE(Premissas!$B$6,Cenários!H15,Cenários!H61,Cenários!H107)</f>
        <v>0</v>
      </c>
      <c r="I14" s="157" t="n">
        <f aca="false">CHOOSE(Premissas!$B$6,Cenários!I15,Cenários!I61,Cenários!I107)</f>
        <v>0</v>
      </c>
      <c r="J14" s="157" t="n">
        <f aca="false">CHOOSE(Premissas!$B$6,Cenários!J15,Cenários!J61,Cenários!J107)</f>
        <v>0</v>
      </c>
      <c r="K14" s="157" t="n">
        <f aca="false">CHOOSE(Premissas!$B$6,Cenários!K15,Cenários!K61,Cenários!K107)</f>
        <v>151</v>
      </c>
      <c r="L14" s="157" t="n">
        <f aca="false">CHOOSE(Premissas!$B$6,Cenários!L15,Cenários!L61,Cenários!L107)</f>
        <v>579</v>
      </c>
      <c r="M14" s="157" t="n">
        <f aca="false">CHOOSE(Premissas!$B$6,Cenários!M15,Cenários!M61,Cenários!M107)</f>
        <v>1252</v>
      </c>
      <c r="N14" s="157" t="n">
        <f aca="false">CHOOSE(Premissas!$B$6,Cenários!N15,Cenários!N61,Cenários!N107)</f>
        <v>2644</v>
      </c>
      <c r="O14" s="157" t="n">
        <f aca="false">CHOOSE(Premissas!$B$6,Cenários!O15,Cenários!O61,Cenários!O107)</f>
        <v>4279</v>
      </c>
      <c r="P14" s="157" t="n">
        <f aca="false">CHOOSE(Premissas!$B$6,Cenários!P15,Cenários!P61,Cenários!P107)</f>
        <v>6214</v>
      </c>
      <c r="Q14" s="157" t="n">
        <f aca="false">CHOOSE(Premissas!$B$6,Cenários!Q15,Cenários!Q61,Cenários!Q107)</f>
        <v>7213</v>
      </c>
      <c r="R14" s="157" t="n">
        <f aca="false">CHOOSE(Premissas!$B$6,Cenários!R15,Cenários!R61,Cenários!R107)</f>
        <v>8137</v>
      </c>
      <c r="S14" s="157" t="n">
        <f aca="false">CHOOSE(Premissas!$B$6,Cenários!S15,Cenários!S61,Cenários!S107)</f>
        <v>8991</v>
      </c>
      <c r="T14" s="157" t="n">
        <f aca="false">CHOOSE(Premissas!$B$6,Cenários!T15,Cenários!T61,Cenários!T107)</f>
        <v>9781</v>
      </c>
      <c r="U14" s="157" t="n">
        <f aca="false">CHOOSE(Premissas!$B$6,Cenários!U15,Cenários!U61,Cenários!U107)</f>
        <v>10512</v>
      </c>
      <c r="V14" s="157" t="n">
        <f aca="false">CHOOSE(Premissas!$B$6,Cenários!V15,Cenários!V61,Cenários!V107)</f>
        <v>11187</v>
      </c>
      <c r="W14" s="157" t="n">
        <f aca="false">CHOOSE(Premissas!$B$6,Cenários!W15,Cenários!W61,Cenários!W107)</f>
        <v>11812</v>
      </c>
      <c r="X14" s="157" t="n">
        <f aca="false">CHOOSE(Premissas!$B$6,Cenários!X15,Cenários!X61,Cenários!X107)</f>
        <v>12390</v>
      </c>
      <c r="Y14" s="157" t="n">
        <f aca="false">CHOOSE(Premissas!$B$6,Cenários!Y15,Cenários!Y61,Cenários!Y107)</f>
        <v>12924</v>
      </c>
      <c r="Z14" s="157" t="n">
        <f aca="false">CHOOSE(Premissas!$B$6,Cenários!Z15,Cenários!Z61,Cenários!Z107)</f>
        <v>15347</v>
      </c>
      <c r="AA14" s="157" t="n">
        <f aca="false">CHOOSE(Premissas!$B$6,Cenários!AA15,Cenários!AA61,Cenários!AA107)</f>
        <v>16637</v>
      </c>
      <c r="AB14" s="157" t="n">
        <f aca="false">CHOOSE(Premissas!$B$6,Cenários!AB15,Cenários!AB61,Cenários!AB107)</f>
        <v>17836</v>
      </c>
      <c r="AC14" s="157" t="n">
        <f aca="false">CHOOSE(Premissas!$B$6,Cenários!AC15,Cenários!AC61,Cenários!AC107)</f>
        <v>18950</v>
      </c>
      <c r="AD14" s="157" t="n">
        <f aca="false">CHOOSE(Premissas!$B$6,Cenários!AD15,Cenários!AD61,Cenários!AD107)</f>
        <v>19986</v>
      </c>
      <c r="AE14" s="157" t="n">
        <f aca="false">CHOOSE(Premissas!$B$6,Cenários!AE15,Cenários!AE61,Cenários!AE107)</f>
        <v>20948</v>
      </c>
      <c r="AF14" s="157" t="n">
        <f aca="false">CHOOSE(Premissas!$B$6,Cenários!AF15,Cenários!AF61,Cenários!AF107)</f>
        <v>21842</v>
      </c>
      <c r="AG14" s="157" t="n">
        <f aca="false">CHOOSE(Premissas!$B$6,Cenários!AG15,Cenários!AG61,Cenários!AG107)</f>
        <v>22673</v>
      </c>
      <c r="AH14" s="157" t="n">
        <f aca="false">CHOOSE(Premissas!$B$6,Cenários!AH15,Cenários!AH61,Cenários!AH107)</f>
        <v>23446</v>
      </c>
      <c r="AI14" s="157" t="n">
        <f aca="false">CHOOSE(Premissas!$B$6,Cenários!AI15,Cenários!AI61,Cenários!AI107)</f>
        <v>24164</v>
      </c>
      <c r="AJ14" s="157" t="n">
        <f aca="false">CHOOSE(Premissas!$B$6,Cenários!AJ15,Cenários!AJ61,Cenários!AJ107)</f>
        <v>24831</v>
      </c>
      <c r="AK14" s="157" t="n">
        <f aca="false">CHOOSE(Premissas!$B$6,Cenários!AK15,Cenários!AK61,Cenários!AK107)</f>
        <v>25450</v>
      </c>
      <c r="AL14" s="157" t="n">
        <f aca="false">CHOOSE(Premissas!$B$6,Cenários!AL15,Cenários!AL61,Cenários!AL107)</f>
        <v>29508</v>
      </c>
      <c r="AM14" s="157" t="n">
        <f aca="false">CHOOSE(Premissas!$B$6,Cenários!AM15,Cenários!AM61,Cenários!AM107)</f>
        <v>31395</v>
      </c>
      <c r="AN14" s="157" t="n">
        <f aca="false">CHOOSE(Premissas!$B$6,Cenários!AN15,Cenários!AN61,Cenários!AN107)</f>
        <v>33156</v>
      </c>
      <c r="AO14" s="157" t="n">
        <f aca="false">CHOOSE(Premissas!$B$6,Cenários!AO15,Cenários!AO61,Cenários!AO107)</f>
        <v>34801</v>
      </c>
      <c r="AP14" s="157" t="n">
        <f aca="false">CHOOSE(Premissas!$B$6,Cenários!AP15,Cenários!AP61,Cenários!AP107)</f>
        <v>36336</v>
      </c>
      <c r="AQ14" s="157" t="n">
        <f aca="false">CHOOSE(Premissas!$B$6,Cenários!AQ15,Cenários!AQ61,Cenários!AQ107)</f>
        <v>37769</v>
      </c>
      <c r="AR14" s="157" t="n">
        <f aca="false">CHOOSE(Premissas!$B$6,Cenários!AR15,Cenários!AR61,Cenários!AR107)</f>
        <v>39107</v>
      </c>
      <c r="AS14" s="157" t="n">
        <f aca="false">CHOOSE(Premissas!$B$6,Cenários!AS15,Cenários!AS61,Cenários!AS107)</f>
        <v>40356</v>
      </c>
      <c r="AT14" s="157" t="n">
        <f aca="false">CHOOSE(Premissas!$B$6,Cenários!AT15,Cenários!AT61,Cenários!AT107)</f>
        <v>41522</v>
      </c>
      <c r="AU14" s="157" t="n">
        <f aca="false">CHOOSE(Premissas!$B$6,Cenários!AU15,Cenários!AU61,Cenários!AU107)</f>
        <v>42611</v>
      </c>
      <c r="AV14" s="157" t="n">
        <f aca="false">CHOOSE(Premissas!$B$6,Cenários!AV15,Cenários!AV61,Cenários!AV107)</f>
        <v>43627</v>
      </c>
      <c r="AW14" s="157" t="n">
        <f aca="false">CHOOSE(Premissas!$B$6,Cenários!AW15,Cenários!AW61,Cenários!AW107)</f>
        <v>44576</v>
      </c>
      <c r="AX14" s="157" t="n">
        <f aca="false">CHOOSE(Premissas!$B$6,Cenários!AX15,Cenários!AX61,Cenários!AX107)</f>
        <v>51368</v>
      </c>
      <c r="AY14" s="157" t="n">
        <f aca="false">CHOOSE(Premissas!$B$6,Cenários!AY15,Cenários!AY61,Cenários!AY107)</f>
        <v>54393</v>
      </c>
      <c r="AZ14" s="157" t="n">
        <f aca="false">CHOOSE(Premissas!$B$6,Cenários!AZ15,Cenários!AZ61,Cenários!AZ107)</f>
        <v>57229</v>
      </c>
      <c r="BA14" s="157" t="n">
        <f aca="false">CHOOSE(Premissas!$B$6,Cenários!BA15,Cenários!BA61,Cenários!BA107)</f>
        <v>59887</v>
      </c>
      <c r="BB14" s="157" t="n">
        <f aca="false">CHOOSE(Premissas!$B$6,Cenários!BB15,Cenários!BB61,Cenários!BB107)</f>
        <v>62380</v>
      </c>
      <c r="BC14" s="157" t="n">
        <f aca="false">CHOOSE(Premissas!$B$6,Cenários!BC15,Cenários!BC61,Cenários!BC107)</f>
        <v>64717</v>
      </c>
      <c r="BD14" s="157" t="n">
        <f aca="false">CHOOSE(Premissas!$B$6,Cenários!BD15,Cenários!BD61,Cenários!BD107)</f>
        <v>66908</v>
      </c>
      <c r="BE14" s="157" t="n">
        <f aca="false">CHOOSE(Premissas!$B$6,Cenários!BE15,Cenários!BE61,Cenários!BE107)</f>
        <v>68962</v>
      </c>
      <c r="BF14" s="157" t="n">
        <f aca="false">CHOOSE(Premissas!$B$6,Cenários!BF15,Cenários!BF61,Cenários!BF107)</f>
        <v>70888</v>
      </c>
      <c r="BG14" s="157" t="n">
        <f aca="false">CHOOSE(Premissas!$B$6,Cenários!BG15,Cenários!BG61,Cenários!BG107)</f>
        <v>72693</v>
      </c>
      <c r="BH14" s="157" t="n">
        <f aca="false">CHOOSE(Premissas!$B$6,Cenários!BH15,Cenários!BH61,Cenários!BH107)</f>
        <v>74386</v>
      </c>
      <c r="BI14" s="157" t="n">
        <f aca="false">CHOOSE(Premissas!$B$6,Cenários!BI15,Cenários!BI61,Cenários!BI107)</f>
        <v>75973</v>
      </c>
      <c r="BJ14" s="109" t="n">
        <f aca="false">BI14</f>
        <v>75973</v>
      </c>
      <c r="BK14" s="29" t="s">
        <v>538</v>
      </c>
    </row>
    <row r="15" customFormat="false" ht="15" hidden="false" customHeight="false" outlineLevel="0" collapsed="false">
      <c r="A15" s="27" t="s">
        <v>543</v>
      </c>
      <c r="B15" s="156" t="n">
        <f aca="false">CHOOSE(Premissas!$B$6,Cenários!B16,Cenários!B62,Cenários!B108)</f>
        <v>0</v>
      </c>
      <c r="C15" s="156" t="n">
        <f aca="false">CHOOSE(Premissas!$B$6,Cenários!C16,Cenários!C62,Cenários!C108)</f>
        <v>0</v>
      </c>
      <c r="D15" s="156" t="n">
        <f aca="false">CHOOSE(Premissas!$B$6,Cenários!D16,Cenários!D62,Cenários!D108)</f>
        <v>0</v>
      </c>
      <c r="E15" s="156" t="n">
        <f aca="false">CHOOSE(Premissas!$B$6,Cenários!E16,Cenários!E62,Cenários!E108)</f>
        <v>0</v>
      </c>
      <c r="F15" s="156" t="n">
        <f aca="false">CHOOSE(Premissas!$B$6,Cenários!F16,Cenários!F62,Cenários!F108)</f>
        <v>0</v>
      </c>
      <c r="G15" s="156" t="n">
        <f aca="false">CHOOSE(Premissas!$B$6,Cenários!G16,Cenários!G62,Cenários!G108)</f>
        <v>0</v>
      </c>
      <c r="H15" s="156" t="n">
        <f aca="false">CHOOSE(Premissas!$B$6,Cenários!H16,Cenários!H62,Cenários!H108)</f>
        <v>0</v>
      </c>
      <c r="I15" s="156" t="n">
        <f aca="false">CHOOSE(Premissas!$B$6,Cenários!I16,Cenários!I62,Cenários!I108)</f>
        <v>0</v>
      </c>
      <c r="J15" s="156" t="n">
        <f aca="false">CHOOSE(Premissas!$B$6,Cenários!J16,Cenários!J62,Cenários!J108)</f>
        <v>0</v>
      </c>
      <c r="K15" s="156" t="n">
        <f aca="false">CHOOSE(Premissas!$B$6,Cenários!K16,Cenários!K62,Cenários!K108)</f>
        <v>113</v>
      </c>
      <c r="L15" s="156" t="n">
        <f aca="false">CHOOSE(Premissas!$B$6,Cenários!L16,Cenários!L62,Cenários!L108)</f>
        <v>434</v>
      </c>
      <c r="M15" s="156" t="n">
        <f aca="false">CHOOSE(Premissas!$B$6,Cenários!M16,Cenários!M62,Cenários!M108)</f>
        <v>939</v>
      </c>
      <c r="N15" s="156" t="n">
        <f aca="false">CHOOSE(Premissas!$B$6,Cenários!N16,Cenários!N62,Cenários!N108)</f>
        <v>1904</v>
      </c>
      <c r="O15" s="156" t="n">
        <f aca="false">CHOOSE(Premissas!$B$6,Cenários!O16,Cenários!O62,Cenários!O108)</f>
        <v>3081</v>
      </c>
      <c r="P15" s="156" t="n">
        <f aca="false">CHOOSE(Premissas!$B$6,Cenários!P16,Cenários!P62,Cenários!P108)</f>
        <v>4474</v>
      </c>
      <c r="Q15" s="156" t="n">
        <f aca="false">CHOOSE(Premissas!$B$6,Cenários!Q16,Cenários!Q62,Cenários!Q108)</f>
        <v>5193</v>
      </c>
      <c r="R15" s="156" t="n">
        <f aca="false">CHOOSE(Premissas!$B$6,Cenários!R16,Cenários!R62,Cenários!R108)</f>
        <v>5859</v>
      </c>
      <c r="S15" s="156" t="n">
        <f aca="false">CHOOSE(Premissas!$B$6,Cenários!S16,Cenários!S62,Cenários!S108)</f>
        <v>6474</v>
      </c>
      <c r="T15" s="156" t="n">
        <f aca="false">CHOOSE(Premissas!$B$6,Cenários!T16,Cenários!T62,Cenários!T108)</f>
        <v>7042</v>
      </c>
      <c r="U15" s="156" t="n">
        <f aca="false">CHOOSE(Premissas!$B$6,Cenários!U16,Cenários!U62,Cenários!U108)</f>
        <v>7569</v>
      </c>
      <c r="V15" s="156" t="n">
        <f aca="false">CHOOSE(Premissas!$B$6,Cenários!V16,Cenários!V62,Cenários!V108)</f>
        <v>8055</v>
      </c>
      <c r="W15" s="156" t="n">
        <f aca="false">CHOOSE(Premissas!$B$6,Cenários!W16,Cenários!W62,Cenários!W108)</f>
        <v>8505</v>
      </c>
      <c r="X15" s="156" t="n">
        <f aca="false">CHOOSE(Premissas!$B$6,Cenários!X16,Cenários!X62,Cenários!X108)</f>
        <v>8921</v>
      </c>
      <c r="Y15" s="156" t="n">
        <f aca="false">CHOOSE(Premissas!$B$6,Cenários!Y16,Cenários!Y62,Cenários!Y108)</f>
        <v>9305</v>
      </c>
      <c r="Z15" s="156" t="n">
        <f aca="false">CHOOSE(Premissas!$B$6,Cenários!Z16,Cenários!Z62,Cenários!Z108)</f>
        <v>10436</v>
      </c>
      <c r="AA15" s="156" t="n">
        <f aca="false">CHOOSE(Premissas!$B$6,Cenários!AA16,Cenários!AA62,Cenários!AA108)</f>
        <v>11313</v>
      </c>
      <c r="AB15" s="156" t="n">
        <f aca="false">CHOOSE(Premissas!$B$6,Cenários!AB16,Cenários!AB62,Cenários!AB108)</f>
        <v>12128</v>
      </c>
      <c r="AC15" s="156" t="n">
        <f aca="false">CHOOSE(Premissas!$B$6,Cenários!AC16,Cenários!AC62,Cenários!AC108)</f>
        <v>12886</v>
      </c>
      <c r="AD15" s="156" t="n">
        <f aca="false">CHOOSE(Premissas!$B$6,Cenários!AD16,Cenários!AD62,Cenários!AD108)</f>
        <v>13590</v>
      </c>
      <c r="AE15" s="156" t="n">
        <f aca="false">CHOOSE(Premissas!$B$6,Cenários!AE16,Cenários!AE62,Cenários!AE108)</f>
        <v>14245</v>
      </c>
      <c r="AF15" s="156" t="n">
        <f aca="false">CHOOSE(Premissas!$B$6,Cenários!AF16,Cenários!AF62,Cenários!AF108)</f>
        <v>14853</v>
      </c>
      <c r="AG15" s="156" t="n">
        <f aca="false">CHOOSE(Premissas!$B$6,Cenários!AG16,Cenários!AG62,Cenários!AG108)</f>
        <v>15418</v>
      </c>
      <c r="AH15" s="156" t="n">
        <f aca="false">CHOOSE(Premissas!$B$6,Cenários!AH16,Cenários!AH62,Cenários!AH108)</f>
        <v>15943</v>
      </c>
      <c r="AI15" s="156" t="n">
        <f aca="false">CHOOSE(Premissas!$B$6,Cenários!AI16,Cenários!AI62,Cenários!AI108)</f>
        <v>16432</v>
      </c>
      <c r="AJ15" s="156" t="n">
        <f aca="false">CHOOSE(Premissas!$B$6,Cenários!AJ16,Cenários!AJ62,Cenários!AJ108)</f>
        <v>16885</v>
      </c>
      <c r="AK15" s="156" t="n">
        <f aca="false">CHOOSE(Premissas!$B$6,Cenários!AK16,Cenários!AK62,Cenários!AK108)</f>
        <v>17306</v>
      </c>
      <c r="AL15" s="156" t="n">
        <f aca="false">CHOOSE(Premissas!$B$6,Cenários!AL16,Cenários!AL62,Cenários!AL108)</f>
        <v>18885</v>
      </c>
      <c r="AM15" s="156" t="n">
        <f aca="false">CHOOSE(Premissas!$B$6,Cenários!AM16,Cenários!AM62,Cenários!AM108)</f>
        <v>20093</v>
      </c>
      <c r="AN15" s="156" t="n">
        <f aca="false">CHOOSE(Premissas!$B$6,Cenários!AN16,Cenários!AN62,Cenários!AN108)</f>
        <v>21220</v>
      </c>
      <c r="AO15" s="156" t="n">
        <f aca="false">CHOOSE(Premissas!$B$6,Cenários!AO16,Cenários!AO62,Cenários!AO108)</f>
        <v>22273</v>
      </c>
      <c r="AP15" s="156" t="n">
        <f aca="false">CHOOSE(Premissas!$B$6,Cenários!AP16,Cenários!AP62,Cenários!AP108)</f>
        <v>23255</v>
      </c>
      <c r="AQ15" s="156" t="n">
        <f aca="false">CHOOSE(Premissas!$B$6,Cenários!AQ16,Cenários!AQ62,Cenários!AQ108)</f>
        <v>24172</v>
      </c>
      <c r="AR15" s="156" t="n">
        <f aca="false">CHOOSE(Premissas!$B$6,Cenários!AR16,Cenários!AR62,Cenários!AR108)</f>
        <v>25028</v>
      </c>
      <c r="AS15" s="156" t="n">
        <f aca="false">CHOOSE(Premissas!$B$6,Cenários!AS16,Cenários!AS62,Cenários!AS108)</f>
        <v>25828</v>
      </c>
      <c r="AT15" s="156" t="n">
        <f aca="false">CHOOSE(Premissas!$B$6,Cenários!AT16,Cenários!AT62,Cenários!AT108)</f>
        <v>26574</v>
      </c>
      <c r="AU15" s="156" t="n">
        <f aca="false">CHOOSE(Premissas!$B$6,Cenários!AU16,Cenários!AU62,Cenários!AU108)</f>
        <v>27271</v>
      </c>
      <c r="AV15" s="156" t="n">
        <f aca="false">CHOOSE(Premissas!$B$6,Cenários!AV16,Cenários!AV62,Cenários!AV108)</f>
        <v>27921</v>
      </c>
      <c r="AW15" s="156" t="n">
        <f aca="false">CHOOSE(Premissas!$B$6,Cenários!AW16,Cenários!AW62,Cenários!AW108)</f>
        <v>28529</v>
      </c>
      <c r="AX15" s="156" t="n">
        <f aca="false">CHOOSE(Premissas!$B$6,Cenários!AX16,Cenários!AX62,Cenários!AX108)</f>
        <v>30821</v>
      </c>
      <c r="AY15" s="156" t="n">
        <f aca="false">CHOOSE(Premissas!$B$6,Cenários!AY16,Cenários!AY62,Cenários!AY108)</f>
        <v>32636</v>
      </c>
      <c r="AZ15" s="156" t="n">
        <f aca="false">CHOOSE(Premissas!$B$6,Cenários!AZ16,Cenários!AZ62,Cenários!AZ108)</f>
        <v>34337</v>
      </c>
      <c r="BA15" s="156" t="n">
        <f aca="false">CHOOSE(Premissas!$B$6,Cenários!BA16,Cenários!BA62,Cenários!BA108)</f>
        <v>35932</v>
      </c>
      <c r="BB15" s="156" t="n">
        <f aca="false">CHOOSE(Premissas!$B$6,Cenários!BB16,Cenários!BB62,Cenários!BB108)</f>
        <v>37428</v>
      </c>
      <c r="BC15" s="156" t="n">
        <f aca="false">CHOOSE(Premissas!$B$6,Cenários!BC16,Cenários!BC62,Cenários!BC108)</f>
        <v>38830</v>
      </c>
      <c r="BD15" s="156" t="n">
        <f aca="false">CHOOSE(Premissas!$B$6,Cenários!BD16,Cenários!BD62,Cenários!BD108)</f>
        <v>40145</v>
      </c>
      <c r="BE15" s="156" t="n">
        <f aca="false">CHOOSE(Premissas!$B$6,Cenários!BE16,Cenários!BE62,Cenários!BE108)</f>
        <v>41377</v>
      </c>
      <c r="BF15" s="156" t="n">
        <f aca="false">CHOOSE(Premissas!$B$6,Cenários!BF16,Cenários!BF62,Cenários!BF108)</f>
        <v>42533</v>
      </c>
      <c r="BG15" s="156" t="n">
        <f aca="false">CHOOSE(Premissas!$B$6,Cenários!BG16,Cenários!BG62,Cenários!BG108)</f>
        <v>43616</v>
      </c>
      <c r="BH15" s="156" t="n">
        <f aca="false">CHOOSE(Premissas!$B$6,Cenários!BH16,Cenários!BH62,Cenários!BH108)</f>
        <v>44632</v>
      </c>
      <c r="BI15" s="156" t="n">
        <f aca="false">CHOOSE(Premissas!$B$6,Cenários!BI16,Cenários!BI62,Cenários!BI108)</f>
        <v>45584</v>
      </c>
      <c r="BJ15" s="109" t="n">
        <f aca="false">BI15</f>
        <v>45584</v>
      </c>
      <c r="BK15" s="29" t="s">
        <v>538</v>
      </c>
    </row>
    <row r="16" customFormat="false" ht="15" hidden="false" customHeight="false" outlineLevel="0" collapsed="false">
      <c r="A16" s="27" t="s">
        <v>544</v>
      </c>
      <c r="B16" s="156" t="n">
        <f aca="false">CHOOSE(Premissas!$B$6,Cenários!B17,Cenários!B63,Cenários!B109)</f>
        <v>0</v>
      </c>
      <c r="C16" s="156" t="n">
        <f aca="false">CHOOSE(Premissas!$B$6,Cenários!C17,Cenários!C63,Cenários!C109)</f>
        <v>0</v>
      </c>
      <c r="D16" s="156" t="n">
        <f aca="false">CHOOSE(Premissas!$B$6,Cenários!D17,Cenários!D63,Cenários!D109)</f>
        <v>0</v>
      </c>
      <c r="E16" s="156" t="n">
        <f aca="false">CHOOSE(Premissas!$B$6,Cenários!E17,Cenários!E63,Cenários!E109)</f>
        <v>0</v>
      </c>
      <c r="F16" s="156" t="n">
        <f aca="false">CHOOSE(Premissas!$B$6,Cenários!F17,Cenários!F63,Cenários!F109)</f>
        <v>0</v>
      </c>
      <c r="G16" s="156" t="n">
        <f aca="false">CHOOSE(Premissas!$B$6,Cenários!G17,Cenários!G63,Cenários!G109)</f>
        <v>0</v>
      </c>
      <c r="H16" s="156" t="n">
        <f aca="false">CHOOSE(Premissas!$B$6,Cenários!H17,Cenários!H63,Cenários!H109)</f>
        <v>0</v>
      </c>
      <c r="I16" s="156" t="n">
        <f aca="false">CHOOSE(Premissas!$B$6,Cenários!I17,Cenários!I63,Cenários!I109)</f>
        <v>0</v>
      </c>
      <c r="J16" s="156" t="n">
        <f aca="false">CHOOSE(Premissas!$B$6,Cenários!J17,Cenários!J63,Cenários!J109)</f>
        <v>0</v>
      </c>
      <c r="K16" s="156" t="n">
        <f aca="false">CHOOSE(Premissas!$B$6,Cenários!K17,Cenários!K63,Cenários!K109)</f>
        <v>30</v>
      </c>
      <c r="L16" s="156" t="n">
        <f aca="false">CHOOSE(Premissas!$B$6,Cenários!L17,Cenários!L63,Cenários!L109)</f>
        <v>116</v>
      </c>
      <c r="M16" s="156" t="n">
        <f aca="false">CHOOSE(Premissas!$B$6,Cenários!M17,Cenários!M63,Cenários!M109)</f>
        <v>250</v>
      </c>
      <c r="N16" s="156" t="n">
        <f aca="false">CHOOSE(Premissas!$B$6,Cenários!N17,Cenários!N63,Cenários!N109)</f>
        <v>582</v>
      </c>
      <c r="O16" s="156" t="n">
        <f aca="false">CHOOSE(Premissas!$B$6,Cenários!O17,Cenários!O63,Cenários!O109)</f>
        <v>941</v>
      </c>
      <c r="P16" s="156" t="n">
        <f aca="false">CHOOSE(Premissas!$B$6,Cenários!P17,Cenários!P63,Cenários!P109)</f>
        <v>1367</v>
      </c>
      <c r="Q16" s="156" t="n">
        <f aca="false">CHOOSE(Premissas!$B$6,Cenários!Q17,Cenários!Q63,Cenários!Q109)</f>
        <v>1587</v>
      </c>
      <c r="R16" s="156" t="n">
        <f aca="false">CHOOSE(Premissas!$B$6,Cenários!R17,Cenários!R63,Cenários!R109)</f>
        <v>1790</v>
      </c>
      <c r="S16" s="156" t="n">
        <f aca="false">CHOOSE(Premissas!$B$6,Cenários!S17,Cenários!S63,Cenários!S109)</f>
        <v>1978</v>
      </c>
      <c r="T16" s="156" t="n">
        <f aca="false">CHOOSE(Premissas!$B$6,Cenários!T17,Cenários!T63,Cenários!T109)</f>
        <v>2152</v>
      </c>
      <c r="U16" s="156" t="n">
        <f aca="false">CHOOSE(Premissas!$B$6,Cenários!U17,Cenários!U63,Cenários!U109)</f>
        <v>2313</v>
      </c>
      <c r="V16" s="156" t="n">
        <f aca="false">CHOOSE(Premissas!$B$6,Cenários!V17,Cenários!V63,Cenários!V109)</f>
        <v>2461</v>
      </c>
      <c r="W16" s="156" t="n">
        <f aca="false">CHOOSE(Premissas!$B$6,Cenários!W17,Cenários!W63,Cenários!W109)</f>
        <v>2599</v>
      </c>
      <c r="X16" s="156" t="n">
        <f aca="false">CHOOSE(Premissas!$B$6,Cenários!X17,Cenários!X63,Cenários!X109)</f>
        <v>2726</v>
      </c>
      <c r="Y16" s="156" t="n">
        <f aca="false">CHOOSE(Premissas!$B$6,Cenários!Y17,Cenários!Y63,Cenários!Y109)</f>
        <v>2843</v>
      </c>
      <c r="Z16" s="156" t="n">
        <f aca="false">CHOOSE(Premissas!$B$6,Cenários!Z17,Cenários!Z63,Cenários!Z109)</f>
        <v>3683</v>
      </c>
      <c r="AA16" s="156" t="n">
        <f aca="false">CHOOSE(Premissas!$B$6,Cenários!AA17,Cenários!AA63,Cenários!AA109)</f>
        <v>3993</v>
      </c>
      <c r="AB16" s="156" t="n">
        <f aca="false">CHOOSE(Premissas!$B$6,Cenários!AB17,Cenários!AB63,Cenários!AB109)</f>
        <v>4281</v>
      </c>
      <c r="AC16" s="156" t="n">
        <f aca="false">CHOOSE(Premissas!$B$6,Cenários!AC17,Cenários!AC63,Cenários!AC109)</f>
        <v>4548</v>
      </c>
      <c r="AD16" s="156" t="n">
        <f aca="false">CHOOSE(Premissas!$B$6,Cenários!AD17,Cenários!AD63,Cenários!AD109)</f>
        <v>4797</v>
      </c>
      <c r="AE16" s="156" t="n">
        <f aca="false">CHOOSE(Premissas!$B$6,Cenários!AE17,Cenários!AE63,Cenários!AE109)</f>
        <v>5028</v>
      </c>
      <c r="AF16" s="156" t="n">
        <f aca="false">CHOOSE(Premissas!$B$6,Cenários!AF17,Cenários!AF63,Cenários!AF109)</f>
        <v>5242</v>
      </c>
      <c r="AG16" s="156" t="n">
        <f aca="false">CHOOSE(Premissas!$B$6,Cenários!AG17,Cenários!AG63,Cenários!AG109)</f>
        <v>5442</v>
      </c>
      <c r="AH16" s="156" t="n">
        <f aca="false">CHOOSE(Premissas!$B$6,Cenários!AH17,Cenários!AH63,Cenários!AH109)</f>
        <v>5627</v>
      </c>
      <c r="AI16" s="156" t="n">
        <f aca="false">CHOOSE(Premissas!$B$6,Cenários!AI17,Cenários!AI63,Cenários!AI109)</f>
        <v>5799</v>
      </c>
      <c r="AJ16" s="156" t="n">
        <f aca="false">CHOOSE(Premissas!$B$6,Cenários!AJ17,Cenários!AJ63,Cenários!AJ109)</f>
        <v>5959</v>
      </c>
      <c r="AK16" s="156" t="n">
        <f aca="false">CHOOSE(Premissas!$B$6,Cenários!AK17,Cenários!AK63,Cenários!AK109)</f>
        <v>6108</v>
      </c>
      <c r="AL16" s="156" t="n">
        <f aca="false">CHOOSE(Premissas!$B$6,Cenários!AL17,Cenários!AL63,Cenários!AL109)</f>
        <v>7672</v>
      </c>
      <c r="AM16" s="156" t="n">
        <f aca="false">CHOOSE(Premissas!$B$6,Cenários!AM17,Cenários!AM63,Cenários!AM109)</f>
        <v>8163</v>
      </c>
      <c r="AN16" s="156" t="n">
        <f aca="false">CHOOSE(Premissas!$B$6,Cenários!AN17,Cenários!AN63,Cenários!AN109)</f>
        <v>8621</v>
      </c>
      <c r="AO16" s="156" t="n">
        <f aca="false">CHOOSE(Premissas!$B$6,Cenários!AO17,Cenários!AO63,Cenários!AO109)</f>
        <v>9048</v>
      </c>
      <c r="AP16" s="156" t="n">
        <f aca="false">CHOOSE(Premissas!$B$6,Cenários!AP17,Cenários!AP63,Cenários!AP109)</f>
        <v>9447</v>
      </c>
      <c r="AQ16" s="156" t="n">
        <f aca="false">CHOOSE(Premissas!$B$6,Cenários!AQ17,Cenários!AQ63,Cenários!AQ109)</f>
        <v>9820</v>
      </c>
      <c r="AR16" s="156" t="n">
        <f aca="false">CHOOSE(Premissas!$B$6,Cenários!AR17,Cenários!AR63,Cenários!AR109)</f>
        <v>10168</v>
      </c>
      <c r="AS16" s="156" t="n">
        <f aca="false">CHOOSE(Premissas!$B$6,Cenários!AS17,Cenários!AS63,Cenários!AS109)</f>
        <v>10493</v>
      </c>
      <c r="AT16" s="156" t="n">
        <f aca="false">CHOOSE(Premissas!$B$6,Cenários!AT17,Cenários!AT63,Cenários!AT109)</f>
        <v>10796</v>
      </c>
      <c r="AU16" s="156" t="n">
        <f aca="false">CHOOSE(Premissas!$B$6,Cenários!AU17,Cenários!AU63,Cenários!AU109)</f>
        <v>11079</v>
      </c>
      <c r="AV16" s="156" t="n">
        <f aca="false">CHOOSE(Premissas!$B$6,Cenários!AV17,Cenários!AV63,Cenários!AV109)</f>
        <v>11343</v>
      </c>
      <c r="AW16" s="156" t="n">
        <f aca="false">CHOOSE(Premissas!$B$6,Cenários!AW17,Cenários!AW63,Cenários!AW109)</f>
        <v>11590</v>
      </c>
      <c r="AX16" s="156" t="n">
        <f aca="false">CHOOSE(Premissas!$B$6,Cenários!AX17,Cenários!AX63,Cenários!AX109)</f>
        <v>14383</v>
      </c>
      <c r="AY16" s="156" t="n">
        <f aca="false">CHOOSE(Premissas!$B$6,Cenários!AY17,Cenários!AY63,Cenários!AY109)</f>
        <v>15230</v>
      </c>
      <c r="AZ16" s="156" t="n">
        <f aca="false">CHOOSE(Premissas!$B$6,Cenários!AZ17,Cenários!AZ63,Cenários!AZ109)</f>
        <v>16024</v>
      </c>
      <c r="BA16" s="156" t="n">
        <f aca="false">CHOOSE(Premissas!$B$6,Cenários!BA17,Cenários!BA63,Cenários!BA109)</f>
        <v>16768</v>
      </c>
      <c r="BB16" s="156" t="n">
        <f aca="false">CHOOSE(Premissas!$B$6,Cenários!BB17,Cenários!BB63,Cenários!BB109)</f>
        <v>17466</v>
      </c>
      <c r="BC16" s="156" t="n">
        <f aca="false">CHOOSE(Premissas!$B$6,Cenários!BC17,Cenários!BC63,Cenários!BC109)</f>
        <v>18121</v>
      </c>
      <c r="BD16" s="156" t="n">
        <f aca="false">CHOOSE(Premissas!$B$6,Cenários!BD17,Cenários!BD63,Cenários!BD109)</f>
        <v>18734</v>
      </c>
      <c r="BE16" s="156" t="n">
        <f aca="false">CHOOSE(Premissas!$B$6,Cenários!BE17,Cenários!BE63,Cenários!BE109)</f>
        <v>19309</v>
      </c>
      <c r="BF16" s="156" t="n">
        <f aca="false">CHOOSE(Premissas!$B$6,Cenários!BF17,Cenários!BF63,Cenários!BF109)</f>
        <v>19849</v>
      </c>
      <c r="BG16" s="156" t="n">
        <f aca="false">CHOOSE(Premissas!$B$6,Cenários!BG17,Cenários!BG63,Cenários!BG109)</f>
        <v>20354</v>
      </c>
      <c r="BH16" s="156" t="n">
        <f aca="false">CHOOSE(Premissas!$B$6,Cenários!BH17,Cenários!BH63,Cenários!BH109)</f>
        <v>20828</v>
      </c>
      <c r="BI16" s="156" t="n">
        <f aca="false">CHOOSE(Premissas!$B$6,Cenários!BI17,Cenários!BI63,Cenários!BI109)</f>
        <v>21272</v>
      </c>
      <c r="BJ16" s="109" t="n">
        <f aca="false">BI16</f>
        <v>21272</v>
      </c>
      <c r="BK16" s="29" t="s">
        <v>538</v>
      </c>
    </row>
    <row r="17" customFormat="false" ht="15" hidden="false" customHeight="false" outlineLevel="0" collapsed="false">
      <c r="A17" s="27" t="s">
        <v>545</v>
      </c>
      <c r="B17" s="156" t="n">
        <f aca="false">CHOOSE(Premissas!$B$6,Cenários!B18,Cenários!B64,Cenários!B110)</f>
        <v>0</v>
      </c>
      <c r="C17" s="156" t="n">
        <f aca="false">CHOOSE(Premissas!$B$6,Cenários!C18,Cenários!C64,Cenários!C110)</f>
        <v>0</v>
      </c>
      <c r="D17" s="156" t="n">
        <f aca="false">CHOOSE(Premissas!$B$6,Cenários!D18,Cenários!D64,Cenários!D110)</f>
        <v>0</v>
      </c>
      <c r="E17" s="156" t="n">
        <f aca="false">CHOOSE(Premissas!$B$6,Cenários!E18,Cenários!E64,Cenários!E110)</f>
        <v>0</v>
      </c>
      <c r="F17" s="156" t="n">
        <f aca="false">CHOOSE(Premissas!$B$6,Cenários!F18,Cenários!F64,Cenários!F110)</f>
        <v>0</v>
      </c>
      <c r="G17" s="156" t="n">
        <f aca="false">CHOOSE(Premissas!$B$6,Cenários!G18,Cenários!G64,Cenários!G110)</f>
        <v>0</v>
      </c>
      <c r="H17" s="156" t="n">
        <f aca="false">CHOOSE(Premissas!$B$6,Cenários!H18,Cenários!H64,Cenários!H110)</f>
        <v>0</v>
      </c>
      <c r="I17" s="156" t="n">
        <f aca="false">CHOOSE(Premissas!$B$6,Cenários!I18,Cenários!I64,Cenários!I110)</f>
        <v>0</v>
      </c>
      <c r="J17" s="156" t="n">
        <f aca="false">CHOOSE(Premissas!$B$6,Cenários!J18,Cenários!J64,Cenários!J110)</f>
        <v>0</v>
      </c>
      <c r="K17" s="156" t="n">
        <f aca="false">CHOOSE(Premissas!$B$6,Cenários!K18,Cenários!K64,Cenários!K110)</f>
        <v>8</v>
      </c>
      <c r="L17" s="156" t="n">
        <f aca="false">CHOOSE(Premissas!$B$6,Cenários!L18,Cenários!L64,Cenários!L110)</f>
        <v>29</v>
      </c>
      <c r="M17" s="156" t="n">
        <f aca="false">CHOOSE(Premissas!$B$6,Cenários!M18,Cenários!M64,Cenários!M110)</f>
        <v>63</v>
      </c>
      <c r="N17" s="156" t="n">
        <f aca="false">CHOOSE(Premissas!$B$6,Cenários!N18,Cenários!N64,Cenários!N110)</f>
        <v>158</v>
      </c>
      <c r="O17" s="156" t="n">
        <f aca="false">CHOOSE(Premissas!$B$6,Cenários!O18,Cenários!O64,Cenários!O110)</f>
        <v>257</v>
      </c>
      <c r="P17" s="156" t="n">
        <f aca="false">CHOOSE(Premissas!$B$6,Cenários!P18,Cenários!P64,Cenários!P110)</f>
        <v>373</v>
      </c>
      <c r="Q17" s="156" t="n">
        <f aca="false">CHOOSE(Premissas!$B$6,Cenários!Q18,Cenários!Q64,Cenários!Q110)</f>
        <v>433</v>
      </c>
      <c r="R17" s="156" t="n">
        <f aca="false">CHOOSE(Premissas!$B$6,Cenários!R18,Cenários!R64,Cenários!R110)</f>
        <v>488</v>
      </c>
      <c r="S17" s="156" t="n">
        <f aca="false">CHOOSE(Premissas!$B$6,Cenários!S18,Cenários!S64,Cenários!S110)</f>
        <v>539</v>
      </c>
      <c r="T17" s="156" t="n">
        <f aca="false">CHOOSE(Premissas!$B$6,Cenários!T18,Cenários!T64,Cenários!T110)</f>
        <v>587</v>
      </c>
      <c r="U17" s="156" t="n">
        <f aca="false">CHOOSE(Premissas!$B$6,Cenários!U18,Cenários!U64,Cenários!U110)</f>
        <v>630</v>
      </c>
      <c r="V17" s="156" t="n">
        <f aca="false">CHOOSE(Premissas!$B$6,Cenários!V18,Cenários!V64,Cenários!V110)</f>
        <v>671</v>
      </c>
      <c r="W17" s="156" t="n">
        <f aca="false">CHOOSE(Premissas!$B$6,Cenários!W18,Cenários!W64,Cenários!W110)</f>
        <v>708</v>
      </c>
      <c r="X17" s="156" t="n">
        <f aca="false">CHOOSE(Premissas!$B$6,Cenários!X18,Cenários!X64,Cenários!X110)</f>
        <v>743</v>
      </c>
      <c r="Y17" s="156" t="n">
        <f aca="false">CHOOSE(Premissas!$B$6,Cenários!Y18,Cenários!Y64,Cenários!Y110)</f>
        <v>776</v>
      </c>
      <c r="Z17" s="156" t="n">
        <f aca="false">CHOOSE(Premissas!$B$6,Cenários!Z18,Cenários!Z64,Cenários!Z110)</f>
        <v>1228</v>
      </c>
      <c r="AA17" s="156" t="n">
        <f aca="false">CHOOSE(Premissas!$B$6,Cenários!AA18,Cenários!AA64,Cenários!AA110)</f>
        <v>1331</v>
      </c>
      <c r="AB17" s="156" t="n">
        <f aca="false">CHOOSE(Premissas!$B$6,Cenários!AB18,Cenários!AB64,Cenários!AB110)</f>
        <v>1427</v>
      </c>
      <c r="AC17" s="156" t="n">
        <f aca="false">CHOOSE(Premissas!$B$6,Cenários!AC18,Cenários!AC64,Cenários!AC110)</f>
        <v>1516</v>
      </c>
      <c r="AD17" s="156" t="n">
        <f aca="false">CHOOSE(Premissas!$B$6,Cenários!AD18,Cenários!AD64,Cenários!AD110)</f>
        <v>1599</v>
      </c>
      <c r="AE17" s="156" t="n">
        <f aca="false">CHOOSE(Premissas!$B$6,Cenários!AE18,Cenários!AE64,Cenários!AE110)</f>
        <v>1675</v>
      </c>
      <c r="AF17" s="156" t="n">
        <f aca="false">CHOOSE(Premissas!$B$6,Cenários!AF18,Cenários!AF64,Cenários!AF110)</f>
        <v>1747</v>
      </c>
      <c r="AG17" s="156" t="n">
        <f aca="false">CHOOSE(Premissas!$B$6,Cenários!AG18,Cenários!AG64,Cenários!AG110)</f>
        <v>1813</v>
      </c>
      <c r="AH17" s="156" t="n">
        <f aca="false">CHOOSE(Premissas!$B$6,Cenários!AH18,Cenários!AH64,Cenários!AH110)</f>
        <v>1876</v>
      </c>
      <c r="AI17" s="156" t="n">
        <f aca="false">CHOOSE(Premissas!$B$6,Cenários!AI18,Cenários!AI64,Cenários!AI110)</f>
        <v>1933</v>
      </c>
      <c r="AJ17" s="156" t="n">
        <f aca="false">CHOOSE(Premissas!$B$6,Cenários!AJ18,Cenários!AJ64,Cenários!AJ110)</f>
        <v>1987</v>
      </c>
      <c r="AK17" s="156" t="n">
        <f aca="false">CHOOSE(Premissas!$B$6,Cenários!AK18,Cenários!AK64,Cenários!AK110)</f>
        <v>2036</v>
      </c>
      <c r="AL17" s="156" t="n">
        <f aca="false">CHOOSE(Premissas!$B$6,Cenários!AL18,Cenários!AL64,Cenários!AL110)</f>
        <v>2951</v>
      </c>
      <c r="AM17" s="156" t="n">
        <f aca="false">CHOOSE(Premissas!$B$6,Cenários!AM18,Cenários!AM64,Cenários!AM110)</f>
        <v>3139</v>
      </c>
      <c r="AN17" s="156" t="n">
        <f aca="false">CHOOSE(Premissas!$B$6,Cenários!AN18,Cenários!AN64,Cenários!AN110)</f>
        <v>3315</v>
      </c>
      <c r="AO17" s="156" t="n">
        <f aca="false">CHOOSE(Premissas!$B$6,Cenários!AO18,Cenários!AO64,Cenários!AO110)</f>
        <v>3480</v>
      </c>
      <c r="AP17" s="156" t="n">
        <f aca="false">CHOOSE(Premissas!$B$6,Cenários!AP18,Cenários!AP64,Cenários!AP110)</f>
        <v>3634</v>
      </c>
      <c r="AQ17" s="156" t="n">
        <f aca="false">CHOOSE(Premissas!$B$6,Cenários!AQ18,Cenários!AQ64,Cenários!AQ110)</f>
        <v>3777</v>
      </c>
      <c r="AR17" s="156" t="n">
        <f aca="false">CHOOSE(Premissas!$B$6,Cenários!AR18,Cenários!AR64,Cenários!AR110)</f>
        <v>3911</v>
      </c>
      <c r="AS17" s="156" t="n">
        <f aca="false">CHOOSE(Premissas!$B$6,Cenários!AS18,Cenários!AS64,Cenários!AS110)</f>
        <v>4035</v>
      </c>
      <c r="AT17" s="156" t="n">
        <f aca="false">CHOOSE(Premissas!$B$6,Cenários!AT18,Cenários!AT64,Cenários!AT110)</f>
        <v>4152</v>
      </c>
      <c r="AU17" s="156" t="n">
        <f aca="false">CHOOSE(Premissas!$B$6,Cenários!AU18,Cenários!AU64,Cenários!AU110)</f>
        <v>4261</v>
      </c>
      <c r="AV17" s="156" t="n">
        <f aca="false">CHOOSE(Premissas!$B$6,Cenários!AV18,Cenários!AV64,Cenários!AV110)</f>
        <v>4363</v>
      </c>
      <c r="AW17" s="156" t="n">
        <f aca="false">CHOOSE(Premissas!$B$6,Cenários!AW18,Cenários!AW64,Cenários!AW110)</f>
        <v>4457</v>
      </c>
      <c r="AX17" s="156" t="n">
        <f aca="false">CHOOSE(Premissas!$B$6,Cenários!AX18,Cenários!AX64,Cenários!AX110)</f>
        <v>6164</v>
      </c>
      <c r="AY17" s="156" t="n">
        <f aca="false">CHOOSE(Premissas!$B$6,Cenários!AY18,Cenários!AY64,Cenários!AY110)</f>
        <v>6527</v>
      </c>
      <c r="AZ17" s="156" t="n">
        <f aca="false">CHOOSE(Premissas!$B$6,Cenários!AZ18,Cenários!AZ64,Cenários!AZ110)</f>
        <v>6868</v>
      </c>
      <c r="BA17" s="156" t="n">
        <f aca="false">CHOOSE(Premissas!$B$6,Cenários!BA18,Cenários!BA64,Cenários!BA110)</f>
        <v>7187</v>
      </c>
      <c r="BB17" s="156" t="n">
        <f aca="false">CHOOSE(Premissas!$B$6,Cenários!BB18,Cenários!BB64,Cenários!BB110)</f>
        <v>7486</v>
      </c>
      <c r="BC17" s="156" t="n">
        <f aca="false">CHOOSE(Premissas!$B$6,Cenários!BC18,Cenários!BC64,Cenários!BC110)</f>
        <v>7766</v>
      </c>
      <c r="BD17" s="156" t="n">
        <f aca="false">CHOOSE(Premissas!$B$6,Cenários!BD18,Cenários!BD64,Cenários!BD110)</f>
        <v>8029</v>
      </c>
      <c r="BE17" s="156" t="n">
        <f aca="false">CHOOSE(Premissas!$B$6,Cenários!BE18,Cenários!BE64,Cenários!BE110)</f>
        <v>8276</v>
      </c>
      <c r="BF17" s="156" t="n">
        <f aca="false">CHOOSE(Premissas!$B$6,Cenários!BF18,Cenários!BF64,Cenários!BF110)</f>
        <v>8506</v>
      </c>
      <c r="BG17" s="156" t="n">
        <f aca="false">CHOOSE(Premissas!$B$6,Cenários!BG18,Cenários!BG64,Cenários!BG110)</f>
        <v>8723</v>
      </c>
      <c r="BH17" s="156" t="n">
        <f aca="false">CHOOSE(Premissas!$B$6,Cenários!BH18,Cenários!BH64,Cenários!BH110)</f>
        <v>8926</v>
      </c>
      <c r="BI17" s="156" t="n">
        <f aca="false">CHOOSE(Premissas!$B$6,Cenários!BI18,Cenários!BI64,Cenários!BI110)</f>
        <v>9117</v>
      </c>
      <c r="BJ17" s="109" t="n">
        <f aca="false">BI17</f>
        <v>9117</v>
      </c>
      <c r="BK17" s="29" t="s">
        <v>538</v>
      </c>
    </row>
    <row r="18" customFormat="false" ht="15" hidden="false" customHeight="false" outlineLevel="0" collapsed="false">
      <c r="A18" s="27" t="s">
        <v>546</v>
      </c>
      <c r="B18" s="156" t="n">
        <f aca="false">Pessoas!B41</f>
        <v>0</v>
      </c>
      <c r="C18" s="156" t="n">
        <f aca="false">Pessoas!C41</f>
        <v>0</v>
      </c>
      <c r="D18" s="156" t="n">
        <f aca="false">Pessoas!D41</f>
        <v>0</v>
      </c>
      <c r="E18" s="156" t="n">
        <f aca="false">Pessoas!E41</f>
        <v>0</v>
      </c>
      <c r="F18" s="156" t="n">
        <f aca="false">Pessoas!F41</f>
        <v>0</v>
      </c>
      <c r="G18" s="156" t="n">
        <f aca="false">Pessoas!G41</f>
        <v>0</v>
      </c>
      <c r="H18" s="156" t="n">
        <f aca="false">Pessoas!H41</f>
        <v>0</v>
      </c>
      <c r="I18" s="156" t="n">
        <f aca="false">Pessoas!I41</f>
        <v>0</v>
      </c>
      <c r="J18" s="156" t="n">
        <f aca="false">Pessoas!J41</f>
        <v>1</v>
      </c>
      <c r="K18" s="156" t="n">
        <f aca="false">Pessoas!K41</f>
        <v>1</v>
      </c>
      <c r="L18" s="156" t="n">
        <f aca="false">Pessoas!L41</f>
        <v>0</v>
      </c>
      <c r="M18" s="156" t="n">
        <f aca="false">Pessoas!M41</f>
        <v>0</v>
      </c>
      <c r="N18" s="156" t="n">
        <f aca="false">Pessoas!N41</f>
        <v>7</v>
      </c>
      <c r="O18" s="156" t="n">
        <f aca="false">Pessoas!O41</f>
        <v>7</v>
      </c>
      <c r="P18" s="156" t="n">
        <f aca="false">Pessoas!P41</f>
        <v>7</v>
      </c>
      <c r="Q18" s="156" t="n">
        <f aca="false">Pessoas!Q41</f>
        <v>7</v>
      </c>
      <c r="R18" s="156" t="n">
        <f aca="false">Pessoas!R41</f>
        <v>7</v>
      </c>
      <c r="S18" s="156" t="n">
        <f aca="false">Pessoas!S41</f>
        <v>7</v>
      </c>
      <c r="T18" s="156" t="n">
        <f aca="false">Pessoas!T41</f>
        <v>7</v>
      </c>
      <c r="U18" s="156" t="n">
        <f aca="false">Pessoas!U41</f>
        <v>7</v>
      </c>
      <c r="V18" s="156" t="n">
        <f aca="false">Pessoas!V41</f>
        <v>7</v>
      </c>
      <c r="W18" s="156" t="n">
        <f aca="false">Pessoas!W41</f>
        <v>7</v>
      </c>
      <c r="X18" s="156" t="n">
        <f aca="false">Pessoas!X41</f>
        <v>7</v>
      </c>
      <c r="Y18" s="156" t="n">
        <f aca="false">Pessoas!Y41</f>
        <v>7</v>
      </c>
      <c r="Z18" s="156" t="n">
        <f aca="false">Pessoas!Z41</f>
        <v>17</v>
      </c>
      <c r="AA18" s="156" t="n">
        <f aca="false">Pessoas!AA41</f>
        <v>17</v>
      </c>
      <c r="AB18" s="156" t="n">
        <f aca="false">Pessoas!AB41</f>
        <v>17</v>
      </c>
      <c r="AC18" s="156" t="n">
        <f aca="false">Pessoas!AC41</f>
        <v>17</v>
      </c>
      <c r="AD18" s="156" t="n">
        <f aca="false">Pessoas!AD41</f>
        <v>17</v>
      </c>
      <c r="AE18" s="156" t="n">
        <f aca="false">Pessoas!AE41</f>
        <v>17</v>
      </c>
      <c r="AF18" s="156" t="n">
        <f aca="false">Pessoas!AF41</f>
        <v>17</v>
      </c>
      <c r="AG18" s="156" t="n">
        <f aca="false">Pessoas!AG41</f>
        <v>17</v>
      </c>
      <c r="AH18" s="156" t="n">
        <f aca="false">Pessoas!AH41</f>
        <v>17</v>
      </c>
      <c r="AI18" s="156" t="n">
        <f aca="false">Pessoas!AI41</f>
        <v>17</v>
      </c>
      <c r="AJ18" s="156" t="n">
        <f aca="false">Pessoas!AJ41</f>
        <v>17</v>
      </c>
      <c r="AK18" s="156" t="n">
        <f aca="false">Pessoas!AK41</f>
        <v>17</v>
      </c>
      <c r="AL18" s="156" t="n">
        <f aca="false">Pessoas!AL41</f>
        <v>34</v>
      </c>
      <c r="AM18" s="156" t="n">
        <f aca="false">Pessoas!AM41</f>
        <v>34</v>
      </c>
      <c r="AN18" s="156" t="n">
        <f aca="false">Pessoas!AN41</f>
        <v>34</v>
      </c>
      <c r="AO18" s="156" t="n">
        <f aca="false">Pessoas!AO41</f>
        <v>34</v>
      </c>
      <c r="AP18" s="156" t="n">
        <f aca="false">Pessoas!AP41</f>
        <v>34</v>
      </c>
      <c r="AQ18" s="156" t="n">
        <f aca="false">Pessoas!AQ41</f>
        <v>34</v>
      </c>
      <c r="AR18" s="156" t="n">
        <f aca="false">Pessoas!AR41</f>
        <v>34</v>
      </c>
      <c r="AS18" s="156" t="n">
        <f aca="false">Pessoas!AS41</f>
        <v>34</v>
      </c>
      <c r="AT18" s="156" t="n">
        <f aca="false">Pessoas!AT41</f>
        <v>34</v>
      </c>
      <c r="AU18" s="156" t="n">
        <f aca="false">Pessoas!AU41</f>
        <v>34</v>
      </c>
      <c r="AV18" s="156" t="n">
        <f aca="false">Pessoas!AV41</f>
        <v>34</v>
      </c>
      <c r="AW18" s="156" t="n">
        <f aca="false">Pessoas!AW41</f>
        <v>34</v>
      </c>
      <c r="AX18" s="156" t="n">
        <f aca="false">Pessoas!AX41</f>
        <v>50</v>
      </c>
      <c r="AY18" s="156" t="n">
        <f aca="false">Pessoas!AY41</f>
        <v>50</v>
      </c>
      <c r="AZ18" s="156" t="n">
        <f aca="false">Pessoas!AZ41</f>
        <v>50</v>
      </c>
      <c r="BA18" s="156" t="n">
        <f aca="false">Pessoas!BA41</f>
        <v>50</v>
      </c>
      <c r="BB18" s="156" t="n">
        <f aca="false">Pessoas!BB41</f>
        <v>50</v>
      </c>
      <c r="BC18" s="156" t="n">
        <f aca="false">Pessoas!BC41</f>
        <v>50</v>
      </c>
      <c r="BD18" s="156" t="n">
        <f aca="false">Pessoas!BD41</f>
        <v>50</v>
      </c>
      <c r="BE18" s="156" t="n">
        <f aca="false">Pessoas!BE41</f>
        <v>50</v>
      </c>
      <c r="BF18" s="156" t="n">
        <f aca="false">Pessoas!BF41</f>
        <v>50</v>
      </c>
      <c r="BG18" s="156" t="n">
        <f aca="false">Pessoas!BG41</f>
        <v>50</v>
      </c>
      <c r="BH18" s="156" t="n">
        <f aca="false">Pessoas!BH41</f>
        <v>50</v>
      </c>
      <c r="BI18" s="156" t="n">
        <f aca="false">Pessoas!BI41</f>
        <v>50</v>
      </c>
    </row>
    <row r="19" customFormat="false" ht="15" hidden="false" customHeight="false" outlineLevel="0" collapsed="false">
      <c r="A19" s="27" t="s">
        <v>547</v>
      </c>
      <c r="B19" s="108" t="n">
        <f aca="false">B12-B14</f>
        <v>0</v>
      </c>
      <c r="C19" s="108" t="n">
        <f aca="false">C12-C14</f>
        <v>0</v>
      </c>
      <c r="D19" s="108" t="n">
        <f aca="false">D12-D14</f>
        <v>0</v>
      </c>
      <c r="E19" s="108" t="n">
        <f aca="false">E12-E14</f>
        <v>0</v>
      </c>
      <c r="F19" s="108" t="n">
        <f aca="false">F12-F14</f>
        <v>0</v>
      </c>
      <c r="G19" s="108" t="n">
        <f aca="false">G12-G14</f>
        <v>0</v>
      </c>
      <c r="H19" s="108" t="n">
        <f aca="false">H12-H14</f>
        <v>0</v>
      </c>
      <c r="I19" s="108" t="n">
        <f aca="false">I12-I14</f>
        <v>0</v>
      </c>
      <c r="J19" s="108" t="n">
        <f aca="false">J12-J14</f>
        <v>0</v>
      </c>
      <c r="K19" s="108" t="n">
        <f aca="false">K12-K14</f>
        <v>17949</v>
      </c>
      <c r="L19" s="108" t="n">
        <f aca="false">L12-L14</f>
        <v>34173</v>
      </c>
      <c r="M19" s="108" t="n">
        <f aca="false">M12-M14</f>
        <v>48819.84</v>
      </c>
      <c r="N19" s="108" t="n">
        <f aca="false">N12-N14</f>
        <v>70812.437632</v>
      </c>
      <c r="O19" s="108" t="n">
        <f aca="false">O12-O14</f>
        <v>90803.5135220736</v>
      </c>
      <c r="P19" s="108" t="n">
        <f aca="false">P12-P14</f>
        <v>108868.308505214</v>
      </c>
      <c r="Q19" s="108" t="n">
        <f aca="false">Q12-Q14</f>
        <v>126365.118905622</v>
      </c>
      <c r="R19" s="108" t="n">
        <f aca="false">R12-R14</f>
        <v>142546.044363919</v>
      </c>
      <c r="S19" s="108" t="n">
        <f aca="false">S12-S14</f>
        <v>157510.679427752</v>
      </c>
      <c r="T19" s="108" t="n">
        <f aca="false">T12-T14</f>
        <v>171349.753134785</v>
      </c>
      <c r="U19" s="108" t="n">
        <f aca="false">U12-U14</f>
        <v>184147.720499049</v>
      </c>
      <c r="V19" s="108" t="n">
        <f aca="false">V12-V14</f>
        <v>195984.309517521</v>
      </c>
      <c r="W19" s="108" t="n">
        <f aca="false">W12-W14</f>
        <v>206930.027041803</v>
      </c>
      <c r="X19" s="108" t="n">
        <f aca="false">X12-X14</f>
        <v>217052.62660826</v>
      </c>
      <c r="Y19" s="108" t="n">
        <f aca="false">Y12-Y14</f>
        <v>226414.541087319</v>
      </c>
      <c r="Z19" s="108" t="n">
        <f aca="false">Z12-Z14</f>
        <v>247798.178294938</v>
      </c>
      <c r="AA19" s="108" t="n">
        <f aca="false">AA12-AA14</f>
        <v>268631.971931626</v>
      </c>
      <c r="AB19" s="108" t="n">
        <f aca="false">AB12-AB14</f>
        <v>287992.878843723</v>
      </c>
      <c r="AC19" s="108" t="n">
        <f aca="false">AC12-AC14</f>
        <v>305985.447056018</v>
      </c>
      <c r="AD19" s="108" t="n">
        <f aca="false">AD12-AD14</f>
        <v>322705.410174522</v>
      </c>
      <c r="AE19" s="108" t="n">
        <f aca="false">AE12-AE14</f>
        <v>338244.239772105</v>
      </c>
      <c r="AF19" s="108" t="n">
        <f aca="false">AF12-AF14</f>
        <v>352684.658727095</v>
      </c>
      <c r="AG19" s="108" t="n">
        <f aca="false">AG12-AG14</f>
        <v>366104.118274994</v>
      </c>
      <c r="AH19" s="108" t="n">
        <f aca="false">AH12-AH14</f>
        <v>378574.241338371</v>
      </c>
      <c r="AI19" s="108" t="n">
        <f aca="false">AI12-AI14</f>
        <v>390163.234518644</v>
      </c>
      <c r="AJ19" s="108" t="n">
        <f aca="false">AJ12-AJ14</f>
        <v>400933.27096499</v>
      </c>
      <c r="AK19" s="108" t="n">
        <f aca="false">AK12-AK14</f>
        <v>410942.846179017</v>
      </c>
      <c r="AL19" s="108" t="n">
        <f aca="false">AL12-AL14</f>
        <v>438975.472918957</v>
      </c>
      <c r="AM19" s="108" t="n">
        <f aca="false">AM12-AM14</f>
        <v>467046.782769284</v>
      </c>
      <c r="AN19" s="108" t="n">
        <f aca="false">AN12-AN14</f>
        <v>493253.461193312</v>
      </c>
      <c r="AO19" s="108" t="n">
        <f aca="false">AO12-AO14</f>
        <v>517717.779120049</v>
      </c>
      <c r="AP19" s="108" t="n">
        <f aca="false">AP12-AP14</f>
        <v>540557.218509117</v>
      </c>
      <c r="AQ19" s="108" t="n">
        <f aca="false">AQ12-AQ14</f>
        <v>561879.056348943</v>
      </c>
      <c r="AR19" s="108" t="n">
        <f aca="false">AR12-AR14</f>
        <v>581783.909850181</v>
      </c>
      <c r="AS19" s="108" t="n">
        <f aca="false">AS12-AS14</f>
        <v>600366.245412821</v>
      </c>
      <c r="AT19" s="108" t="n">
        <f aca="false">AT12-AT14</f>
        <v>617713.853774104</v>
      </c>
      <c r="AU19" s="108" t="n">
        <f aca="false">AU12-AU14</f>
        <v>633908.293584415</v>
      </c>
      <c r="AV19" s="108" t="n">
        <f aca="false">AV12-AV14</f>
        <v>649027.305509013</v>
      </c>
      <c r="AW19" s="108" t="n">
        <f aca="false">AW12-AW14</f>
        <v>663141.198814062</v>
      </c>
      <c r="AX19" s="108" t="n">
        <f aca="false">AX12-AX14</f>
        <v>703776.491458206</v>
      </c>
      <c r="AY19" s="108" t="n">
        <f aca="false">AY12-AY14</f>
        <v>745216.479349748</v>
      </c>
      <c r="AZ19" s="108" t="n">
        <f aca="false">AZ12-AZ14</f>
        <v>784068.187797072</v>
      </c>
      <c r="BA19" s="108" t="n">
        <f aca="false">BA12-BA14</f>
        <v>820494.085443193</v>
      </c>
      <c r="BB19" s="108" t="n">
        <f aca="false">BB12-BB14</f>
        <v>854643.806094117</v>
      </c>
      <c r="BC19" s="108" t="n">
        <f aca="false">BC12-BC14</f>
        <v>886660.825461859</v>
      </c>
      <c r="BD19" s="108" t="n">
        <f aca="false">BD12-BD14</f>
        <v>916678.095638147</v>
      </c>
      <c r="BE19" s="108" t="n">
        <f aca="false">BE12-BE14</f>
        <v>944820.639938951</v>
      </c>
      <c r="BF19" s="108" t="n">
        <f aca="false">BF12-BF14</f>
        <v>971205.11059508</v>
      </c>
      <c r="BG19" s="108" t="n">
        <f aca="false">BG12-BG14</f>
        <v>995942.311609458</v>
      </c>
      <c r="BH19" s="108" t="n">
        <f aca="false">BH12-BH14</f>
        <v>1019133.68895679</v>
      </c>
      <c r="BI19" s="108" t="n">
        <f aca="false">BI12-BI14</f>
        <v>1040876.79016539</v>
      </c>
      <c r="BJ19" s="109" t="n">
        <f aca="false">BI19</f>
        <v>1040876.79016539</v>
      </c>
    </row>
    <row r="21" customFormat="false" ht="18" hidden="false" customHeight="true" outlineLevel="0" collapsed="false">
      <c r="A21" s="25" t="s">
        <v>548</v>
      </c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  <c r="BH21" s="26"/>
      <c r="BI21" s="26"/>
      <c r="BJ21" s="26"/>
      <c r="BK21" s="26"/>
    </row>
    <row r="22" customFormat="false" ht="15" hidden="false" customHeight="false" outlineLevel="0" collapsed="false">
      <c r="A22" s="27" t="s">
        <v>549</v>
      </c>
      <c r="B22" s="110" t="n">
        <f aca="false">B9*(1-INDEX(Premissas!$C$59:$G$59,B$7))*CHOOSE(Premissas!$B$6,INDEX(Premissas!$C$56:$G$56,B$7),INDEX(Premissas!$C$57:$G$57,B$7),INDEX(Premissas!$C$58:$G$58,B$7))</f>
        <v>0</v>
      </c>
      <c r="C22" s="110" t="n">
        <f aca="false">C9*(1-INDEX(Premissas!$C$59:$G$59,C$7))*CHOOSE(Premissas!$B$6,INDEX(Premissas!$C$56:$G$56,C$7),INDEX(Premissas!$C$57:$G$57,C$7),INDEX(Premissas!$C$58:$G$58,C$7))</f>
        <v>0</v>
      </c>
      <c r="D22" s="110" t="n">
        <f aca="false">D9*(1-INDEX(Premissas!$C$59:$G$59,D$7))*CHOOSE(Premissas!$B$6,INDEX(Premissas!$C$56:$G$56,D$7),INDEX(Premissas!$C$57:$G$57,D$7),INDEX(Premissas!$C$58:$G$58,D$7))</f>
        <v>0</v>
      </c>
      <c r="E22" s="110" t="n">
        <f aca="false">E9*(1-INDEX(Premissas!$C$59:$G$59,E$7))*CHOOSE(Premissas!$B$6,INDEX(Premissas!$C$56:$G$56,E$7),INDEX(Premissas!$C$57:$G$57,E$7),INDEX(Premissas!$C$58:$G$58,E$7))</f>
        <v>0</v>
      </c>
      <c r="F22" s="110" t="n">
        <f aca="false">F9*(1-INDEX(Premissas!$C$59:$G$59,F$7))*CHOOSE(Premissas!$B$6,INDEX(Premissas!$C$56:$G$56,F$7),INDEX(Premissas!$C$57:$G$57,F$7),INDEX(Premissas!$C$58:$G$58,F$7))</f>
        <v>0</v>
      </c>
      <c r="G22" s="110" t="n">
        <f aca="false">G9*(1-INDEX(Premissas!$C$59:$G$59,G$7))*CHOOSE(Premissas!$B$6,INDEX(Premissas!$C$56:$G$56,G$7),INDEX(Premissas!$C$57:$G$57,G$7),INDEX(Premissas!$C$58:$G$58,G$7))</f>
        <v>0</v>
      </c>
      <c r="H22" s="110" t="n">
        <f aca="false">H9*(1-INDEX(Premissas!$C$59:$G$59,H$7))*CHOOSE(Premissas!$B$6,INDEX(Premissas!$C$56:$G$56,H$7),INDEX(Premissas!$C$57:$G$57,H$7),INDEX(Premissas!$C$58:$G$58,H$7))</f>
        <v>0</v>
      </c>
      <c r="I22" s="110" t="n">
        <f aca="false">I9*(1-INDEX(Premissas!$C$59:$G$59,I$7))*CHOOSE(Premissas!$B$6,INDEX(Premissas!$C$56:$G$56,I$7),INDEX(Premissas!$C$57:$G$57,I$7),INDEX(Premissas!$C$58:$G$58,I$7))</f>
        <v>0</v>
      </c>
      <c r="J22" s="110" t="n">
        <f aca="false">J9*(1-INDEX(Premissas!$C$59:$G$59,J$7))*CHOOSE(Premissas!$B$6,INDEX(Premissas!$C$56:$G$56,J$7),INDEX(Premissas!$C$57:$G$57,J$7),INDEX(Premissas!$C$58:$G$58,J$7))</f>
        <v>0</v>
      </c>
      <c r="K22" s="110" t="n">
        <f aca="false">K9*(1-INDEX(Premissas!$C$59:$G$59,K$7))*CHOOSE(Premissas!$B$6,INDEX(Premissas!$C$56:$G$56,K$7),INDEX(Premissas!$C$57:$G$57,K$7),INDEX(Premissas!$C$58:$G$58,K$7))</f>
        <v>31675</v>
      </c>
      <c r="L22" s="110" t="n">
        <f aca="false">L9*(1-INDEX(Premissas!$C$59:$G$59,L$7))*CHOOSE(Premissas!$B$6,INDEX(Premissas!$C$56:$G$56,L$7),INDEX(Premissas!$C$57:$G$57,L$7),INDEX(Premissas!$C$58:$G$58,L$7))</f>
        <v>31675</v>
      </c>
      <c r="M22" s="110" t="n">
        <f aca="false">M9*(1-INDEX(Premissas!$C$59:$G$59,M$7))*CHOOSE(Premissas!$B$6,INDEX(Premissas!$C$56:$G$56,M$7),INDEX(Premissas!$C$57:$G$57,M$7),INDEX(Premissas!$C$58:$G$58,M$7))</f>
        <v>31675</v>
      </c>
      <c r="N22" s="110" t="n">
        <f aca="false">N9*(1-INDEX(Premissas!$C$59:$G$59,N$7))*CHOOSE(Premissas!$B$6,INDEX(Premissas!$C$56:$G$56,N$7),INDEX(Premissas!$C$57:$G$57,N$7),INDEX(Premissas!$C$58:$G$58,N$7))</f>
        <v>53078.25</v>
      </c>
      <c r="O22" s="110" t="n">
        <f aca="false">O9*(1-INDEX(Premissas!$C$59:$G$59,O$7))*CHOOSE(Premissas!$B$6,INDEX(Premissas!$C$56:$G$56,O$7),INDEX(Premissas!$C$57:$G$57,O$7),INDEX(Premissas!$C$58:$G$58,O$7))</f>
        <v>53078.25</v>
      </c>
      <c r="P22" s="110" t="n">
        <f aca="false">P9*(1-INDEX(Premissas!$C$59:$G$59,P$7))*CHOOSE(Premissas!$B$6,INDEX(Premissas!$C$56:$G$56,P$7),INDEX(Premissas!$C$57:$G$57,P$7),INDEX(Premissas!$C$58:$G$58,P$7))</f>
        <v>53078.25</v>
      </c>
      <c r="Q22" s="110" t="n">
        <f aca="false">Q9*(1-INDEX(Premissas!$C$59:$G$59,Q$7))*CHOOSE(Premissas!$B$6,INDEX(Premissas!$C$56:$G$56,Q$7),INDEX(Premissas!$C$57:$G$57,Q$7),INDEX(Premissas!$C$58:$G$58,Q$7))</f>
        <v>53078.25</v>
      </c>
      <c r="R22" s="110" t="n">
        <f aca="false">R9*(1-INDEX(Premissas!$C$59:$G$59,R$7))*CHOOSE(Premissas!$B$6,INDEX(Premissas!$C$56:$G$56,R$7),INDEX(Premissas!$C$57:$G$57,R$7),INDEX(Premissas!$C$58:$G$58,R$7))</f>
        <v>53078.25</v>
      </c>
      <c r="S22" s="110" t="n">
        <f aca="false">S9*(1-INDEX(Premissas!$C$59:$G$59,S$7))*CHOOSE(Premissas!$B$6,INDEX(Premissas!$C$56:$G$56,S$7),INDEX(Premissas!$C$57:$G$57,S$7),INDEX(Premissas!$C$58:$G$58,S$7))</f>
        <v>53078.25</v>
      </c>
      <c r="T22" s="110" t="n">
        <f aca="false">T9*(1-INDEX(Premissas!$C$59:$G$59,T$7))*CHOOSE(Premissas!$B$6,INDEX(Premissas!$C$56:$G$56,T$7),INDEX(Premissas!$C$57:$G$57,T$7),INDEX(Premissas!$C$58:$G$58,T$7))</f>
        <v>53078.25</v>
      </c>
      <c r="U22" s="110" t="n">
        <f aca="false">U9*(1-INDEX(Premissas!$C$59:$G$59,U$7))*CHOOSE(Premissas!$B$6,INDEX(Premissas!$C$56:$G$56,U$7),INDEX(Premissas!$C$57:$G$57,U$7),INDEX(Premissas!$C$58:$G$58,U$7))</f>
        <v>53078.25</v>
      </c>
      <c r="V22" s="110" t="n">
        <f aca="false">V9*(1-INDEX(Premissas!$C$59:$G$59,V$7))*CHOOSE(Premissas!$B$6,INDEX(Premissas!$C$56:$G$56,V$7),INDEX(Premissas!$C$57:$G$57,V$7),INDEX(Premissas!$C$58:$G$58,V$7))</f>
        <v>53078.25</v>
      </c>
      <c r="W22" s="110" t="n">
        <f aca="false">W9*(1-INDEX(Premissas!$C$59:$G$59,W$7))*CHOOSE(Premissas!$B$6,INDEX(Premissas!$C$56:$G$56,W$7),INDEX(Premissas!$C$57:$G$57,W$7),INDEX(Premissas!$C$58:$G$58,W$7))</f>
        <v>53078.25</v>
      </c>
      <c r="X22" s="110" t="n">
        <f aca="false">X9*(1-INDEX(Premissas!$C$59:$G$59,X$7))*CHOOSE(Premissas!$B$6,INDEX(Premissas!$C$56:$G$56,X$7),INDEX(Premissas!$C$57:$G$57,X$7),INDEX(Premissas!$C$58:$G$58,X$7))</f>
        <v>53078.25</v>
      </c>
      <c r="Y22" s="110" t="n">
        <f aca="false">Y9*(1-INDEX(Premissas!$C$59:$G$59,Y$7))*CHOOSE(Premissas!$B$6,INDEX(Premissas!$C$56:$G$56,Y$7),INDEX(Premissas!$C$57:$G$57,Y$7),INDEX(Premissas!$C$58:$G$58,Y$7))</f>
        <v>53078.25</v>
      </c>
      <c r="Z22" s="110" t="n">
        <f aca="false">Z9*(1-INDEX(Premissas!$C$59:$G$59,Z$7))*CHOOSE(Premissas!$B$6,INDEX(Premissas!$C$56:$G$56,Z$7),INDEX(Premissas!$C$57:$G$57,Z$7),INDEX(Premissas!$C$58:$G$58,Z$7))</f>
        <v>87520.5703125</v>
      </c>
      <c r="AA22" s="110" t="n">
        <f aca="false">AA9*(1-INDEX(Premissas!$C$59:$G$59,AA$7))*CHOOSE(Premissas!$B$6,INDEX(Premissas!$C$56:$G$56,AA$7),INDEX(Premissas!$C$57:$G$57,AA$7),INDEX(Premissas!$C$58:$G$58,AA$7))</f>
        <v>87520.5703125</v>
      </c>
      <c r="AB22" s="110" t="n">
        <f aca="false">AB9*(1-INDEX(Premissas!$C$59:$G$59,AB$7))*CHOOSE(Premissas!$B$6,INDEX(Premissas!$C$56:$G$56,AB$7),INDEX(Premissas!$C$57:$G$57,AB$7),INDEX(Premissas!$C$58:$G$58,AB$7))</f>
        <v>87520.5703125</v>
      </c>
      <c r="AC22" s="110" t="n">
        <f aca="false">AC9*(1-INDEX(Premissas!$C$59:$G$59,AC$7))*CHOOSE(Premissas!$B$6,INDEX(Premissas!$C$56:$G$56,AC$7),INDEX(Premissas!$C$57:$G$57,AC$7),INDEX(Premissas!$C$58:$G$58,AC$7))</f>
        <v>87520.5703125</v>
      </c>
      <c r="AD22" s="110" t="n">
        <f aca="false">AD9*(1-INDEX(Premissas!$C$59:$G$59,AD$7))*CHOOSE(Premissas!$B$6,INDEX(Premissas!$C$56:$G$56,AD$7),INDEX(Premissas!$C$57:$G$57,AD$7),INDEX(Premissas!$C$58:$G$58,AD$7))</f>
        <v>87520.5703125</v>
      </c>
      <c r="AE22" s="110" t="n">
        <f aca="false">AE9*(1-INDEX(Premissas!$C$59:$G$59,AE$7))*CHOOSE(Premissas!$B$6,INDEX(Premissas!$C$56:$G$56,AE$7),INDEX(Premissas!$C$57:$G$57,AE$7),INDEX(Premissas!$C$58:$G$58,AE$7))</f>
        <v>87520.5703125</v>
      </c>
      <c r="AF22" s="110" t="n">
        <f aca="false">AF9*(1-INDEX(Premissas!$C$59:$G$59,AF$7))*CHOOSE(Premissas!$B$6,INDEX(Premissas!$C$56:$G$56,AF$7),INDEX(Premissas!$C$57:$G$57,AF$7),INDEX(Premissas!$C$58:$G$58,AF$7))</f>
        <v>87520.5703125</v>
      </c>
      <c r="AG22" s="110" t="n">
        <f aca="false">AG9*(1-INDEX(Premissas!$C$59:$G$59,AG$7))*CHOOSE(Premissas!$B$6,INDEX(Premissas!$C$56:$G$56,AG$7),INDEX(Premissas!$C$57:$G$57,AG$7),INDEX(Premissas!$C$58:$G$58,AG$7))</f>
        <v>87520.5703125</v>
      </c>
      <c r="AH22" s="110" t="n">
        <f aca="false">AH9*(1-INDEX(Premissas!$C$59:$G$59,AH$7))*CHOOSE(Premissas!$B$6,INDEX(Premissas!$C$56:$G$56,AH$7),INDEX(Premissas!$C$57:$G$57,AH$7),INDEX(Premissas!$C$58:$G$58,AH$7))</f>
        <v>87520.5703125</v>
      </c>
      <c r="AI22" s="110" t="n">
        <f aca="false">AI9*(1-INDEX(Premissas!$C$59:$G$59,AI$7))*CHOOSE(Premissas!$B$6,INDEX(Premissas!$C$56:$G$56,AI$7),INDEX(Premissas!$C$57:$G$57,AI$7),INDEX(Premissas!$C$58:$G$58,AI$7))</f>
        <v>87520.5703125</v>
      </c>
      <c r="AJ22" s="110" t="n">
        <f aca="false">AJ9*(1-INDEX(Premissas!$C$59:$G$59,AJ$7))*CHOOSE(Premissas!$B$6,INDEX(Premissas!$C$56:$G$56,AJ$7),INDEX(Premissas!$C$57:$G$57,AJ$7),INDEX(Premissas!$C$58:$G$58,AJ$7))</f>
        <v>87520.5703125</v>
      </c>
      <c r="AK22" s="110" t="n">
        <f aca="false">AK9*(1-INDEX(Premissas!$C$59:$G$59,AK$7))*CHOOSE(Premissas!$B$6,INDEX(Premissas!$C$56:$G$56,AK$7),INDEX(Premissas!$C$57:$G$57,AK$7),INDEX(Premissas!$C$58:$G$58,AK$7))</f>
        <v>87520.5703125</v>
      </c>
      <c r="AL22" s="110" t="n">
        <f aca="false">AL9*(1-INDEX(Premissas!$C$59:$G$59,AL$7))*CHOOSE(Premissas!$B$6,INDEX(Premissas!$C$56:$G$56,AL$7),INDEX(Premissas!$C$57:$G$57,AL$7),INDEX(Premissas!$C$58:$G$58,AL$7))</f>
        <v>144004.999921875</v>
      </c>
      <c r="AM22" s="110" t="n">
        <f aca="false">AM9*(1-INDEX(Premissas!$C$59:$G$59,AM$7))*CHOOSE(Premissas!$B$6,INDEX(Premissas!$C$56:$G$56,AM$7),INDEX(Premissas!$C$57:$G$57,AM$7),INDEX(Premissas!$C$58:$G$58,AM$7))</f>
        <v>144004.999921875</v>
      </c>
      <c r="AN22" s="110" t="n">
        <f aca="false">AN9*(1-INDEX(Premissas!$C$59:$G$59,AN$7))*CHOOSE(Premissas!$B$6,INDEX(Premissas!$C$56:$G$56,AN$7),INDEX(Premissas!$C$57:$G$57,AN$7),INDEX(Premissas!$C$58:$G$58,AN$7))</f>
        <v>144004.999921875</v>
      </c>
      <c r="AO22" s="110" t="n">
        <f aca="false">AO9*(1-INDEX(Premissas!$C$59:$G$59,AO$7))*CHOOSE(Premissas!$B$6,INDEX(Premissas!$C$56:$G$56,AO$7),INDEX(Premissas!$C$57:$G$57,AO$7),INDEX(Premissas!$C$58:$G$58,AO$7))</f>
        <v>144004.999921875</v>
      </c>
      <c r="AP22" s="110" t="n">
        <f aca="false">AP9*(1-INDEX(Premissas!$C$59:$G$59,AP$7))*CHOOSE(Premissas!$B$6,INDEX(Premissas!$C$56:$G$56,AP$7),INDEX(Premissas!$C$57:$G$57,AP$7),INDEX(Premissas!$C$58:$G$58,AP$7))</f>
        <v>144004.999921875</v>
      </c>
      <c r="AQ22" s="110" t="n">
        <f aca="false">AQ9*(1-INDEX(Premissas!$C$59:$G$59,AQ$7))*CHOOSE(Premissas!$B$6,INDEX(Premissas!$C$56:$G$56,AQ$7),INDEX(Premissas!$C$57:$G$57,AQ$7),INDEX(Premissas!$C$58:$G$58,AQ$7))</f>
        <v>144004.999921875</v>
      </c>
      <c r="AR22" s="110" t="n">
        <f aca="false">AR9*(1-INDEX(Premissas!$C$59:$G$59,AR$7))*CHOOSE(Premissas!$B$6,INDEX(Premissas!$C$56:$G$56,AR$7),INDEX(Premissas!$C$57:$G$57,AR$7),INDEX(Premissas!$C$58:$G$58,AR$7))</f>
        <v>144004.999921875</v>
      </c>
      <c r="AS22" s="110" t="n">
        <f aca="false">AS9*(1-INDEX(Premissas!$C$59:$G$59,AS$7))*CHOOSE(Premissas!$B$6,INDEX(Premissas!$C$56:$G$56,AS$7),INDEX(Premissas!$C$57:$G$57,AS$7),INDEX(Premissas!$C$58:$G$58,AS$7))</f>
        <v>144004.999921875</v>
      </c>
      <c r="AT22" s="110" t="n">
        <f aca="false">AT9*(1-INDEX(Premissas!$C$59:$G$59,AT$7))*CHOOSE(Premissas!$B$6,INDEX(Premissas!$C$56:$G$56,AT$7),INDEX(Premissas!$C$57:$G$57,AT$7),INDEX(Premissas!$C$58:$G$58,AT$7))</f>
        <v>144004.999921875</v>
      </c>
      <c r="AU22" s="110" t="n">
        <f aca="false">AU9*(1-INDEX(Premissas!$C$59:$G$59,AU$7))*CHOOSE(Premissas!$B$6,INDEX(Premissas!$C$56:$G$56,AU$7),INDEX(Premissas!$C$57:$G$57,AU$7),INDEX(Premissas!$C$58:$G$58,AU$7))</f>
        <v>144004.999921875</v>
      </c>
      <c r="AV22" s="110" t="n">
        <f aca="false">AV9*(1-INDEX(Premissas!$C$59:$G$59,AV$7))*CHOOSE(Premissas!$B$6,INDEX(Premissas!$C$56:$G$56,AV$7),INDEX(Premissas!$C$57:$G$57,AV$7),INDEX(Premissas!$C$58:$G$58,AV$7))</f>
        <v>144004.999921875</v>
      </c>
      <c r="AW22" s="110" t="n">
        <f aca="false">AW9*(1-INDEX(Premissas!$C$59:$G$59,AW$7))*CHOOSE(Premissas!$B$6,INDEX(Premissas!$C$56:$G$56,AW$7),INDEX(Premissas!$C$57:$G$57,AW$7),INDEX(Premissas!$C$58:$G$58,AW$7))</f>
        <v>144004.999921875</v>
      </c>
      <c r="AX22" s="110" t="n">
        <f aca="false">AX9*(1-INDEX(Premissas!$C$59:$G$59,AX$7))*CHOOSE(Premissas!$B$6,INDEX(Premissas!$C$56:$G$56,AX$7),INDEX(Premissas!$C$57:$G$57,AX$7),INDEX(Premissas!$C$58:$G$58,AX$7))</f>
        <v>240395.443417969</v>
      </c>
      <c r="AY22" s="110" t="n">
        <f aca="false">AY9*(1-INDEX(Premissas!$C$59:$G$59,AY$7))*CHOOSE(Premissas!$B$6,INDEX(Premissas!$C$56:$G$56,AY$7),INDEX(Premissas!$C$57:$G$57,AY$7),INDEX(Premissas!$C$58:$G$58,AY$7))</f>
        <v>240395.443417969</v>
      </c>
      <c r="AZ22" s="110" t="n">
        <f aca="false">AZ9*(1-INDEX(Premissas!$C$59:$G$59,AZ$7))*CHOOSE(Premissas!$B$6,INDEX(Premissas!$C$56:$G$56,AZ$7),INDEX(Premissas!$C$57:$G$57,AZ$7),INDEX(Premissas!$C$58:$G$58,AZ$7))</f>
        <v>240395.443417969</v>
      </c>
      <c r="BA22" s="110" t="n">
        <f aca="false">BA9*(1-INDEX(Premissas!$C$59:$G$59,BA$7))*CHOOSE(Premissas!$B$6,INDEX(Premissas!$C$56:$G$56,BA$7),INDEX(Premissas!$C$57:$G$57,BA$7),INDEX(Premissas!$C$58:$G$58,BA$7))</f>
        <v>240395.443417969</v>
      </c>
      <c r="BB22" s="110" t="n">
        <f aca="false">BB9*(1-INDEX(Premissas!$C$59:$G$59,BB$7))*CHOOSE(Premissas!$B$6,INDEX(Premissas!$C$56:$G$56,BB$7),INDEX(Premissas!$C$57:$G$57,BB$7),INDEX(Premissas!$C$58:$G$58,BB$7))</f>
        <v>240395.443417969</v>
      </c>
      <c r="BC22" s="110" t="n">
        <f aca="false">BC9*(1-INDEX(Premissas!$C$59:$G$59,BC$7))*CHOOSE(Premissas!$B$6,INDEX(Premissas!$C$56:$G$56,BC$7),INDEX(Premissas!$C$57:$G$57,BC$7),INDEX(Premissas!$C$58:$G$58,BC$7))</f>
        <v>240395.443417969</v>
      </c>
      <c r="BD22" s="110" t="n">
        <f aca="false">BD9*(1-INDEX(Premissas!$C$59:$G$59,BD$7))*CHOOSE(Premissas!$B$6,INDEX(Premissas!$C$56:$G$56,BD$7),INDEX(Premissas!$C$57:$G$57,BD$7),INDEX(Premissas!$C$58:$G$58,BD$7))</f>
        <v>240395.443417969</v>
      </c>
      <c r="BE22" s="110" t="n">
        <f aca="false">BE9*(1-INDEX(Premissas!$C$59:$G$59,BE$7))*CHOOSE(Premissas!$B$6,INDEX(Premissas!$C$56:$G$56,BE$7),INDEX(Premissas!$C$57:$G$57,BE$7),INDEX(Premissas!$C$58:$G$58,BE$7))</f>
        <v>240395.443417969</v>
      </c>
      <c r="BF22" s="110" t="n">
        <f aca="false">BF9*(1-INDEX(Premissas!$C$59:$G$59,BF$7))*CHOOSE(Premissas!$B$6,INDEX(Premissas!$C$56:$G$56,BF$7),INDEX(Premissas!$C$57:$G$57,BF$7),INDEX(Premissas!$C$58:$G$58,BF$7))</f>
        <v>240395.443417969</v>
      </c>
      <c r="BG22" s="110" t="n">
        <f aca="false">BG9*(1-INDEX(Premissas!$C$59:$G$59,BG$7))*CHOOSE(Premissas!$B$6,INDEX(Premissas!$C$56:$G$56,BG$7),INDEX(Premissas!$C$57:$G$57,BG$7),INDEX(Premissas!$C$58:$G$58,BG$7))</f>
        <v>240395.443417969</v>
      </c>
      <c r="BH22" s="110" t="n">
        <f aca="false">BH9*(1-INDEX(Premissas!$C$59:$G$59,BH$7))*CHOOSE(Premissas!$B$6,INDEX(Premissas!$C$56:$G$56,BH$7),INDEX(Premissas!$C$57:$G$57,BH$7),INDEX(Premissas!$C$58:$G$58,BH$7))</f>
        <v>240395.443417969</v>
      </c>
      <c r="BI22" s="110" t="n">
        <f aca="false">BI9*(1-INDEX(Premissas!$C$59:$G$59,BI$7))*CHOOSE(Premissas!$B$6,INDEX(Premissas!$C$56:$G$56,BI$7),INDEX(Premissas!$C$57:$G$57,BI$7),INDEX(Premissas!$C$58:$G$58,BI$7))</f>
        <v>240395.443417969</v>
      </c>
      <c r="BJ22" s="111" t="n">
        <f aca="false">SUM(B22:BI22)</f>
        <v>6395016.16382812</v>
      </c>
    </row>
    <row r="23" customFormat="false" ht="15" hidden="false" customHeight="false" outlineLevel="0" collapsed="false">
      <c r="A23" s="27" t="s">
        <v>550</v>
      </c>
      <c r="B23" s="159" t="n">
        <f aca="false">IFERROR(B22/B9,0)</f>
        <v>0</v>
      </c>
      <c r="C23" s="159" t="n">
        <f aca="false">IFERROR(C22/C9,0)</f>
        <v>0</v>
      </c>
      <c r="D23" s="159" t="n">
        <f aca="false">IFERROR(D22/D9,0)</f>
        <v>0</v>
      </c>
      <c r="E23" s="159" t="n">
        <f aca="false">IFERROR(E22/E9,0)</f>
        <v>0</v>
      </c>
      <c r="F23" s="159" t="n">
        <f aca="false">IFERROR(F22/F9,0)</f>
        <v>0</v>
      </c>
      <c r="G23" s="159" t="n">
        <f aca="false">IFERROR(G22/G9,0)</f>
        <v>0</v>
      </c>
      <c r="H23" s="159" t="n">
        <f aca="false">IFERROR(H22/H9,0)</f>
        <v>0</v>
      </c>
      <c r="I23" s="159" t="n">
        <f aca="false">IFERROR(I22/I9,0)</f>
        <v>0</v>
      </c>
      <c r="J23" s="159" t="n">
        <f aca="false">IFERROR(J22/J9,0)</f>
        <v>0</v>
      </c>
      <c r="K23" s="159" t="n">
        <f aca="false">IFERROR(K22/K9,0)</f>
        <v>1.75</v>
      </c>
      <c r="L23" s="159" t="n">
        <f aca="false">IFERROR(L22/L9,0)</f>
        <v>1.75</v>
      </c>
      <c r="M23" s="159" t="n">
        <f aca="false">IFERROR(M22/M9,0)</f>
        <v>1.75</v>
      </c>
      <c r="N23" s="159" t="n">
        <f aca="false">IFERROR(N22/N9,0)</f>
        <v>1.955</v>
      </c>
      <c r="O23" s="159" t="n">
        <f aca="false">IFERROR(O22/O9,0)</f>
        <v>1.955</v>
      </c>
      <c r="P23" s="159" t="n">
        <f aca="false">IFERROR(P22/P9,0)</f>
        <v>1.955</v>
      </c>
      <c r="Q23" s="159" t="n">
        <f aca="false">IFERROR(Q22/Q9,0)</f>
        <v>1.955</v>
      </c>
      <c r="R23" s="159" t="n">
        <f aca="false">IFERROR(R22/R9,0)</f>
        <v>1.955</v>
      </c>
      <c r="S23" s="159" t="n">
        <f aca="false">IFERROR(S22/S9,0)</f>
        <v>1.955</v>
      </c>
      <c r="T23" s="159" t="n">
        <f aca="false">IFERROR(T22/T9,0)</f>
        <v>1.955</v>
      </c>
      <c r="U23" s="159" t="n">
        <f aca="false">IFERROR(U22/U9,0)</f>
        <v>1.955</v>
      </c>
      <c r="V23" s="159" t="n">
        <f aca="false">IFERROR(V22/V9,0)</f>
        <v>1.955</v>
      </c>
      <c r="W23" s="159" t="n">
        <f aca="false">IFERROR(W22/W9,0)</f>
        <v>1.955</v>
      </c>
      <c r="X23" s="159" t="n">
        <f aca="false">IFERROR(X22/X9,0)</f>
        <v>1.955</v>
      </c>
      <c r="Y23" s="159" t="n">
        <f aca="false">IFERROR(Y22/Y9,0)</f>
        <v>1.955</v>
      </c>
      <c r="Z23" s="159" t="n">
        <f aca="false">IFERROR(Z22/Z9,0)</f>
        <v>2.1490625</v>
      </c>
      <c r="AA23" s="159" t="n">
        <f aca="false">IFERROR(AA22/AA9,0)</f>
        <v>2.1490625</v>
      </c>
      <c r="AB23" s="159" t="n">
        <f aca="false">IFERROR(AB22/AB9,0)</f>
        <v>2.1490625</v>
      </c>
      <c r="AC23" s="159" t="n">
        <f aca="false">IFERROR(AC22/AC9,0)</f>
        <v>2.1490625</v>
      </c>
      <c r="AD23" s="159" t="n">
        <f aca="false">IFERROR(AD22/AD9,0)</f>
        <v>2.1490625</v>
      </c>
      <c r="AE23" s="159" t="n">
        <f aca="false">IFERROR(AE22/AE9,0)</f>
        <v>2.1490625</v>
      </c>
      <c r="AF23" s="159" t="n">
        <f aca="false">IFERROR(AF22/AF9,0)</f>
        <v>2.1490625</v>
      </c>
      <c r="AG23" s="159" t="n">
        <f aca="false">IFERROR(AG22/AG9,0)</f>
        <v>2.1490625</v>
      </c>
      <c r="AH23" s="159" t="n">
        <f aca="false">IFERROR(AH22/AH9,0)</f>
        <v>2.1490625</v>
      </c>
      <c r="AI23" s="159" t="n">
        <f aca="false">IFERROR(AI22/AI9,0)</f>
        <v>2.1490625</v>
      </c>
      <c r="AJ23" s="159" t="n">
        <f aca="false">IFERROR(AJ22/AJ9,0)</f>
        <v>2.1490625</v>
      </c>
      <c r="AK23" s="159" t="n">
        <f aca="false">IFERROR(AK22/AK9,0)</f>
        <v>2.1490625</v>
      </c>
      <c r="AL23" s="159" t="n">
        <f aca="false">IFERROR(AL22/AL9,0)</f>
        <v>2.35735625</v>
      </c>
      <c r="AM23" s="159" t="n">
        <f aca="false">IFERROR(AM22/AM9,0)</f>
        <v>2.35735625</v>
      </c>
      <c r="AN23" s="159" t="n">
        <f aca="false">IFERROR(AN22/AN9,0)</f>
        <v>2.35735625</v>
      </c>
      <c r="AO23" s="159" t="n">
        <f aca="false">IFERROR(AO22/AO9,0)</f>
        <v>2.35735625</v>
      </c>
      <c r="AP23" s="159" t="n">
        <f aca="false">IFERROR(AP22/AP9,0)</f>
        <v>2.35735625</v>
      </c>
      <c r="AQ23" s="159" t="n">
        <f aca="false">IFERROR(AQ22/AQ9,0)</f>
        <v>2.35735625</v>
      </c>
      <c r="AR23" s="159" t="n">
        <f aca="false">IFERROR(AR22/AR9,0)</f>
        <v>2.35735625</v>
      </c>
      <c r="AS23" s="159" t="n">
        <f aca="false">IFERROR(AS22/AS9,0)</f>
        <v>2.35735625</v>
      </c>
      <c r="AT23" s="159" t="n">
        <f aca="false">IFERROR(AT22/AT9,0)</f>
        <v>2.35735625</v>
      </c>
      <c r="AU23" s="159" t="n">
        <f aca="false">IFERROR(AU22/AU9,0)</f>
        <v>2.35735625</v>
      </c>
      <c r="AV23" s="159" t="n">
        <f aca="false">IFERROR(AV22/AV9,0)</f>
        <v>2.35735625</v>
      </c>
      <c r="AW23" s="159" t="n">
        <f aca="false">IFERROR(AW22/AW9,0)</f>
        <v>2.35735625</v>
      </c>
      <c r="AX23" s="159" t="n">
        <f aca="false">IFERROR(AX22/AX9,0)</f>
        <v>2.623509375</v>
      </c>
      <c r="AY23" s="159" t="n">
        <f aca="false">IFERROR(AY22/AY9,0)</f>
        <v>2.623509375</v>
      </c>
      <c r="AZ23" s="159" t="n">
        <f aca="false">IFERROR(AZ22/AZ9,0)</f>
        <v>2.623509375</v>
      </c>
      <c r="BA23" s="159" t="n">
        <f aca="false">IFERROR(BA22/BA9,0)</f>
        <v>2.623509375</v>
      </c>
      <c r="BB23" s="159" t="n">
        <f aca="false">IFERROR(BB22/BB9,0)</f>
        <v>2.623509375</v>
      </c>
      <c r="BC23" s="159" t="n">
        <f aca="false">IFERROR(BC22/BC9,0)</f>
        <v>2.623509375</v>
      </c>
      <c r="BD23" s="159" t="n">
        <f aca="false">IFERROR(BD22/BD9,0)</f>
        <v>2.623509375</v>
      </c>
      <c r="BE23" s="159" t="n">
        <f aca="false">IFERROR(BE22/BE9,0)</f>
        <v>2.623509375</v>
      </c>
      <c r="BF23" s="159" t="n">
        <f aca="false">IFERROR(BF22/BF9,0)</f>
        <v>2.623509375</v>
      </c>
      <c r="BG23" s="159" t="n">
        <f aca="false">IFERROR(BG22/BG9,0)</f>
        <v>2.623509375</v>
      </c>
      <c r="BH23" s="159" t="n">
        <f aca="false">IFERROR(BH22/BH9,0)</f>
        <v>2.623509375</v>
      </c>
      <c r="BI23" s="159" t="n">
        <f aca="false">IFERROR(BI22/BI9,0)</f>
        <v>2.623509375</v>
      </c>
      <c r="BJ23" s="160" t="n">
        <f aca="false">IFERROR(BJ22/BJ9,0)</f>
        <v>2.36727510992462</v>
      </c>
      <c r="BK23" s="29" t="s">
        <v>551</v>
      </c>
    </row>
    <row r="24" customFormat="false" ht="15" hidden="false" customHeight="false" outlineLevel="0" collapsed="false">
      <c r="A24" s="31" t="s">
        <v>552</v>
      </c>
      <c r="B24" s="161" t="n">
        <f aca="false">IFERROR(B22/(B9*B13),0)</f>
        <v>0</v>
      </c>
      <c r="C24" s="161" t="n">
        <f aca="false">IFERROR(C22/(C9*C13),0)</f>
        <v>0</v>
      </c>
      <c r="D24" s="161" t="n">
        <f aca="false">IFERROR(D22/(D9*D13),0)</f>
        <v>0</v>
      </c>
      <c r="E24" s="161" t="n">
        <f aca="false">IFERROR(E22/(E9*E13),0)</f>
        <v>0</v>
      </c>
      <c r="F24" s="161" t="n">
        <f aca="false">IFERROR(F22/(F9*F13),0)</f>
        <v>0</v>
      </c>
      <c r="G24" s="161" t="n">
        <f aca="false">IFERROR(G22/(G9*G13),0)</f>
        <v>0</v>
      </c>
      <c r="H24" s="161" t="n">
        <f aca="false">IFERROR(H22/(H9*H13),0)</f>
        <v>0</v>
      </c>
      <c r="I24" s="161" t="n">
        <f aca="false">IFERROR(I22/(I9*I13),0)</f>
        <v>0</v>
      </c>
      <c r="J24" s="161" t="n">
        <f aca="false">IFERROR(J22/(J9*J13),0)</f>
        <v>0</v>
      </c>
      <c r="K24" s="161" t="n">
        <f aca="false">IFERROR(K22/(K9*K13),0)</f>
        <v>210</v>
      </c>
      <c r="L24" s="161" t="n">
        <f aca="false">IFERROR(L22/(L9*L13),0)</f>
        <v>105</v>
      </c>
      <c r="M24" s="161" t="n">
        <f aca="false">IFERROR(M22/(M9*M13),0)</f>
        <v>70</v>
      </c>
      <c r="N24" s="161" t="n">
        <f aca="false">IFERROR(N22/(N9*N13),0)</f>
        <v>54.3055555555556</v>
      </c>
      <c r="O24" s="161" t="n">
        <f aca="false">IFERROR(O22/(O9*O13),0)</f>
        <v>43.4444444444444</v>
      </c>
      <c r="P24" s="161" t="n">
        <f aca="false">IFERROR(P22/(P9*P13),0)</f>
        <v>36.2037037037037</v>
      </c>
      <c r="Q24" s="161" t="n">
        <f aca="false">IFERROR(Q22/(Q9*Q13),0)</f>
        <v>36.2037037037037</v>
      </c>
      <c r="R24" s="161" t="n">
        <f aca="false">IFERROR(R22/(R9*R13),0)</f>
        <v>36.2037037037037</v>
      </c>
      <c r="S24" s="161" t="n">
        <f aca="false">IFERROR(S22/(S9*S13),0)</f>
        <v>36.2037037037037</v>
      </c>
      <c r="T24" s="161" t="n">
        <f aca="false">IFERROR(T22/(T9*T13),0)</f>
        <v>36.2037037037037</v>
      </c>
      <c r="U24" s="161" t="n">
        <f aca="false">IFERROR(U22/(U9*U13),0)</f>
        <v>36.2037037037037</v>
      </c>
      <c r="V24" s="161" t="n">
        <f aca="false">IFERROR(V22/(V9*V13),0)</f>
        <v>36.2037037037037</v>
      </c>
      <c r="W24" s="161" t="n">
        <f aca="false">IFERROR(W22/(W9*W13),0)</f>
        <v>36.2037037037037</v>
      </c>
      <c r="X24" s="161" t="n">
        <f aca="false">IFERROR(X22/(X9*X13),0)</f>
        <v>36.2037037037037</v>
      </c>
      <c r="Y24" s="161" t="n">
        <f aca="false">IFERROR(Y22/(Y9*Y13),0)</f>
        <v>36.2037037037037</v>
      </c>
      <c r="Z24" s="161" t="n">
        <f aca="false">IFERROR(Z22/(Z9*Z13),0)</f>
        <v>36.849494170096</v>
      </c>
      <c r="AA24" s="161" t="n">
        <f aca="false">IFERROR(AA22/(AA9*AA13),0)</f>
        <v>36.849494170096</v>
      </c>
      <c r="AB24" s="161" t="n">
        <f aca="false">IFERROR(AB22/(AB9*AB13),0)</f>
        <v>36.849494170096</v>
      </c>
      <c r="AC24" s="161" t="n">
        <f aca="false">IFERROR(AC22/(AC9*AC13),0)</f>
        <v>36.849494170096</v>
      </c>
      <c r="AD24" s="161" t="n">
        <f aca="false">IFERROR(AD22/(AD9*AD13),0)</f>
        <v>36.849494170096</v>
      </c>
      <c r="AE24" s="161" t="n">
        <f aca="false">IFERROR(AE22/(AE9*AE13),0)</f>
        <v>36.849494170096</v>
      </c>
      <c r="AF24" s="161" t="n">
        <f aca="false">IFERROR(AF22/(AF9*AF13),0)</f>
        <v>36.849494170096</v>
      </c>
      <c r="AG24" s="161" t="n">
        <f aca="false">IFERROR(AG22/(AG9*AG13),0)</f>
        <v>36.849494170096</v>
      </c>
      <c r="AH24" s="161" t="n">
        <f aca="false">IFERROR(AH22/(AH9*AH13),0)</f>
        <v>36.849494170096</v>
      </c>
      <c r="AI24" s="161" t="n">
        <f aca="false">IFERROR(AI22/(AI9*AI13),0)</f>
        <v>36.849494170096</v>
      </c>
      <c r="AJ24" s="161" t="n">
        <f aca="false">IFERROR(AJ22/(AJ9*AJ13),0)</f>
        <v>36.849494170096</v>
      </c>
      <c r="AK24" s="161" t="n">
        <f aca="false">IFERROR(AK22/(AK9*AK13),0)</f>
        <v>36.849494170096</v>
      </c>
      <c r="AL24" s="161" t="n">
        <f aca="false">IFERROR(AL22/(AL9*AL13),0)</f>
        <v>37.4269078964081</v>
      </c>
      <c r="AM24" s="161" t="n">
        <f aca="false">IFERROR(AM22/(AM9*AM13),0)</f>
        <v>37.4269078964081</v>
      </c>
      <c r="AN24" s="161" t="n">
        <f aca="false">IFERROR(AN22/(AN9*AN13),0)</f>
        <v>37.4269078964081</v>
      </c>
      <c r="AO24" s="161" t="n">
        <f aca="false">IFERROR(AO22/(AO9*AO13),0)</f>
        <v>37.4269078964081</v>
      </c>
      <c r="AP24" s="161" t="n">
        <f aca="false">IFERROR(AP22/(AP9*AP13),0)</f>
        <v>37.4269078964081</v>
      </c>
      <c r="AQ24" s="161" t="n">
        <f aca="false">IFERROR(AQ22/(AQ9*AQ13),0)</f>
        <v>37.4269078964081</v>
      </c>
      <c r="AR24" s="161" t="n">
        <f aca="false">IFERROR(AR22/(AR9*AR13),0)</f>
        <v>37.4269078964081</v>
      </c>
      <c r="AS24" s="161" t="n">
        <f aca="false">IFERROR(AS22/(AS9*AS13),0)</f>
        <v>37.4269078964081</v>
      </c>
      <c r="AT24" s="161" t="n">
        <f aca="false">IFERROR(AT22/(AT9*AT13),0)</f>
        <v>37.4269078964081</v>
      </c>
      <c r="AU24" s="161" t="n">
        <f aca="false">IFERROR(AU22/(AU9*AU13),0)</f>
        <v>37.4269078964081</v>
      </c>
      <c r="AV24" s="161" t="n">
        <f aca="false">IFERROR(AV22/(AV9*AV13),0)</f>
        <v>37.4269078964081</v>
      </c>
      <c r="AW24" s="161" t="n">
        <f aca="false">IFERROR(AW22/(AW9*AW13),0)</f>
        <v>37.4269078964081</v>
      </c>
      <c r="AX24" s="161" t="n">
        <f aca="false">IFERROR(AX22/(AX9*AX13),0)</f>
        <v>38.5671541943273</v>
      </c>
      <c r="AY24" s="161" t="n">
        <f aca="false">IFERROR(AY22/(AY9*AY13),0)</f>
        <v>38.5671541943273</v>
      </c>
      <c r="AZ24" s="161" t="n">
        <f aca="false">IFERROR(AZ22/(AZ9*AZ13),0)</f>
        <v>38.5671541943273</v>
      </c>
      <c r="BA24" s="161" t="n">
        <f aca="false">IFERROR(BA22/(BA9*BA13),0)</f>
        <v>38.5671541943273</v>
      </c>
      <c r="BB24" s="161" t="n">
        <f aca="false">IFERROR(BB22/(BB9*BB13),0)</f>
        <v>38.5671541943273</v>
      </c>
      <c r="BC24" s="161" t="n">
        <f aca="false">IFERROR(BC22/(BC9*BC13),0)</f>
        <v>38.5671541943273</v>
      </c>
      <c r="BD24" s="161" t="n">
        <f aca="false">IFERROR(BD22/(BD9*BD13),0)</f>
        <v>38.5671541943273</v>
      </c>
      <c r="BE24" s="161" t="n">
        <f aca="false">IFERROR(BE22/(BE9*BE13),0)</f>
        <v>38.5671541943273</v>
      </c>
      <c r="BF24" s="161" t="n">
        <f aca="false">IFERROR(BF22/(BF9*BF13),0)</f>
        <v>38.5671541943273</v>
      </c>
      <c r="BG24" s="161" t="n">
        <f aca="false">IFERROR(BG22/(BG9*BG13),0)</f>
        <v>38.5671541943273</v>
      </c>
      <c r="BH24" s="161" t="n">
        <f aca="false">IFERROR(BH22/(BH9*BH13),0)</f>
        <v>38.5671541943273</v>
      </c>
      <c r="BI24" s="161" t="n">
        <f aca="false">IFERROR(BI22/(BI9*BI13),0)</f>
        <v>38.5671541943273</v>
      </c>
      <c r="BK24" s="29" t="s">
        <v>553</v>
      </c>
    </row>
    <row r="25" customFormat="false" ht="15" hidden="false" customHeight="false" outlineLevel="0" collapsed="false">
      <c r="A25" s="27" t="s">
        <v>554</v>
      </c>
      <c r="B25" s="159" t="n">
        <f aca="false">IFERROR(CHOOSE(Premissas!$B$6,Cenários!B22,Cenários!B68,Cenários!B114)/B14,0)</f>
        <v>0</v>
      </c>
      <c r="C25" s="159" t="n">
        <f aca="false">IFERROR(CHOOSE(Premissas!$B$6,Cenários!C22,Cenários!C68,Cenários!C114)/C14,0)</f>
        <v>0</v>
      </c>
      <c r="D25" s="159" t="n">
        <f aca="false">IFERROR(CHOOSE(Premissas!$B$6,Cenários!D22,Cenários!D68,Cenários!D114)/D14,0)</f>
        <v>0</v>
      </c>
      <c r="E25" s="159" t="n">
        <f aca="false">IFERROR(CHOOSE(Premissas!$B$6,Cenários!E22,Cenários!E68,Cenários!E114)/E14,0)</f>
        <v>0</v>
      </c>
      <c r="F25" s="159" t="n">
        <f aca="false">IFERROR(CHOOSE(Premissas!$B$6,Cenários!F22,Cenários!F68,Cenários!F114)/F14,0)</f>
        <v>0</v>
      </c>
      <c r="G25" s="159" t="n">
        <f aca="false">IFERROR(CHOOSE(Premissas!$B$6,Cenários!G22,Cenários!G68,Cenários!G114)/G14,0)</f>
        <v>0</v>
      </c>
      <c r="H25" s="159" t="n">
        <f aca="false">IFERROR(CHOOSE(Premissas!$B$6,Cenários!H22,Cenários!H68,Cenários!H114)/H14,0)</f>
        <v>0</v>
      </c>
      <c r="I25" s="159" t="n">
        <f aca="false">IFERROR(CHOOSE(Premissas!$B$6,Cenários!I22,Cenários!I68,Cenários!I114)/I14,0)</f>
        <v>0</v>
      </c>
      <c r="J25" s="159" t="n">
        <f aca="false">IFERROR(CHOOSE(Premissas!$B$6,Cenários!J22,Cenários!J68,Cenários!J114)/J14,0)</f>
        <v>0</v>
      </c>
      <c r="K25" s="159" t="n">
        <f aca="false">IFERROR(CHOOSE(Premissas!$B$6,Cenários!K22,Cenários!K68,Cenários!K114)/K14,0)</f>
        <v>27.0523178807947</v>
      </c>
      <c r="L25" s="159" t="n">
        <f aca="false">IFERROR(CHOOSE(Premissas!$B$6,Cenários!L22,Cenários!L68,Cenários!L114)/L14,0)</f>
        <v>26.9120898100173</v>
      </c>
      <c r="M25" s="159" t="n">
        <f aca="false">IFERROR(CHOOSE(Premissas!$B$6,Cenários!M22,Cenários!M68,Cenários!M114)/M14,0)</f>
        <v>26.9127795527157</v>
      </c>
      <c r="N25" s="159" t="n">
        <f aca="false">IFERROR(CHOOSE(Premissas!$B$6,Cenários!N22,Cenários!N68,Cenários!N114)/N14,0)</f>
        <v>29.1428524962179</v>
      </c>
      <c r="O25" s="159" t="n">
        <f aca="false">IFERROR(CHOOSE(Premissas!$B$6,Cenários!O22,Cenários!O68,Cenários!O114)/O14,0)</f>
        <v>29.1574537275064</v>
      </c>
      <c r="P25" s="159" t="n">
        <f aca="false">IFERROR(CHOOSE(Premissas!$B$6,Cenários!P22,Cenários!P68,Cenários!P114)/P14,0)</f>
        <v>29.1568453492115</v>
      </c>
      <c r="Q25" s="159" t="n">
        <f aca="false">IFERROR(CHOOSE(Premissas!$B$6,Cenários!Q22,Cenários!Q68,Cenários!Q114)/Q14,0)</f>
        <v>29.1578180368779</v>
      </c>
      <c r="R25" s="159" t="n">
        <f aca="false">IFERROR(CHOOSE(Premissas!$B$6,Cenários!R22,Cenários!R68,Cenários!R114)/R14,0)</f>
        <v>29.1534451886445</v>
      </c>
      <c r="S25" s="159" t="n">
        <f aca="false">IFERROR(CHOOSE(Premissas!$B$6,Cenários!S22,Cenários!S68,Cenários!S114)/S14,0)</f>
        <v>29.1522456345234</v>
      </c>
      <c r="T25" s="159" t="n">
        <f aca="false">IFERROR(CHOOSE(Premissas!$B$6,Cenários!T22,Cenários!T68,Cenários!T114)/T14,0)</f>
        <v>29.1567820774972</v>
      </c>
      <c r="U25" s="159" t="n">
        <f aca="false">IFERROR(CHOOSE(Premissas!$B$6,Cenários!U22,Cenários!U68,Cenários!U114)/U14,0)</f>
        <v>29.1519212328767</v>
      </c>
      <c r="V25" s="159" t="n">
        <f aca="false">IFERROR(CHOOSE(Premissas!$B$6,Cenários!V22,Cenários!V68,Cenários!V114)/V14,0)</f>
        <v>29.1540054080629</v>
      </c>
      <c r="W25" s="159" t="n">
        <f aca="false">IFERROR(CHOOSE(Premissas!$B$6,Cenários!W22,Cenários!W68,Cenários!W114)/W14,0)</f>
        <v>29.1523151032848</v>
      </c>
      <c r="X25" s="159" t="n">
        <f aca="false">IFERROR(CHOOSE(Premissas!$B$6,Cenários!X22,Cenários!X68,Cenários!X114)/X14,0)</f>
        <v>29.1538131557708</v>
      </c>
      <c r="Y25" s="159" t="n">
        <f aca="false">IFERROR(CHOOSE(Premissas!$B$6,Cenários!Y22,Cenários!Y68,Cenários!Y114)/Y14,0)</f>
        <v>29.157764004952</v>
      </c>
      <c r="Z25" s="159" t="n">
        <f aca="false">IFERROR(CHOOSE(Premissas!$B$6,Cenários!Z22,Cenários!Z68,Cenários!Z114)/Z14,0)</f>
        <v>32.2153636692839</v>
      </c>
      <c r="AA25" s="159" t="n">
        <f aca="false">IFERROR(CHOOSE(Premissas!$B$6,Cenários!AA22,Cenários!AA68,Cenários!AA114)/AA14,0)</f>
        <v>32.2150525640139</v>
      </c>
      <c r="AB25" s="159" t="n">
        <f aca="false">IFERROR(CHOOSE(Premissas!$B$6,Cenários!AB22,Cenários!AB68,Cenários!AB114)/AB14,0)</f>
        <v>32.215619152837</v>
      </c>
      <c r="AC25" s="159" t="n">
        <f aca="false">IFERROR(CHOOSE(Premissas!$B$6,Cenários!AC22,Cenários!AC68,Cenários!AC114)/AC14,0)</f>
        <v>32.2147375</v>
      </c>
      <c r="AD25" s="159" t="n">
        <f aca="false">IFERROR(CHOOSE(Premissas!$B$6,Cenários!AD22,Cenários!AD68,Cenários!AD114)/AD14,0)</f>
        <v>32.2155243087661</v>
      </c>
      <c r="AE25" s="159" t="n">
        <f aca="false">IFERROR(CHOOSE(Premissas!$B$6,Cenários!AE22,Cenários!AE68,Cenários!AE114)/AE14,0)</f>
        <v>32.2126105847814</v>
      </c>
      <c r="AF25" s="159" t="n">
        <f aca="false">IFERROR(CHOOSE(Premissas!$B$6,Cenários!AF22,Cenários!AF68,Cenários!AF114)/AF14,0)</f>
        <v>32.213577579663</v>
      </c>
      <c r="AG25" s="159" t="n">
        <f aca="false">IFERROR(CHOOSE(Premissas!$B$6,Cenários!AG22,Cenários!AG68,Cenários!AG114)/AG14,0)</f>
        <v>32.2127724040709</v>
      </c>
      <c r="AH25" s="159" t="n">
        <f aca="false">IFERROR(CHOOSE(Premissas!$B$6,Cenários!AH22,Cenários!AH68,Cenários!AH114)/AH14,0)</f>
        <v>32.2155945016207</v>
      </c>
      <c r="AI25" s="159" t="n">
        <f aca="false">IFERROR(CHOOSE(Premissas!$B$6,Cenários!AI22,Cenários!AI68,Cenários!AI114)/AI14,0)</f>
        <v>32.2140867319152</v>
      </c>
      <c r="AJ25" s="159" t="n">
        <f aca="false">IFERROR(CHOOSE(Premissas!$B$6,Cenários!AJ22,Cenários!AJ68,Cenários!AJ114)/AJ14,0)</f>
        <v>32.2157226137691</v>
      </c>
      <c r="AK25" s="159" t="n">
        <f aca="false">IFERROR(CHOOSE(Premissas!$B$6,Cenários!AK22,Cenários!AK68,Cenários!AK114)/AK14,0)</f>
        <v>32.2147375</v>
      </c>
      <c r="AL25" s="159" t="n">
        <f aca="false">IFERROR(CHOOSE(Premissas!$B$6,Cenários!AL22,Cenários!AL68,Cenários!AL114)/AL14,0)</f>
        <v>35.4906686878423</v>
      </c>
      <c r="AM25" s="159" t="n">
        <f aca="false">IFERROR(CHOOSE(Premissas!$B$6,Cenários!AM22,Cenários!AM68,Cenários!AM114)/AM14,0)</f>
        <v>35.4893941197026</v>
      </c>
      <c r="AN25" s="159" t="n">
        <f aca="false">IFERROR(CHOOSE(Premissas!$B$6,Cenários!AN22,Cenários!AN68,Cenários!AN114)/AN14,0)</f>
        <v>35.489330315507</v>
      </c>
      <c r="AO25" s="159" t="n">
        <f aca="false">IFERROR(CHOOSE(Premissas!$B$6,Cenários!AO22,Cenários!AO68,Cenários!AO114)/AO14,0)</f>
        <v>35.4898992261972</v>
      </c>
      <c r="AP25" s="159" t="n">
        <f aca="false">IFERROR(CHOOSE(Premissas!$B$6,Cenários!AP22,Cenários!AP68,Cenários!AP114)/AP14,0)</f>
        <v>35.4907941072408</v>
      </c>
      <c r="AQ25" s="159" t="n">
        <f aca="false">IFERROR(CHOOSE(Premissas!$B$6,Cenários!AQ22,Cenários!AQ68,Cenários!AQ114)/AQ14,0)</f>
        <v>35.4904840308848</v>
      </c>
      <c r="AR25" s="159" t="n">
        <f aca="false">IFERROR(CHOOSE(Premissas!$B$6,Cenários!AR22,Cenários!AR68,Cenários!AR114)/AR14,0)</f>
        <v>35.4908967886814</v>
      </c>
      <c r="AS25" s="159" t="n">
        <f aca="false">IFERROR(CHOOSE(Premissas!$B$6,Cenários!AS22,Cenários!AS68,Cenários!AS114)/AS14,0)</f>
        <v>35.4894973399482</v>
      </c>
      <c r="AT25" s="159" t="n">
        <f aca="false">IFERROR(CHOOSE(Premissas!$B$6,Cenários!AT22,Cenários!AT68,Cenários!AT114)/AT14,0)</f>
        <v>35.4900905936799</v>
      </c>
      <c r="AU25" s="159" t="n">
        <f aca="false">IFERROR(CHOOSE(Premissas!$B$6,Cenários!AU22,Cenários!AU68,Cenários!AU114)/AU14,0)</f>
        <v>35.4901807882298</v>
      </c>
      <c r="AV25" s="159" t="n">
        <f aca="false">IFERROR(CHOOSE(Premissas!$B$6,Cenários!AV22,Cenários!AV68,Cenários!AV114)/AV14,0)</f>
        <v>35.4907268566246</v>
      </c>
      <c r="AW25" s="159" t="n">
        <f aca="false">IFERROR(CHOOSE(Premissas!$B$6,Cenários!AW22,Cenários!AW68,Cenários!AW114)/AW14,0)</f>
        <v>35.489467753134</v>
      </c>
      <c r="AX25" s="159" t="n">
        <f aca="false">IFERROR(CHOOSE(Premissas!$B$6,Cenários!AX22,Cenários!AX68,Cenários!AX114)/AX14,0)</f>
        <v>38.9951168023156</v>
      </c>
      <c r="AY25" s="159" t="n">
        <f aca="false">IFERROR(CHOOSE(Premissas!$B$6,Cenários!AY22,Cenários!AY68,Cenários!AY114)/AY14,0)</f>
        <v>38.9951302296007</v>
      </c>
      <c r="AZ25" s="159" t="n">
        <f aca="false">IFERROR(CHOOSE(Premissas!$B$6,Cenários!AZ22,Cenários!AZ68,Cenários!AZ114)/AZ14,0)</f>
        <v>38.9959583651242</v>
      </c>
      <c r="BA25" s="159" t="n">
        <f aca="false">IFERROR(CHOOSE(Premissas!$B$6,Cenários!BA22,Cenários!BA68,Cenários!BA114)/BA14,0)</f>
        <v>38.9958839386868</v>
      </c>
      <c r="BB25" s="159" t="n">
        <f aca="false">IFERROR(CHOOSE(Premissas!$B$6,Cenários!BB22,Cenários!BB68,Cenários!BB114)/BB14,0)</f>
        <v>38.9956641124736</v>
      </c>
      <c r="BC25" s="159" t="n">
        <f aca="false">IFERROR(CHOOSE(Premissas!$B$6,Cenários!BC22,Cenários!BC68,Cenários!BC114)/BC14,0)</f>
        <v>38.995402464438</v>
      </c>
      <c r="BD25" s="159" t="n">
        <f aca="false">IFERROR(CHOOSE(Premissas!$B$6,Cenários!BD22,Cenários!BD68,Cenários!BD114)/BD14,0)</f>
        <v>38.9953154646163</v>
      </c>
      <c r="BE25" s="159" t="n">
        <f aca="false">IFERROR(CHOOSE(Premissas!$B$6,Cenários!BE22,Cenários!BE68,Cenários!BE114)/BE14,0)</f>
        <v>38.9958147598403</v>
      </c>
      <c r="BF25" s="159" t="n">
        <f aca="false">IFERROR(CHOOSE(Premissas!$B$6,Cenários!BF22,Cenários!BF68,Cenários!BF114)/BF14,0)</f>
        <v>38.9949141244932</v>
      </c>
      <c r="BG25" s="159" t="n">
        <f aca="false">IFERROR(CHOOSE(Premissas!$B$6,Cenários!BG22,Cenários!BG68,Cenários!BG114)/BG14,0)</f>
        <v>38.9951876298774</v>
      </c>
      <c r="BH25" s="159" t="n">
        <f aca="false">IFERROR(CHOOSE(Premissas!$B$6,Cenários!BH22,Cenários!BH68,Cenários!BH114)/BH14,0)</f>
        <v>38.9950247853936</v>
      </c>
      <c r="BI25" s="159" t="n">
        <f aca="false">IFERROR(CHOOSE(Premissas!$B$6,Cenários!BI22,Cenários!BI68,Cenários!BI114)/BI14,0)</f>
        <v>38.9954461414571</v>
      </c>
    </row>
    <row r="26" customFormat="false" ht="15" hidden="false" customHeight="false" outlineLevel="0" collapsed="false">
      <c r="A26" s="27" t="s">
        <v>555</v>
      </c>
      <c r="B26" s="159" t="n">
        <f aca="false">IFERROR(CHOOSE(Premissas!$B$6,Cenários!B25,Cenários!B71,Cenários!B117)/B12,0)</f>
        <v>0</v>
      </c>
      <c r="C26" s="159" t="n">
        <f aca="false">IFERROR(CHOOSE(Premissas!$B$6,Cenários!C25,Cenários!C71,Cenários!C117)/C12,0)</f>
        <v>0</v>
      </c>
      <c r="D26" s="159" t="n">
        <f aca="false">IFERROR(CHOOSE(Premissas!$B$6,Cenários!D25,Cenários!D71,Cenários!D117)/D12,0)</f>
        <v>0</v>
      </c>
      <c r="E26" s="159" t="n">
        <f aca="false">IFERROR(CHOOSE(Premissas!$B$6,Cenários!E25,Cenários!E71,Cenários!E117)/E12,0)</f>
        <v>0</v>
      </c>
      <c r="F26" s="159" t="n">
        <f aca="false">IFERROR(CHOOSE(Premissas!$B$6,Cenários!F25,Cenários!F71,Cenários!F117)/F12,0)</f>
        <v>0</v>
      </c>
      <c r="G26" s="159" t="n">
        <f aca="false">IFERROR(CHOOSE(Premissas!$B$6,Cenários!G25,Cenários!G71,Cenários!G117)/G12,0)</f>
        <v>0</v>
      </c>
      <c r="H26" s="159" t="n">
        <f aca="false">IFERROR(CHOOSE(Premissas!$B$6,Cenários!H25,Cenários!H71,Cenários!H117)/H12,0)</f>
        <v>0</v>
      </c>
      <c r="I26" s="159" t="n">
        <f aca="false">IFERROR(CHOOSE(Premissas!$B$6,Cenários!I25,Cenários!I71,Cenários!I117)/I12,0)</f>
        <v>0</v>
      </c>
      <c r="J26" s="159" t="n">
        <f aca="false">IFERROR(CHOOSE(Premissas!$B$6,Cenários!J25,Cenários!J71,Cenários!J117)/J12,0)</f>
        <v>0</v>
      </c>
      <c r="K26" s="159" t="n">
        <f aca="false">IFERROR(CHOOSE(Premissas!$B$6,Cenários!K25,Cenários!K71,Cenários!K117)/K12,0)</f>
        <v>0.225685082872928</v>
      </c>
      <c r="L26" s="159" t="n">
        <f aca="false">IFERROR(CHOOSE(Premissas!$B$6,Cenários!L25,Cenários!L71,Cenários!L117)/L12,0)</f>
        <v>0.448379949355433</v>
      </c>
      <c r="M26" s="159" t="n">
        <f aca="false">IFERROR(CHOOSE(Premissas!$B$6,Cenários!M25,Cenários!M71,Cenários!M117)/M12,0)</f>
        <v>0.672929135418231</v>
      </c>
      <c r="N26" s="159" t="n">
        <f aca="false">IFERROR(CHOOSE(Premissas!$B$6,Cenários!N25,Cenários!N71,Cenários!N117)/N12,0)</f>
        <v>1.10147139697982</v>
      </c>
      <c r="O26" s="159" t="n">
        <f aca="false">IFERROR(CHOOSE(Premissas!$B$6,Cenários!O25,Cenários!O71,Cenários!O117)/O12,0)</f>
        <v>1.36467339422812</v>
      </c>
      <c r="P26" s="159" t="n">
        <f aca="false">IFERROR(CHOOSE(Premissas!$B$6,Cenários!P25,Cenários!P71,Cenários!P117)/P12,0)</f>
        <v>1.62685699155958</v>
      </c>
      <c r="Q26" s="159" t="n">
        <f aca="false">IFERROR(CHOOSE(Premissas!$B$6,Cenários!Q25,Cenários!Q71,Cenários!Q117)/Q12,0)</f>
        <v>1.62697449644501</v>
      </c>
      <c r="R26" s="159" t="n">
        <f aca="false">IFERROR(CHOOSE(Premissas!$B$6,Cenários!R25,Cenários!R71,Cenários!R117)/R12,0)</f>
        <v>1.62680840677123</v>
      </c>
      <c r="S26" s="159" t="n">
        <f aca="false">IFERROR(CHOOSE(Premissas!$B$6,Cenários!S25,Cenários!S71,Cenários!S117)/S12,0)</f>
        <v>1.62670538580053</v>
      </c>
      <c r="T26" s="159" t="n">
        <f aca="false">IFERROR(CHOOSE(Premissas!$B$6,Cenários!T25,Cenários!T71,Cenários!T117)/T12,0)</f>
        <v>1.62695646619592</v>
      </c>
      <c r="U26" s="159" t="n">
        <f aca="false">IFERROR(CHOOSE(Premissas!$B$6,Cenários!U25,Cenários!U71,Cenários!U117)/U12,0)</f>
        <v>1.62675991989697</v>
      </c>
      <c r="V26" s="159" t="n">
        <f aca="false">IFERROR(CHOOSE(Premissas!$B$6,Cenários!V25,Cenários!V71,Cenários!V117)/V12,0)</f>
        <v>1.62678101052968</v>
      </c>
      <c r="W26" s="159" t="n">
        <f aca="false">IFERROR(CHOOSE(Premissas!$B$6,Cenários!W25,Cenários!W71,Cenários!W117)/W12,0)</f>
        <v>1.62671575842942</v>
      </c>
      <c r="X26" s="159" t="n">
        <f aca="false">IFERROR(CHOOSE(Premissas!$B$6,Cenários!X25,Cenários!X71,Cenários!X117)/X12,0)</f>
        <v>1.62681838337836</v>
      </c>
      <c r="Y26" s="159" t="n">
        <f aca="false">IFERROR(CHOOSE(Premissas!$B$6,Cenários!Y25,Cenários!Y71,Cenários!Y117)/Y12,0)</f>
        <v>1.62698499639061</v>
      </c>
      <c r="Z26" s="159" t="n">
        <f aca="false">IFERROR(CHOOSE(Premissas!$B$6,Cenários!Z25,Cenários!Z71,Cenários!Z117)/Z12,0)</f>
        <v>1.96634569816573</v>
      </c>
      <c r="AA26" s="159" t="n">
        <f aca="false">IFERROR(CHOOSE(Premissas!$B$6,Cenários!AA25,Cenários!AA71,Cenários!AA117)/AA12,0)</f>
        <v>1.96629468937113</v>
      </c>
      <c r="AB26" s="159" t="n">
        <f aca="false">IFERROR(CHOOSE(Premissas!$B$6,Cenários!AB25,Cenários!AB71,Cenários!AB117)/AB12,0)</f>
        <v>1.96632120675601</v>
      </c>
      <c r="AC26" s="159" t="n">
        <f aca="false">IFERROR(CHOOSE(Premissas!$B$6,Cenários!AC25,Cenários!AC71,Cenários!AC117)/AC12,0)</f>
        <v>1.96624016564206</v>
      </c>
      <c r="AD26" s="159" t="n">
        <f aca="false">IFERROR(CHOOSE(Premissas!$B$6,Cenários!AD25,Cenários!AD71,Cenários!AD117)/AD12,0)</f>
        <v>1.96633165354831</v>
      </c>
      <c r="AE26" s="159" t="n">
        <f aca="false">IFERROR(CHOOSE(Premissas!$B$6,Cenários!AE25,Cenários!AE71,Cenários!AE117)/AE12,0)</f>
        <v>1.96613125038038</v>
      </c>
      <c r="AF26" s="159" t="n">
        <f aca="false">IFERROR(CHOOSE(Premissas!$B$6,Cenários!AF25,Cenários!AF71,Cenários!AF117)/AF12,0)</f>
        <v>1.96616189255088</v>
      </c>
      <c r="AG26" s="159" t="n">
        <f aca="false">IFERROR(CHOOSE(Premissas!$B$6,Cenários!AG25,Cenários!AG71,Cenários!AG117)/AG12,0)</f>
        <v>1.9661089879932</v>
      </c>
      <c r="AH26" s="159" t="n">
        <f aca="false">IFERROR(CHOOSE(Premissas!$B$6,Cenários!AH25,Cenários!AH71,Cenários!AH117)/AH12,0)</f>
        <v>1.96632785744924</v>
      </c>
      <c r="AI26" s="159" t="n">
        <f aca="false">IFERROR(CHOOSE(Premissas!$B$6,Cenários!AI25,Cenários!AI71,Cenários!AI117)/AI12,0)</f>
        <v>1.96625941270033</v>
      </c>
      <c r="AJ26" s="159" t="n">
        <f aca="false">IFERROR(CHOOSE(Premissas!$B$6,Cenários!AJ25,Cenários!AJ71,Cenários!AJ117)/AJ12,0)</f>
        <v>1.96635330633645</v>
      </c>
      <c r="AK26" s="159" t="n">
        <f aca="false">IFERROR(CHOOSE(Premissas!$B$6,Cenários!AK25,Cenários!AK71,Cenários!AK117)/AK12,0)</f>
        <v>1.96623168992939</v>
      </c>
      <c r="AL26" s="159" t="n">
        <f aca="false">IFERROR(CHOOSE(Premissas!$B$6,Cenários!AL25,Cenários!AL71,Cenários!AL117)/AL12,0)</f>
        <v>2.37542283170791</v>
      </c>
      <c r="AM26" s="159" t="n">
        <f aca="false">IFERROR(CHOOSE(Premissas!$B$6,Cenários!AM25,Cenários!AM71,Cenários!AM117)/AM12,0)</f>
        <v>2.37534536410202</v>
      </c>
      <c r="AN26" s="159" t="n">
        <f aca="false">IFERROR(CHOOSE(Premissas!$B$6,Cenários!AN25,Cenários!AN71,Cenários!AN117)/AN12,0)</f>
        <v>2.37530221754285</v>
      </c>
      <c r="AO26" s="159" t="n">
        <f aca="false">IFERROR(CHOOSE(Premissas!$B$6,Cenários!AO25,Cenários!AO71,Cenários!AO117)/AO12,0)</f>
        <v>2.37537014422913</v>
      </c>
      <c r="AP26" s="159" t="n">
        <f aca="false">IFERROR(CHOOSE(Premissas!$B$6,Cenários!AP25,Cenários!AP71,Cenários!AP117)/AP12,0)</f>
        <v>2.37541108355102</v>
      </c>
      <c r="AQ26" s="159" t="n">
        <f aca="false">IFERROR(CHOOSE(Premissas!$B$6,Cenários!AQ25,Cenários!AQ71,Cenários!AQ117)/AQ12,0)</f>
        <v>2.37537803078022</v>
      </c>
      <c r="AR26" s="159" t="n">
        <f aca="false">IFERROR(CHOOSE(Premissas!$B$6,Cenários!AR25,Cenários!AR71,Cenários!AR117)/AR12,0)</f>
        <v>2.37540476868935</v>
      </c>
      <c r="AS26" s="159" t="n">
        <f aca="false">IFERROR(CHOOSE(Premissas!$B$6,Cenários!AS25,Cenários!AS71,Cenários!AS117)/AS12,0)</f>
        <v>2.37531204809062</v>
      </c>
      <c r="AT26" s="159" t="n">
        <f aca="false">IFERROR(CHOOSE(Premissas!$B$6,Cenários!AT25,Cenários!AT71,Cenários!AT117)/AT12,0)</f>
        <v>2.37534495764202</v>
      </c>
      <c r="AU26" s="159" t="n">
        <f aca="false">IFERROR(CHOOSE(Premissas!$B$6,Cenários!AU25,Cenários!AU71,Cenários!AU117)/AU12,0)</f>
        <v>2.37537171505451</v>
      </c>
      <c r="AV26" s="159" t="n">
        <f aca="false">IFERROR(CHOOSE(Premissas!$B$6,Cenários!AV25,Cenários!AV71,Cenários!AV117)/AV12,0)</f>
        <v>2.37539206824986</v>
      </c>
      <c r="AW26" s="159" t="n">
        <f aca="false">IFERROR(CHOOSE(Premissas!$B$6,Cenários!AW25,Cenários!AW71,Cenários!AW117)/AW12,0)</f>
        <v>2.37532580134361</v>
      </c>
      <c r="AX26" s="159" t="n">
        <f aca="false">IFERROR(CHOOSE(Premissas!$B$6,Cenários!AX25,Cenários!AX71,Cenários!AX117)/AX12,0)</f>
        <v>2.82760646480159</v>
      </c>
      <c r="AY26" s="159" t="n">
        <f aca="false">IFERROR(CHOOSE(Premissas!$B$6,Cenários!AY25,Cenários!AY71,Cenários!AY117)/AY12,0)</f>
        <v>2.8276225280665</v>
      </c>
      <c r="AZ26" s="159" t="n">
        <f aca="false">IFERROR(CHOOSE(Premissas!$B$6,Cenários!AZ25,Cenários!AZ71,Cenários!AZ117)/AZ12,0)</f>
        <v>2.82768888764668</v>
      </c>
      <c r="BA26" s="159" t="n">
        <f aca="false">IFERROR(CHOOSE(Premissas!$B$6,Cenários!BA25,Cenários!BA71,Cenários!BA117)/BA12,0)</f>
        <v>2.82765410632999</v>
      </c>
      <c r="BB26" s="159" t="n">
        <f aca="false">IFERROR(CHOOSE(Premissas!$B$6,Cenários!BB25,Cenários!BB71,Cenários!BB117)/BB12,0)</f>
        <v>2.82765690069385</v>
      </c>
      <c r="BC26" s="159" t="n">
        <f aca="false">IFERROR(CHOOSE(Premissas!$B$6,Cenários!BC25,Cenários!BC71,Cenários!BC117)/BC12,0)</f>
        <v>2.82764271853918</v>
      </c>
      <c r="BD26" s="159" t="n">
        <f aca="false">IFERROR(CHOOSE(Premissas!$B$6,Cenários!BD25,Cenários!BD71,Cenários!BD117)/BD12,0)</f>
        <v>2.82763872545268</v>
      </c>
      <c r="BE26" s="159" t="n">
        <f aca="false">IFERROR(CHOOSE(Premissas!$B$6,Cenários!BE25,Cenários!BE71,Cenários!BE117)/BE12,0)</f>
        <v>2.82766860125958</v>
      </c>
      <c r="BF26" s="159" t="n">
        <f aca="false">IFERROR(CHOOSE(Premissas!$B$6,Cenários!BF25,Cenários!BF71,Cenários!BF117)/BF12,0)</f>
        <v>2.82761466979525</v>
      </c>
      <c r="BG26" s="159" t="n">
        <f aca="false">IFERROR(CHOOSE(Premissas!$B$6,Cenários!BG25,Cenários!BG71,Cenários!BG117)/BG12,0)</f>
        <v>2.82761417396867</v>
      </c>
      <c r="BH26" s="159" t="n">
        <f aca="false">IFERROR(CHOOSE(Premissas!$B$6,Cenários!BH25,Cenários!BH71,Cenários!BH117)/BH12,0)</f>
        <v>2.82761242479641</v>
      </c>
      <c r="BI26" s="159" t="n">
        <f aca="false">IFERROR(CHOOSE(Premissas!$B$6,Cenários!BI25,Cenários!BI71,Cenários!BI117)/BI12,0)</f>
        <v>2.82764053930315</v>
      </c>
    </row>
    <row r="27" customFormat="false" ht="15" hidden="false" customHeight="false" outlineLevel="0" collapsed="false">
      <c r="A27" s="27" t="s">
        <v>556</v>
      </c>
      <c r="B27" s="159" t="n">
        <f aca="false">IFERROR((CHOOSE(Premissas!$B$6,Cenários!B31,Cenários!B77,Cenários!B123)+CHOOSE(Premissas!$B$6,Cenários!B32,Cenários!B78,Cenários!B124)+CHOOSE(Premissas!$B$6,Cenários!B33,Cenários!B79,Cenários!B125))/B14,0)</f>
        <v>0</v>
      </c>
      <c r="C27" s="159" t="n">
        <f aca="false">IFERROR((CHOOSE(Premissas!$B$6,Cenários!C31,Cenários!C77,Cenários!C123)+CHOOSE(Premissas!$B$6,Cenários!C32,Cenários!C78,Cenários!C124)+CHOOSE(Premissas!$B$6,Cenários!C33,Cenários!C79,Cenários!C125))/C14,0)</f>
        <v>0</v>
      </c>
      <c r="D27" s="159" t="n">
        <f aca="false">IFERROR((CHOOSE(Premissas!$B$6,Cenários!D31,Cenários!D77,Cenários!D123)+CHOOSE(Premissas!$B$6,Cenários!D32,Cenários!D78,Cenários!D124)+CHOOSE(Premissas!$B$6,Cenários!D33,Cenários!D79,Cenários!D125))/D14,0)</f>
        <v>0</v>
      </c>
      <c r="E27" s="159" t="n">
        <f aca="false">IFERROR((CHOOSE(Premissas!$B$6,Cenários!E31,Cenários!E77,Cenários!E123)+CHOOSE(Premissas!$B$6,Cenários!E32,Cenários!E78,Cenários!E124)+CHOOSE(Premissas!$B$6,Cenários!E33,Cenários!E79,Cenários!E125))/E14,0)</f>
        <v>0</v>
      </c>
      <c r="F27" s="159" t="n">
        <f aca="false">IFERROR((CHOOSE(Premissas!$B$6,Cenários!F31,Cenários!F77,Cenários!F123)+CHOOSE(Premissas!$B$6,Cenários!F32,Cenários!F78,Cenários!F124)+CHOOSE(Premissas!$B$6,Cenários!F33,Cenários!F79,Cenários!F125))/F14,0)</f>
        <v>0</v>
      </c>
      <c r="G27" s="159" t="n">
        <f aca="false">IFERROR((CHOOSE(Premissas!$B$6,Cenários!G31,Cenários!G77,Cenários!G123)+CHOOSE(Premissas!$B$6,Cenários!G32,Cenários!G78,Cenários!G124)+CHOOSE(Premissas!$B$6,Cenários!G33,Cenários!G79,Cenários!G125))/G14,0)</f>
        <v>0</v>
      </c>
      <c r="H27" s="159" t="n">
        <f aca="false">IFERROR((CHOOSE(Premissas!$B$6,Cenários!H31,Cenários!H77,Cenários!H123)+CHOOSE(Premissas!$B$6,Cenários!H32,Cenários!H78,Cenários!H124)+CHOOSE(Premissas!$B$6,Cenários!H33,Cenários!H79,Cenários!H125))/H14,0)</f>
        <v>0</v>
      </c>
      <c r="I27" s="159" t="n">
        <f aca="false">IFERROR((CHOOSE(Premissas!$B$6,Cenários!I31,Cenários!I77,Cenários!I123)+CHOOSE(Premissas!$B$6,Cenários!I32,Cenários!I78,Cenários!I124)+CHOOSE(Premissas!$B$6,Cenários!I33,Cenários!I79,Cenários!I125))/I14,0)</f>
        <v>0</v>
      </c>
      <c r="J27" s="159" t="n">
        <f aca="false">IFERROR((CHOOSE(Premissas!$B$6,Cenários!J31,Cenários!J77,Cenários!J123)+CHOOSE(Premissas!$B$6,Cenários!J32,Cenários!J78,Cenários!J124)+CHOOSE(Premissas!$B$6,Cenários!J33,Cenários!J79,Cenários!J125))/J14,0)</f>
        <v>0</v>
      </c>
      <c r="K27" s="159" t="n">
        <f aca="false">IFERROR((CHOOSE(Premissas!$B$6,Cenários!K31,Cenários!K77,Cenários!K123)+CHOOSE(Premissas!$B$6,Cenários!K32,Cenários!K78,Cenários!K124)+CHOOSE(Premissas!$B$6,Cenários!K33,Cenários!K79,Cenários!K125))/K14,0)</f>
        <v>11.0265740066225</v>
      </c>
      <c r="L27" s="159" t="n">
        <f aca="false">IFERROR((CHOOSE(Premissas!$B$6,Cenários!L31,Cenários!L77,Cenários!L123)+CHOOSE(Premissas!$B$6,Cenários!L32,Cenários!L78,Cenários!L124)+CHOOSE(Premissas!$B$6,Cenários!L33,Cenários!L79,Cenários!L125))/L14,0)</f>
        <v>15.0610838946459</v>
      </c>
      <c r="M27" s="159" t="n">
        <f aca="false">IFERROR((CHOOSE(Premissas!$B$6,Cenários!M31,Cenários!M77,Cenários!M123)+CHOOSE(Premissas!$B$6,Cenários!M32,Cenários!M78,Cenários!M124)+CHOOSE(Premissas!$B$6,Cenários!M33,Cenários!M79,Cenários!M125))/M14,0)</f>
        <v>16.0191551916933</v>
      </c>
      <c r="N27" s="159" t="n">
        <f aca="false">IFERROR((CHOOSE(Premissas!$B$6,Cenários!N31,Cenários!N77,Cenários!N123)+CHOOSE(Premissas!$B$6,Cenários!N32,Cenários!N78,Cenários!N124)+CHOOSE(Premissas!$B$6,Cenários!N33,Cenários!N79,Cenários!N125))/N14,0)</f>
        <v>18.8519562253797</v>
      </c>
      <c r="O27" s="159" t="n">
        <f aca="false">IFERROR((CHOOSE(Premissas!$B$6,Cenários!O31,Cenários!O77,Cenários!O123)+CHOOSE(Premissas!$B$6,Cenários!O32,Cenários!O78,Cenários!O124)+CHOOSE(Premissas!$B$6,Cenários!O33,Cenários!O79,Cenários!O125))/O14,0)</f>
        <v>19.1013443233198</v>
      </c>
      <c r="P27" s="159" t="n">
        <f aca="false">IFERROR((CHOOSE(Premissas!$B$6,Cenários!P31,Cenários!P77,Cenários!P123)+CHOOSE(Premissas!$B$6,Cenários!P32,Cenários!P78,Cenários!P124)+CHOOSE(Premissas!$B$6,Cenários!P33,Cenários!P79,Cenários!P125))/P14,0)</f>
        <v>18.9617013754788</v>
      </c>
      <c r="Q27" s="159" t="n">
        <f aca="false">IFERROR((CHOOSE(Premissas!$B$6,Cenários!Q31,Cenários!Q77,Cenários!Q123)+CHOOSE(Premissas!$B$6,Cenários!Q32,Cenários!Q78,Cenários!Q124)+CHOOSE(Premissas!$B$6,Cenários!Q33,Cenários!Q79,Cenários!Q125))/Q14,0)</f>
        <v>18.7136421351615</v>
      </c>
      <c r="R27" s="159" t="n">
        <f aca="false">IFERROR((CHOOSE(Premissas!$B$6,Cenários!R31,Cenários!R77,Cenários!R123)+CHOOSE(Premissas!$B$6,Cenários!R32,Cenários!R78,Cenários!R124)+CHOOSE(Premissas!$B$6,Cenários!R33,Cenários!R79,Cenários!R125))/R14,0)</f>
        <v>18.5350899192703</v>
      </c>
      <c r="S27" s="159" t="n">
        <f aca="false">IFERROR((CHOOSE(Premissas!$B$6,Cenários!S31,Cenários!S77,Cenários!S123)+CHOOSE(Premissas!$B$6,Cenários!S32,Cenários!S78,Cenários!S124)+CHOOSE(Premissas!$B$6,Cenários!S33,Cenários!S79,Cenários!S125))/S14,0)</f>
        <v>18.3799155396175</v>
      </c>
      <c r="T27" s="159" t="n">
        <f aca="false">IFERROR((CHOOSE(Premissas!$B$6,Cenários!T31,Cenários!T77,Cenários!T123)+CHOOSE(Premissas!$B$6,Cenários!T32,Cenários!T78,Cenários!T124)+CHOOSE(Premissas!$B$6,Cenários!T33,Cenários!T79,Cenários!T125))/T14,0)</f>
        <v>18.2765520544159</v>
      </c>
      <c r="U27" s="159" t="n">
        <f aca="false">IFERROR((CHOOSE(Premissas!$B$6,Cenários!U31,Cenários!U77,Cenários!U123)+CHOOSE(Premissas!$B$6,Cenários!U32,Cenários!U78,Cenários!U124)+CHOOSE(Premissas!$B$6,Cenários!U33,Cenários!U79,Cenários!U125))/U14,0)</f>
        <v>18.2043710175135</v>
      </c>
      <c r="V27" s="159" t="n">
        <f aca="false">IFERROR((CHOOSE(Premissas!$B$6,Cenários!V31,Cenários!V77,Cenários!V123)+CHOOSE(Premissas!$B$6,Cenários!V32,Cenários!V78,Cenários!V124)+CHOOSE(Premissas!$B$6,Cenários!V33,Cenários!V79,Cenários!V125))/V14,0)</f>
        <v>18.1587482580689</v>
      </c>
      <c r="W27" s="159" t="n">
        <f aca="false">IFERROR((CHOOSE(Premissas!$B$6,Cenários!W31,Cenários!W77,Cenários!W123)+CHOOSE(Premissas!$B$6,Cenários!W32,Cenários!W78,Cenários!W124)+CHOOSE(Premissas!$B$6,Cenários!W33,Cenários!W79,Cenários!W125))/W14,0)</f>
        <v>18.0065459929306</v>
      </c>
      <c r="X27" s="159" t="n">
        <f aca="false">IFERROR((CHOOSE(Premissas!$B$6,Cenários!X31,Cenários!X77,Cenários!X123)+CHOOSE(Premissas!$B$6,Cenários!X32,Cenários!X78,Cenários!X124)+CHOOSE(Premissas!$B$6,Cenários!X33,Cenários!X79,Cenários!X125))/X14,0)</f>
        <v>17.8932494969081</v>
      </c>
      <c r="Y27" s="159" t="n">
        <f aca="false">IFERROR((CHOOSE(Premissas!$B$6,Cenários!Y31,Cenários!Y77,Cenários!Y123)+CHOOSE(Premissas!$B$6,Cenários!Y32,Cenários!Y78,Cenários!Y124)+CHOOSE(Premissas!$B$6,Cenários!Y33,Cenários!Y79,Cenários!Y125))/Y14,0)</f>
        <v>17.8094666300706</v>
      </c>
      <c r="Z27" s="159" t="n">
        <f aca="false">IFERROR((CHOOSE(Premissas!$B$6,Cenários!Z31,Cenários!Z77,Cenários!Z123)+CHOOSE(Premissas!$B$6,Cenários!Z32,Cenários!Z78,Cenários!Z124)+CHOOSE(Premissas!$B$6,Cenários!Z33,Cenários!Z79,Cenários!Z125))/Z14,0)</f>
        <v>20.2996814121691</v>
      </c>
      <c r="AA27" s="159" t="n">
        <f aca="false">IFERROR((CHOOSE(Premissas!$B$6,Cenários!AA31,Cenários!AA77,Cenários!AA123)+CHOOSE(Premissas!$B$6,Cenários!AA32,Cenários!AA78,Cenários!AA124)+CHOOSE(Premissas!$B$6,Cenários!AA33,Cenários!AA79,Cenários!AA125))/AA14,0)</f>
        <v>22.1657404580818</v>
      </c>
      <c r="AB27" s="159" t="n">
        <f aca="false">IFERROR((CHOOSE(Premissas!$B$6,Cenários!AB31,Cenários!AB77,Cenários!AB123)+CHOOSE(Premissas!$B$6,Cenários!AB32,Cenários!AB78,Cenários!AB124)+CHOOSE(Premissas!$B$6,Cenários!AB33,Cenários!AB79,Cenários!AB125))/AB14,0)</f>
        <v>21.6672541024222</v>
      </c>
      <c r="AC27" s="159" t="n">
        <f aca="false">IFERROR((CHOOSE(Premissas!$B$6,Cenários!AC31,Cenários!AC77,Cenários!AC123)+CHOOSE(Premissas!$B$6,Cenários!AC32,Cenários!AC78,Cenários!AC124)+CHOOSE(Premissas!$B$6,Cenários!AC33,Cenários!AC79,Cenários!AC125))/AC14,0)</f>
        <v>21.2790618415908</v>
      </c>
      <c r="AD27" s="159" t="n">
        <f aca="false">IFERROR((CHOOSE(Premissas!$B$6,Cenários!AD31,Cenários!AD77,Cenários!AD123)+CHOOSE(Premissas!$B$6,Cenários!AD32,Cenários!AD78,Cenários!AD124)+CHOOSE(Premissas!$B$6,Cenários!AD33,Cenários!AD79,Cenários!AD125))/AD14,0)</f>
        <v>22.0149469627914</v>
      </c>
      <c r="AE27" s="159" t="n">
        <f aca="false">IFERROR((CHOOSE(Premissas!$B$6,Cenários!AE31,Cenários!AE77,Cenários!AE123)+CHOOSE(Premissas!$B$6,Cenários!AE32,Cenários!AE78,Cenários!AE124)+CHOOSE(Premissas!$B$6,Cenários!AE33,Cenários!AE79,Cenários!AE125))/AE14,0)</f>
        <v>22.0312660469533</v>
      </c>
      <c r="AF27" s="159" t="n">
        <f aca="false">IFERROR((CHOOSE(Premissas!$B$6,Cenários!AF31,Cenários!AF77,Cenários!AF123)+CHOOSE(Premissas!$B$6,Cenários!AF32,Cenários!AF78,Cenários!AF124)+CHOOSE(Premissas!$B$6,Cenários!AF33,Cenários!AF79,Cenários!AF125))/AF14,0)</f>
        <v>22.0475987256556</v>
      </c>
      <c r="AG27" s="159" t="n">
        <f aca="false">IFERROR((CHOOSE(Premissas!$B$6,Cenários!AG31,Cenários!AG77,Cenários!AG123)+CHOOSE(Premissas!$B$6,Cenários!AG32,Cenários!AG78,Cenários!AG124)+CHOOSE(Premissas!$B$6,Cenários!AG33,Cenários!AG79,Cenários!AG125))/AG14,0)</f>
        <v>22.0604516964801</v>
      </c>
      <c r="AH27" s="159" t="n">
        <f aca="false">IFERROR((CHOOSE(Premissas!$B$6,Cenários!AH31,Cenários!AH77,Cenários!AH123)+CHOOSE(Premissas!$B$6,Cenários!AH32,Cenários!AH78,Cenários!AH124)+CHOOSE(Premissas!$B$6,Cenários!AH33,Cenários!AH79,Cenários!AH125))/AH14,0)</f>
        <v>22.0740713068453</v>
      </c>
      <c r="AI27" s="159" t="n">
        <f aca="false">IFERROR((CHOOSE(Premissas!$B$6,Cenários!AI31,Cenários!AI77,Cenários!AI123)+CHOOSE(Premissas!$B$6,Cenários!AI32,Cenários!AI78,Cenários!AI124)+CHOOSE(Premissas!$B$6,Cenários!AI33,Cenários!AI79,Cenários!AI125))/AI14,0)</f>
        <v>22.0831257957118</v>
      </c>
      <c r="AJ27" s="159" t="n">
        <f aca="false">IFERROR((CHOOSE(Premissas!$B$6,Cenários!AJ31,Cenários!AJ77,Cenários!AJ123)+CHOOSE(Premissas!$B$6,Cenários!AJ32,Cenários!AJ78,Cenários!AJ124)+CHOOSE(Premissas!$B$6,Cenários!AJ33,Cenários!AJ79,Cenários!AJ125))/AJ14,0)</f>
        <v>22.0931858974919</v>
      </c>
      <c r="AK27" s="159" t="n">
        <f aca="false">IFERROR((CHOOSE(Premissas!$B$6,Cenários!AK31,Cenários!AK77,Cenários!AK123)+CHOOSE(Premissas!$B$6,Cenários!AK32,Cenários!AK78,Cenários!AK124)+CHOOSE(Premissas!$B$6,Cenários!AK33,Cenários!AK79,Cenários!AK125))/AK14,0)</f>
        <v>22.1003496623842</v>
      </c>
      <c r="AL27" s="159" t="n">
        <f aca="false">IFERROR((CHOOSE(Premissas!$B$6,Cenários!AL31,Cenários!AL77,Cenários!AL123)+CHOOSE(Premissas!$B$6,Cenários!AL32,Cenários!AL78,Cenários!AL124)+CHOOSE(Premissas!$B$6,Cenários!AL33,Cenários!AL79,Cenários!AL125))/AL14,0)</f>
        <v>25.0614348487739</v>
      </c>
      <c r="AM27" s="159" t="n">
        <f aca="false">IFERROR((CHOOSE(Premissas!$B$6,Cenários!AM31,Cenários!AM77,Cenários!AM123)+CHOOSE(Premissas!$B$6,Cenários!AM32,Cenários!AM78,Cenários!AM124)+CHOOSE(Premissas!$B$6,Cenários!AM33,Cenários!AM79,Cenários!AM125))/AM14,0)</f>
        <v>25.0971845789372</v>
      </c>
      <c r="AN27" s="159" t="n">
        <f aca="false">IFERROR((CHOOSE(Premissas!$B$6,Cenários!AN31,Cenários!AN77,Cenários!AN123)+CHOOSE(Premissas!$B$6,Cenários!AN32,Cenários!AN78,Cenários!AN124)+CHOOSE(Premissas!$B$6,Cenários!AN33,Cenários!AN79,Cenários!AN125))/AN14,0)</f>
        <v>25.1276170617432</v>
      </c>
      <c r="AO27" s="159" t="n">
        <f aca="false">IFERROR((CHOOSE(Premissas!$B$6,Cenários!AO31,Cenários!AO77,Cenários!AO123)+CHOOSE(Premissas!$B$6,Cenários!AO32,Cenários!AO78,Cenários!AO124)+CHOOSE(Premissas!$B$6,Cenários!AO33,Cenários!AO79,Cenários!AO125))/AO14,0)</f>
        <v>25.1536642613362</v>
      </c>
      <c r="AP27" s="159" t="n">
        <f aca="false">IFERROR((CHOOSE(Premissas!$B$6,Cenários!AP31,Cenários!AP77,Cenários!AP123)+CHOOSE(Premissas!$B$6,Cenários!AP32,Cenários!AP78,Cenários!AP124)+CHOOSE(Premissas!$B$6,Cenários!AP33,Cenários!AP79,Cenários!AP125))/AP14,0)</f>
        <v>25.176165615817</v>
      </c>
      <c r="AQ27" s="159" t="n">
        <f aca="false">IFERROR((CHOOSE(Premissas!$B$6,Cenários!AQ31,Cenários!AQ77,Cenários!AQ123)+CHOOSE(Premissas!$B$6,Cenários!AQ32,Cenários!AQ78,Cenários!AQ124)+CHOOSE(Premissas!$B$6,Cenários!AQ33,Cenários!AQ79,Cenários!AQ125))/AQ14,0)</f>
        <v>25.1947479374367</v>
      </c>
      <c r="AR27" s="159" t="n">
        <f aca="false">IFERROR((CHOOSE(Premissas!$B$6,Cenários!AR31,Cenários!AR77,Cenários!AR123)+CHOOSE(Premissas!$B$6,Cenários!AR32,Cenários!AR78,Cenários!AR124)+CHOOSE(Premissas!$B$6,Cenários!AR33,Cenários!AR79,Cenários!AR125))/AR14,0)</f>
        <v>25.2113486787584</v>
      </c>
      <c r="AS27" s="159" t="n">
        <f aca="false">IFERROR((CHOOSE(Premissas!$B$6,Cenários!AS31,Cenários!AS77,Cenários!AS123)+CHOOSE(Premissas!$B$6,Cenários!AS32,Cenários!AS78,Cenários!AS124)+CHOOSE(Premissas!$B$6,Cenários!AS33,Cenários!AS79,Cenários!AS125))/AS14,0)</f>
        <v>25.2245949722822</v>
      </c>
      <c r="AT27" s="159" t="n">
        <f aca="false">IFERROR((CHOOSE(Premissas!$B$6,Cenários!AT31,Cenários!AT77,Cenários!AT123)+CHOOSE(Premissas!$B$6,Cenários!AT32,Cenários!AT78,Cenários!AT124)+CHOOSE(Premissas!$B$6,Cenários!AT33,Cenários!AT79,Cenários!AT125))/AT14,0)</f>
        <v>25.2375480351573</v>
      </c>
      <c r="AU27" s="159" t="n">
        <f aca="false">IFERROR((CHOOSE(Premissas!$B$6,Cenários!AU31,Cenários!AU77,Cenários!AU123)+CHOOSE(Premissas!$B$6,Cenários!AU32,Cenários!AU78,Cenários!AU124)+CHOOSE(Premissas!$B$6,Cenários!AU33,Cenários!AU79,Cenários!AU125))/AU14,0)</f>
        <v>25.2486772725836</v>
      </c>
      <c r="AV27" s="159" t="n">
        <f aca="false">IFERROR((CHOOSE(Premissas!$B$6,Cenários!AV31,Cenários!AV77,Cenários!AV123)+CHOOSE(Premissas!$B$6,Cenários!AV32,Cenários!AV78,Cenários!AV124)+CHOOSE(Premissas!$B$6,Cenários!AV33,Cenários!AV79,Cenários!AV125))/AV14,0)</f>
        <v>25.2589154692366</v>
      </c>
      <c r="AW27" s="159" t="n">
        <f aca="false">IFERROR((CHOOSE(Premissas!$B$6,Cenários!AW31,Cenários!AW77,Cenários!AW123)+CHOOSE(Premissas!$B$6,Cenários!AW32,Cenários!AW78,Cenários!AW124)+CHOOSE(Premissas!$B$6,Cenários!AW33,Cenários!AW79,Cenários!AW125))/AW14,0)</f>
        <v>25.266788746837</v>
      </c>
      <c r="AX27" s="159" t="n">
        <f aca="false">IFERROR((CHOOSE(Premissas!$B$6,Cenários!AX31,Cenários!AX77,Cenários!AX123)+CHOOSE(Premissas!$B$6,Cenários!AX32,Cenários!AX78,Cenários!AX124)+CHOOSE(Premissas!$B$6,Cenários!AX33,Cenários!AX79,Cenários!AX125))/AX14,0)</f>
        <v>28.1035038759457</v>
      </c>
      <c r="AY27" s="159" t="n">
        <f aca="false">IFERROR((CHOOSE(Premissas!$B$6,Cenários!AY31,Cenários!AY77,Cenários!AY123)+CHOOSE(Premissas!$B$6,Cenários!AY32,Cenários!AY78,Cenários!AY124)+CHOOSE(Premissas!$B$6,Cenários!AY33,Cenários!AY79,Cenários!AY125))/AY14,0)</f>
        <v>28.1359827682452</v>
      </c>
      <c r="AZ27" s="159" t="n">
        <f aca="false">IFERROR((CHOOSE(Premissas!$B$6,Cenários!AZ31,Cenários!AZ77,Cenários!AZ123)+CHOOSE(Premissas!$B$6,Cenários!AZ32,Cenários!AZ78,Cenários!AZ124)+CHOOSE(Premissas!$B$6,Cenários!AZ33,Cenários!AZ79,Cenários!AZ125))/AZ14,0)</f>
        <v>28.1639024754408</v>
      </c>
      <c r="BA27" s="159" t="n">
        <f aca="false">IFERROR((CHOOSE(Premissas!$B$6,Cenários!BA31,Cenários!BA77,Cenários!BA123)+CHOOSE(Premissas!$B$6,Cenários!BA32,Cenários!BA78,Cenários!BA124)+CHOOSE(Premissas!$B$6,Cenários!BA33,Cenários!BA79,Cenários!BA125))/BA14,0)</f>
        <v>28.187135680285</v>
      </c>
      <c r="BB27" s="159" t="n">
        <f aca="false">IFERROR((CHOOSE(Premissas!$B$6,Cenários!BB31,Cenários!BB77,Cenários!BB123)+CHOOSE(Premissas!$B$6,Cenários!BB32,Cenários!BB78,Cenários!BB124)+CHOOSE(Premissas!$B$6,Cenários!BB33,Cenários!BB79,Cenários!BB125))/BB14,0)</f>
        <v>28.2069857200417</v>
      </c>
      <c r="BC27" s="159" t="n">
        <f aca="false">IFERROR((CHOOSE(Premissas!$B$6,Cenários!BC31,Cenários!BC77,Cenários!BC123)+CHOOSE(Premissas!$B$6,Cenários!BC32,Cenários!BC78,Cenários!BC124)+CHOOSE(Premissas!$B$6,Cenários!BC33,Cenários!BC79,Cenários!BC125))/BC14,0)</f>
        <v>28.2241619851116</v>
      </c>
      <c r="BD27" s="159" t="n">
        <f aca="false">IFERROR((CHOOSE(Premissas!$B$6,Cenários!BD31,Cenários!BD77,Cenários!BD123)+CHOOSE(Premissas!$B$6,Cenários!BD32,Cenários!BD78,Cenários!BD124)+CHOOSE(Premissas!$B$6,Cenários!BD33,Cenários!BD79,Cenários!BD125))/BD14,0)</f>
        <v>28.2392780242539</v>
      </c>
      <c r="BE27" s="159" t="n">
        <f aca="false">IFERROR((CHOOSE(Premissas!$B$6,Cenários!BE31,Cenários!BE77,Cenários!BE123)+CHOOSE(Premissas!$B$6,Cenários!BE32,Cenários!BE78,Cenários!BE124)+CHOOSE(Premissas!$B$6,Cenários!BE33,Cenários!BE79,Cenários!BE125))/BE14,0)</f>
        <v>28.2529941069785</v>
      </c>
      <c r="BF27" s="159" t="n">
        <f aca="false">IFERROR((CHOOSE(Premissas!$B$6,Cenários!BF31,Cenários!BF77,Cenários!BF123)+CHOOSE(Premissas!$B$6,Cenários!BF32,Cenários!BF78,Cenários!BF124)+CHOOSE(Premissas!$B$6,Cenários!BF33,Cenários!BF79,Cenários!BF125))/BF14,0)</f>
        <v>28.2641616366651</v>
      </c>
      <c r="BG27" s="159" t="n">
        <f aca="false">IFERROR((CHOOSE(Premissas!$B$6,Cenários!BG31,Cenários!BG77,Cenários!BG123)+CHOOSE(Premissas!$B$6,Cenários!BG32,Cenários!BG78,Cenários!BG124)+CHOOSE(Premissas!$B$6,Cenários!BG33,Cenários!BG79,Cenários!BG125))/BG14,0)</f>
        <v>28.2748794629446</v>
      </c>
      <c r="BH27" s="159" t="n">
        <f aca="false">IFERROR((CHOOSE(Premissas!$B$6,Cenários!BH31,Cenários!BH77,Cenários!BH123)+CHOOSE(Premissas!$B$6,Cenários!BH32,Cenários!BH78,Cenários!BH124)+CHOOSE(Premissas!$B$6,Cenários!BH33,Cenários!BH79,Cenários!BH125))/BH14,0)</f>
        <v>28.2841489067954</v>
      </c>
      <c r="BI27" s="159" t="n">
        <f aca="false">IFERROR((CHOOSE(Premissas!$B$6,Cenários!BI31,Cenários!BI77,Cenários!BI123)+CHOOSE(Premissas!$B$6,Cenários!BI32,Cenários!BI78,Cenários!BI124)+CHOOSE(Premissas!$B$6,Cenários!BI33,Cenários!BI79,Cenários!BI125))/BI14,0)</f>
        <v>28.2928764690684</v>
      </c>
      <c r="BK27" s="29" t="s">
        <v>557</v>
      </c>
    </row>
    <row r="28" customFormat="false" ht="15" hidden="false" customHeight="false" outlineLevel="0" collapsed="false">
      <c r="A28" s="31" t="s">
        <v>558</v>
      </c>
      <c r="B28" s="161" t="n">
        <f aca="false">IFERROR(B27/CHOOSE(Premissas!$B$6,INDEX(Premissas!$C$48:$G$48,B$7),INDEX(Premissas!$C$49:$G$49,B$7),INDEX(Premissas!$C$50:$G$50,B$7)),0)</f>
        <v>0</v>
      </c>
      <c r="C28" s="161" t="n">
        <f aca="false">IFERROR(C27/CHOOSE(Premissas!$B$6,INDEX(Premissas!$C$48:$G$48,C$7),INDEX(Premissas!$C$49:$G$49,C$7),INDEX(Premissas!$C$50:$G$50,C$7)),0)</f>
        <v>0</v>
      </c>
      <c r="D28" s="161" t="n">
        <f aca="false">IFERROR(D27/CHOOSE(Premissas!$B$6,INDEX(Premissas!$C$48:$G$48,D$7),INDEX(Premissas!$C$49:$G$49,D$7),INDEX(Premissas!$C$50:$G$50,D$7)),0)</f>
        <v>0</v>
      </c>
      <c r="E28" s="161" t="n">
        <f aca="false">IFERROR(E27/CHOOSE(Premissas!$B$6,INDEX(Premissas!$C$48:$G$48,E$7),INDEX(Premissas!$C$49:$G$49,E$7),INDEX(Premissas!$C$50:$G$50,E$7)),0)</f>
        <v>0</v>
      </c>
      <c r="F28" s="161" t="n">
        <f aca="false">IFERROR(F27/CHOOSE(Premissas!$B$6,INDEX(Premissas!$C$48:$G$48,F$7),INDEX(Premissas!$C$49:$G$49,F$7),INDEX(Premissas!$C$50:$G$50,F$7)),0)</f>
        <v>0</v>
      </c>
      <c r="G28" s="161" t="n">
        <f aca="false">IFERROR(G27/CHOOSE(Premissas!$B$6,INDEX(Premissas!$C$48:$G$48,G$7),INDEX(Premissas!$C$49:$G$49,G$7),INDEX(Premissas!$C$50:$G$50,G$7)),0)</f>
        <v>0</v>
      </c>
      <c r="H28" s="161" t="n">
        <f aca="false">IFERROR(H27/CHOOSE(Premissas!$B$6,INDEX(Premissas!$C$48:$G$48,H$7),INDEX(Premissas!$C$49:$G$49,H$7),INDEX(Premissas!$C$50:$G$50,H$7)),0)</f>
        <v>0</v>
      </c>
      <c r="I28" s="161" t="n">
        <f aca="false">IFERROR(I27/CHOOSE(Premissas!$B$6,INDEX(Premissas!$C$48:$G$48,I$7),INDEX(Premissas!$C$49:$G$49,I$7),INDEX(Premissas!$C$50:$G$50,I$7)),0)</f>
        <v>0</v>
      </c>
      <c r="J28" s="161" t="n">
        <f aca="false">IFERROR(J27/CHOOSE(Premissas!$B$6,INDEX(Premissas!$C$48:$G$48,J$7),INDEX(Premissas!$C$49:$G$49,J$7),INDEX(Premissas!$C$50:$G$50,J$7)),0)</f>
        <v>0</v>
      </c>
      <c r="K28" s="161" t="n">
        <f aca="false">IFERROR(K27/CHOOSE(Premissas!$B$6,INDEX(Premissas!$C$48:$G$48,K$7),INDEX(Premissas!$C$49:$G$49,K$7),INDEX(Premissas!$C$50:$G$50,K$7)),0)</f>
        <v>137.832175082781</v>
      </c>
      <c r="L28" s="161" t="n">
        <f aca="false">IFERROR(L27/CHOOSE(Premissas!$B$6,INDEX(Premissas!$C$48:$G$48,L$7),INDEX(Premissas!$C$49:$G$49,L$7),INDEX(Premissas!$C$50:$G$50,L$7)),0)</f>
        <v>188.263548683074</v>
      </c>
      <c r="M28" s="161" t="n">
        <f aca="false">IFERROR(M27/CHOOSE(Premissas!$B$6,INDEX(Premissas!$C$48:$G$48,M$7),INDEX(Premissas!$C$49:$G$49,M$7),INDEX(Premissas!$C$50:$G$50,M$7)),0)</f>
        <v>200.239439896166</v>
      </c>
      <c r="N28" s="161" t="n">
        <f aca="false">IFERROR(N27/CHOOSE(Premissas!$B$6,INDEX(Premissas!$C$48:$G$48,N$7),INDEX(Premissas!$C$49:$G$49,N$7),INDEX(Premissas!$C$50:$G$50,N$7)),0)</f>
        <v>250.69090725239</v>
      </c>
      <c r="O28" s="161" t="n">
        <f aca="false">IFERROR(O27/CHOOSE(Premissas!$B$6,INDEX(Premissas!$C$48:$G$48,O$7),INDEX(Premissas!$C$49:$G$49,O$7),INDEX(Premissas!$C$50:$G$50,O$7)),0)</f>
        <v>254.007238342019</v>
      </c>
      <c r="P28" s="161" t="n">
        <f aca="false">IFERROR(P27/CHOOSE(Premissas!$B$6,INDEX(Premissas!$C$48:$G$48,P$7),INDEX(Premissas!$C$49:$G$49,P$7),INDEX(Premissas!$C$50:$G$50,P$7)),0)</f>
        <v>252.150284248389</v>
      </c>
      <c r="Q28" s="161" t="n">
        <f aca="false">IFERROR(Q27/CHOOSE(Premissas!$B$6,INDEX(Premissas!$C$48:$G$48,Q$7),INDEX(Premissas!$C$49:$G$49,Q$7),INDEX(Premissas!$C$50:$G$50,Q$7)),0)</f>
        <v>248.851624137786</v>
      </c>
      <c r="R28" s="161" t="n">
        <f aca="false">IFERROR(R27/CHOOSE(Premissas!$B$6,INDEX(Premissas!$C$48:$G$48,R$7),INDEX(Premissas!$C$49:$G$49,R$7),INDEX(Premissas!$C$50:$G$50,R$7)),0)</f>
        <v>246.477259564764</v>
      </c>
      <c r="S28" s="161" t="n">
        <f aca="false">IFERROR(S27/CHOOSE(Premissas!$B$6,INDEX(Premissas!$C$48:$G$48,S$7),INDEX(Premissas!$C$49:$G$49,S$7),INDEX(Premissas!$C$50:$G$50,S$7)),0)</f>
        <v>244.413770473637</v>
      </c>
      <c r="T28" s="161" t="n">
        <f aca="false">IFERROR(T27/CHOOSE(Premissas!$B$6,INDEX(Premissas!$C$48:$G$48,T$7),INDEX(Premissas!$C$49:$G$49,T$7),INDEX(Premissas!$C$50:$G$50,T$7)),0)</f>
        <v>243.039256042765</v>
      </c>
      <c r="U28" s="161" t="n">
        <f aca="false">IFERROR(U27/CHOOSE(Premissas!$B$6,INDEX(Premissas!$C$48:$G$48,U$7),INDEX(Premissas!$C$49:$G$49,U$7),INDEX(Premissas!$C$50:$G$50,U$7)),0)</f>
        <v>242.079401828636</v>
      </c>
      <c r="V28" s="161" t="n">
        <f aca="false">IFERROR(V27/CHOOSE(Premissas!$B$6,INDEX(Premissas!$C$48:$G$48,V$7),INDEX(Premissas!$C$49:$G$49,V$7),INDEX(Premissas!$C$50:$G$50,V$7)),0)</f>
        <v>241.472716197725</v>
      </c>
      <c r="W28" s="161" t="n">
        <f aca="false">IFERROR(W27/CHOOSE(Premissas!$B$6,INDEX(Premissas!$C$48:$G$48,W$7),INDEX(Premissas!$C$49:$G$49,W$7),INDEX(Premissas!$C$50:$G$50,W$7)),0)</f>
        <v>239.448749905992</v>
      </c>
      <c r="X28" s="161" t="n">
        <f aca="false">IFERROR(X27/CHOOSE(Premissas!$B$6,INDEX(Premissas!$C$48:$G$48,X$7),INDEX(Premissas!$C$49:$G$49,X$7),INDEX(Premissas!$C$50:$G$50,X$7)),0)</f>
        <v>237.942147565267</v>
      </c>
      <c r="Y28" s="161" t="n">
        <f aca="false">IFERROR(Y27/CHOOSE(Premissas!$B$6,INDEX(Premissas!$C$48:$G$48,Y$7),INDEX(Premissas!$C$49:$G$49,Y$7),INDEX(Premissas!$C$50:$G$50,Y$7)),0)</f>
        <v>236.828013697747</v>
      </c>
      <c r="Z28" s="161" t="n">
        <f aca="false">IFERROR(Z27/CHOOSE(Premissas!$B$6,INDEX(Premissas!$C$48:$G$48,Z$7),INDEX(Premissas!$C$49:$G$49,Z$7),INDEX(Premissas!$C$50:$G$50,Z$7)),0)</f>
        <v>287.172948904611</v>
      </c>
      <c r="AA28" s="161" t="n">
        <f aca="false">IFERROR(AA27/CHOOSE(Premissas!$B$6,INDEX(Premissas!$C$48:$G$48,AA$7),INDEX(Premissas!$C$49:$G$49,AA$7),INDEX(Premissas!$C$50:$G$50,AA$7)),0)</f>
        <v>313.571475470827</v>
      </c>
      <c r="AB28" s="161" t="n">
        <f aca="false">IFERROR(AB27/CHOOSE(Premissas!$B$6,INDEX(Premissas!$C$48:$G$48,AB$7),INDEX(Premissas!$C$49:$G$49,AB$7),INDEX(Premissas!$C$50:$G$50,AB$7)),0)</f>
        <v>306.519552150608</v>
      </c>
      <c r="AC28" s="161" t="n">
        <f aca="false">IFERROR(AC27/CHOOSE(Premissas!$B$6,INDEX(Premissas!$C$48:$G$48,AC$7),INDEX(Premissas!$C$49:$G$49,AC$7),INDEX(Premissas!$C$50:$G$50,AC$7)),0)</f>
        <v>301.027923290952</v>
      </c>
      <c r="AD28" s="161" t="n">
        <f aca="false">IFERROR(AD27/CHOOSE(Premissas!$B$6,INDEX(Premissas!$C$48:$G$48,AD$7),INDEX(Premissas!$C$49:$G$49,AD$7),INDEX(Premissas!$C$50:$G$50,AD$7)),0)</f>
        <v>311.438249247276</v>
      </c>
      <c r="AE28" s="161" t="n">
        <f aca="false">IFERROR(AE27/CHOOSE(Premissas!$B$6,INDEX(Premissas!$C$48:$G$48,AE$7),INDEX(Premissas!$C$49:$G$49,AE$7),INDEX(Premissas!$C$50:$G$50,AE$7)),0)</f>
        <v>311.66910998972</v>
      </c>
      <c r="AF28" s="161" t="n">
        <f aca="false">IFERROR(AF27/CHOOSE(Premissas!$B$6,INDEX(Premissas!$C$48:$G$48,AF$7),INDEX(Premissas!$C$49:$G$49,AF$7),INDEX(Premissas!$C$50:$G$50,AF$7)),0)</f>
        <v>311.900163049677</v>
      </c>
      <c r="AG28" s="161" t="n">
        <f aca="false">IFERROR(AG27/CHOOSE(Premissas!$B$6,INDEX(Premissas!$C$48:$G$48,AG$7),INDEX(Premissas!$C$49:$G$49,AG$7),INDEX(Premissas!$C$50:$G$50,AG$7)),0)</f>
        <v>312.081989821188</v>
      </c>
      <c r="AH28" s="161" t="n">
        <f aca="false">IFERROR(AH27/CHOOSE(Premissas!$B$6,INDEX(Premissas!$C$48:$G$48,AH$7),INDEX(Premissas!$C$49:$G$49,AH$7),INDEX(Premissas!$C$50:$G$50,AH$7)),0)</f>
        <v>312.27466199136</v>
      </c>
      <c r="AI28" s="161" t="n">
        <f aca="false">IFERROR(AI27/CHOOSE(Premissas!$B$6,INDEX(Premissas!$C$48:$G$48,AI$7),INDEX(Premissas!$C$49:$G$49,AI$7),INDEX(Premissas!$C$50:$G$50,AI$7)),0)</f>
        <v>312.402752881845</v>
      </c>
      <c r="AJ28" s="161" t="n">
        <f aca="false">IFERROR(AJ27/CHOOSE(Premissas!$B$6,INDEX(Premissas!$C$48:$G$48,AJ$7),INDEX(Premissas!$C$49:$G$49,AJ$7),INDEX(Premissas!$C$50:$G$50,AJ$7)),0)</f>
        <v>312.545069849082</v>
      </c>
      <c r="AK28" s="161" t="n">
        <f aca="false">IFERROR(AK27/CHOOSE(Premissas!$B$6,INDEX(Premissas!$C$48:$G$48,AK$7),INDEX(Premissas!$C$49:$G$49,AK$7),INDEX(Premissas!$C$50:$G$50,AK$7)),0)</f>
        <v>312.646413286331</v>
      </c>
      <c r="AL28" s="161" t="n">
        <f aca="false">IFERROR(AL27/CHOOSE(Premissas!$B$6,INDEX(Premissas!$C$48:$G$48,AL$7),INDEX(Premissas!$C$49:$G$49,AL$7),INDEX(Premissas!$C$50:$G$50,AL$7)),0)</f>
        <v>377.165868364516</v>
      </c>
      <c r="AM28" s="161" t="n">
        <f aca="false">IFERROR(AM27/CHOOSE(Premissas!$B$6,INDEX(Premissas!$C$48:$G$48,AM$7),INDEX(Premissas!$C$49:$G$49,AM$7),INDEX(Premissas!$C$50:$G$50,AM$7)),0)</f>
        <v>377.703889355821</v>
      </c>
      <c r="AN28" s="161" t="n">
        <f aca="false">IFERROR(AN27/CHOOSE(Premissas!$B$6,INDEX(Premissas!$C$48:$G$48,AN$7),INDEX(Premissas!$C$49:$G$49,AN$7),INDEX(Premissas!$C$50:$G$50,AN$7)),0)</f>
        <v>378.161887625804</v>
      </c>
      <c r="AO28" s="161" t="n">
        <f aca="false">IFERROR(AO27/CHOOSE(Premissas!$B$6,INDEX(Premissas!$C$48:$G$48,AO$7),INDEX(Premissas!$C$49:$G$49,AO$7),INDEX(Premissas!$C$50:$G$50,AO$7)),0)</f>
        <v>378.553888910335</v>
      </c>
      <c r="AP28" s="161" t="n">
        <f aca="false">IFERROR(AP27/CHOOSE(Premissas!$B$6,INDEX(Premissas!$C$48:$G$48,AP$7),INDEX(Premissas!$C$49:$G$49,AP$7),INDEX(Premissas!$C$50:$G$50,AP$7)),0)</f>
        <v>378.892526460554</v>
      </c>
      <c r="AQ28" s="161" t="n">
        <f aca="false">IFERROR(AQ27/CHOOSE(Premissas!$B$6,INDEX(Premissas!$C$48:$G$48,AQ$7),INDEX(Premissas!$C$49:$G$49,AQ$7),INDEX(Premissas!$C$50:$G$50,AQ$7)),0)</f>
        <v>379.172183930775</v>
      </c>
      <c r="AR28" s="161" t="n">
        <f aca="false">IFERROR(AR27/CHOOSE(Premissas!$B$6,INDEX(Premissas!$C$48:$G$48,AR$7),INDEX(Premissas!$C$49:$G$49,AR$7),INDEX(Premissas!$C$50:$G$50,AR$7)),0)</f>
        <v>379.422019307476</v>
      </c>
      <c r="AS28" s="161" t="n">
        <f aca="false">IFERROR(AS27/CHOOSE(Premissas!$B$6,INDEX(Premissas!$C$48:$G$48,AS$7),INDEX(Premissas!$C$49:$G$49,AS$7),INDEX(Premissas!$C$50:$G$50,AS$7)),0)</f>
        <v>379.621371412798</v>
      </c>
      <c r="AT28" s="161" t="n">
        <f aca="false">IFERROR(AT27/CHOOSE(Premissas!$B$6,INDEX(Premissas!$C$48:$G$48,AT$7),INDEX(Premissas!$C$49:$G$49,AT$7),INDEX(Premissas!$C$50:$G$50,AT$7)),0)</f>
        <v>379.816310498957</v>
      </c>
      <c r="AU28" s="161" t="n">
        <f aca="false">IFERROR(AU27/CHOOSE(Premissas!$B$6,INDEX(Premissas!$C$48:$G$48,AU$7),INDEX(Premissas!$C$49:$G$49,AU$7),INDEX(Premissas!$C$50:$G$50,AU$7)),0)</f>
        <v>379.983801647148</v>
      </c>
      <c r="AV28" s="161" t="n">
        <f aca="false">IFERROR(AV27/CHOOSE(Premissas!$B$6,INDEX(Premissas!$C$48:$G$48,AV$7),INDEX(Premissas!$C$49:$G$49,AV$7),INDEX(Premissas!$C$50:$G$50,AV$7)),0)</f>
        <v>380.137882941952</v>
      </c>
      <c r="AW28" s="161" t="n">
        <f aca="false">IFERROR(AW27/CHOOSE(Premissas!$B$6,INDEX(Premissas!$C$48:$G$48,AW$7),INDEX(Premissas!$C$49:$G$49,AW$7),INDEX(Premissas!$C$50:$G$50,AW$7)),0)</f>
        <v>380.256373028451</v>
      </c>
      <c r="AX28" s="161" t="n">
        <f aca="false">IFERROR(AX27/CHOOSE(Premissas!$B$6,INDEX(Premissas!$C$48:$G$48,AX$7),INDEX(Premissas!$C$49:$G$49,AX$7),INDEX(Premissas!$C$50:$G$50,AX$7)),0)</f>
        <v>449.944625541764</v>
      </c>
      <c r="AY28" s="161" t="n">
        <f aca="false">IFERROR(AY27/CHOOSE(Premissas!$B$6,INDEX(Premissas!$C$48:$G$48,AY$7),INDEX(Premissas!$C$49:$G$49,AY$7),INDEX(Premissas!$C$50:$G$50,AY$7)),0)</f>
        <v>450.464621308065</v>
      </c>
      <c r="AZ28" s="161" t="n">
        <f aca="false">IFERROR(AZ27/CHOOSE(Premissas!$B$6,INDEX(Premissas!$C$48:$G$48,AZ$7),INDEX(Premissas!$C$49:$G$49,AZ$7),INDEX(Premissas!$C$50:$G$50,AZ$7)),0)</f>
        <v>450.911623299517</v>
      </c>
      <c r="BA28" s="161" t="n">
        <f aca="false">IFERROR(BA27/CHOOSE(Premissas!$B$6,INDEX(Premissas!$C$48:$G$48,BA$7),INDEX(Premissas!$C$49:$G$49,BA$7),INDEX(Premissas!$C$50:$G$50,BA$7)),0)</f>
        <v>451.283593132884</v>
      </c>
      <c r="BB28" s="161" t="n">
        <f aca="false">IFERROR(BB27/CHOOSE(Premissas!$B$6,INDEX(Premissas!$C$48:$G$48,BB$7),INDEX(Premissas!$C$49:$G$49,BB$7),INDEX(Premissas!$C$50:$G$50,BB$7)),0)</f>
        <v>451.601397586903</v>
      </c>
      <c r="BC28" s="161" t="n">
        <f aca="false">IFERROR(BC27/CHOOSE(Premissas!$B$6,INDEX(Premissas!$C$48:$G$48,BC$7),INDEX(Premissas!$C$49:$G$49,BC$7),INDEX(Premissas!$C$50:$G$50,BC$7)),0)</f>
        <v>451.876394191925</v>
      </c>
      <c r="BD28" s="161" t="n">
        <f aca="false">IFERROR(BD27/CHOOSE(Premissas!$B$6,INDEX(Premissas!$C$48:$G$48,BD$7),INDEX(Premissas!$C$49:$G$49,BD$7),INDEX(Premissas!$C$50:$G$50,BD$7)),0)</f>
        <v>452.118406027942</v>
      </c>
      <c r="BE28" s="161" t="n">
        <f aca="false">IFERROR(BE27/CHOOSE(Premissas!$B$6,INDEX(Premissas!$C$48:$G$48,BE$7),INDEX(Premissas!$C$49:$G$49,BE$7),INDEX(Premissas!$C$50:$G$50,BE$7)),0)</f>
        <v>452.338004186687</v>
      </c>
      <c r="BF28" s="161" t="n">
        <f aca="false">IFERROR(BF27/CHOOSE(Premissas!$B$6,INDEX(Premissas!$C$48:$G$48,BF$7),INDEX(Premissas!$C$49:$G$49,BF$7),INDEX(Premissas!$C$50:$G$50,BF$7)),0)</f>
        <v>452.516799328576</v>
      </c>
      <c r="BG28" s="161" t="n">
        <f aca="false">IFERROR(BG27/CHOOSE(Premissas!$B$6,INDEX(Premissas!$C$48:$G$48,BG$7),INDEX(Premissas!$C$49:$G$49,BG$7),INDEX(Premissas!$C$50:$G$50,BG$7)),0)</f>
        <v>452.688394598448</v>
      </c>
      <c r="BH28" s="161" t="n">
        <f aca="false">IFERROR(BH27/CHOOSE(Premissas!$B$6,INDEX(Premissas!$C$48:$G$48,BH$7),INDEX(Premissas!$C$49:$G$49,BH$7),INDEX(Premissas!$C$50:$G$50,BH$7)),0)</f>
        <v>452.836800877637</v>
      </c>
      <c r="BI28" s="161" t="n">
        <f aca="false">IFERROR(BI27/CHOOSE(Premissas!$B$6,INDEX(Premissas!$C$48:$G$48,BI$7),INDEX(Premissas!$C$49:$G$49,BI$7),INDEX(Premissas!$C$50:$G$50,BI$7)),0)</f>
        <v>452.976531487605</v>
      </c>
      <c r="BK28" s="29" t="s">
        <v>559</v>
      </c>
    </row>
    <row r="29" customFormat="false" ht="15" hidden="false" customHeight="false" outlineLevel="0" collapsed="false">
      <c r="A29" s="31" t="s">
        <v>560</v>
      </c>
      <c r="B29" s="162" t="n">
        <f aca="false">IFERROR(B28/B24,0)</f>
        <v>0</v>
      </c>
      <c r="C29" s="162" t="n">
        <f aca="false">IFERROR(C28/C24,0)</f>
        <v>0</v>
      </c>
      <c r="D29" s="162" t="n">
        <f aca="false">IFERROR(D28/D24,0)</f>
        <v>0</v>
      </c>
      <c r="E29" s="162" t="n">
        <f aca="false">IFERROR(E28/E24,0)</f>
        <v>0</v>
      </c>
      <c r="F29" s="162" t="n">
        <f aca="false">IFERROR(F28/F24,0)</f>
        <v>0</v>
      </c>
      <c r="G29" s="162" t="n">
        <f aca="false">IFERROR(G28/G24,0)</f>
        <v>0</v>
      </c>
      <c r="H29" s="162" t="n">
        <f aca="false">IFERROR(H28/H24,0)</f>
        <v>0</v>
      </c>
      <c r="I29" s="162" t="n">
        <f aca="false">IFERROR(I28/I24,0)</f>
        <v>0</v>
      </c>
      <c r="J29" s="162" t="n">
        <f aca="false">IFERROR(J28/J24,0)</f>
        <v>0</v>
      </c>
      <c r="K29" s="162" t="n">
        <f aca="false">IFERROR(K28/K24,0)</f>
        <v>0.656343690870388</v>
      </c>
      <c r="L29" s="162" t="n">
        <f aca="false">IFERROR(L28/L24,0)</f>
        <v>1.79298617793404</v>
      </c>
      <c r="M29" s="162" t="n">
        <f aca="false">IFERROR(M28/M24,0)</f>
        <v>2.86056342708809</v>
      </c>
      <c r="N29" s="162" t="n">
        <f aca="false">IFERROR(N28/N24,0)</f>
        <v>4.61630315145066</v>
      </c>
      <c r="O29" s="162" t="n">
        <f aca="false">IFERROR(O28/O24,0)</f>
        <v>5.84671392603114</v>
      </c>
      <c r="P29" s="162" t="n">
        <f aca="false">IFERROR(P28/P24,0)</f>
        <v>6.96476488461022</v>
      </c>
      <c r="Q29" s="162" t="n">
        <f aca="false">IFERROR(Q28/Q24,0)</f>
        <v>6.87365099920227</v>
      </c>
      <c r="R29" s="162" t="n">
        <f aca="false">IFERROR(R28/R24,0)</f>
        <v>6.80806752762009</v>
      </c>
      <c r="S29" s="162" t="n">
        <f aca="false">IFERROR(S28/S24,0)</f>
        <v>6.75107089799304</v>
      </c>
      <c r="T29" s="162" t="n">
        <f aca="false">IFERROR(T28/T24,0)</f>
        <v>6.7131047704907</v>
      </c>
      <c r="U29" s="162" t="n">
        <f aca="false">IFERROR(U28/U24,0)</f>
        <v>6.6865921732718</v>
      </c>
      <c r="V29" s="162" t="n">
        <f aca="false">IFERROR(V28/V24,0)</f>
        <v>6.66983461620316</v>
      </c>
      <c r="W29" s="162" t="n">
        <f aca="false">IFERROR(W28/W24,0)</f>
        <v>6.61392966492253</v>
      </c>
      <c r="X29" s="162" t="n">
        <f aca="false">IFERROR(X28/X24,0)</f>
        <v>6.57231507341404</v>
      </c>
      <c r="Y29" s="162" t="n">
        <f aca="false">IFERROR(Y28/Y24,0)</f>
        <v>6.54154104331374</v>
      </c>
      <c r="Z29" s="162" t="n">
        <f aca="false">IFERROR(Z28/Z24,0)</f>
        <v>7.79313136780196</v>
      </c>
      <c r="AA29" s="162" t="n">
        <f aca="false">IFERROR(AA28/AA24,0)</f>
        <v>8.50951912727462</v>
      </c>
      <c r="AB29" s="162" t="n">
        <f aca="false">IFERROR(AB28/AB24,0)</f>
        <v>8.31814816061582</v>
      </c>
      <c r="AC29" s="162" t="n">
        <f aca="false">IFERROR(AC28/AC24,0)</f>
        <v>8.16911955158508</v>
      </c>
      <c r="AD29" s="162" t="n">
        <f aca="false">IFERROR(AD28/AD24,0)</f>
        <v>8.45162888287386</v>
      </c>
      <c r="AE29" s="162" t="n">
        <f aca="false">IFERROR(AE28/AE24,0)</f>
        <v>8.45789384654959</v>
      </c>
      <c r="AF29" s="162" t="n">
        <f aca="false">IFERROR(AF28/AF24,0)</f>
        <v>8.46416402922537</v>
      </c>
      <c r="AG29" s="162" t="n">
        <f aca="false">IFERROR(AG28/AG24,0)</f>
        <v>8.46909833770385</v>
      </c>
      <c r="AH29" s="162" t="n">
        <f aca="false">IFERROR(AH28/AH24,0)</f>
        <v>8.47432696226197</v>
      </c>
      <c r="AI29" s="162" t="n">
        <f aca="false">IFERROR(AI28/AI24,0)</f>
        <v>8.47780301785973</v>
      </c>
      <c r="AJ29" s="162" t="n">
        <f aca="false">IFERROR(AJ28/AJ24,0)</f>
        <v>8.48166513240005</v>
      </c>
      <c r="AK29" s="162" t="n">
        <f aca="false">IFERROR(AK28/AK24,0)</f>
        <v>8.48441533127066</v>
      </c>
      <c r="AL29" s="162" t="n">
        <f aca="false">IFERROR(AL28/AL24,0)</f>
        <v>10.0773985766725</v>
      </c>
      <c r="AM29" s="162" t="n">
        <f aca="false">IFERROR(AM28/AM24,0)</f>
        <v>10.0917738222256</v>
      </c>
      <c r="AN29" s="162" t="n">
        <f aca="false">IFERROR(AN28/AN24,0)</f>
        <v>10.1040109611111</v>
      </c>
      <c r="AO29" s="162" t="n">
        <f aca="false">IFERROR(AO28/AO24,0)</f>
        <v>10.1144847433861</v>
      </c>
      <c r="AP29" s="162" t="n">
        <f aca="false">IFERROR(AP28/AP24,0)</f>
        <v>10.1235327136634</v>
      </c>
      <c r="AQ29" s="162" t="n">
        <f aca="false">IFERROR(AQ28/AQ24,0)</f>
        <v>10.1310048102361</v>
      </c>
      <c r="AR29" s="162" t="n">
        <f aca="false">IFERROR(AR28/AR24,0)</f>
        <v>10.1376800979033</v>
      </c>
      <c r="AS29" s="162" t="n">
        <f aca="false">IFERROR(AS28/AS24,0)</f>
        <v>10.1430065359268</v>
      </c>
      <c r="AT29" s="162" t="n">
        <f aca="false">IFERROR(AT28/AT24,0)</f>
        <v>10.1482150636176</v>
      </c>
      <c r="AU29" s="162" t="n">
        <f aca="false">IFERROR(AU28/AU24,0)</f>
        <v>10.1526902168591</v>
      </c>
      <c r="AV29" s="162" t="n">
        <f aca="false">IFERROR(AV28/AV24,0)</f>
        <v>10.1568070756504</v>
      </c>
      <c r="AW29" s="162" t="n">
        <f aca="false">IFERROR(AW28/AW24,0)</f>
        <v>10.1599729820305</v>
      </c>
      <c r="AX29" s="162" t="n">
        <f aca="false">IFERROR(AX28/AX24,0)</f>
        <v>11.6665238838894</v>
      </c>
      <c r="AY29" s="162" t="n">
        <f aca="false">IFERROR(AY28/AY24,0)</f>
        <v>11.6800067497415</v>
      </c>
      <c r="AZ29" s="162" t="n">
        <f aca="false">IFERROR(AZ28/AZ24,0)</f>
        <v>11.6915969746567</v>
      </c>
      <c r="BA29" s="162" t="n">
        <f aca="false">IFERROR(BA28/BA24,0)</f>
        <v>11.7012417058052</v>
      </c>
      <c r="BB29" s="162" t="n">
        <f aca="false">IFERROR(BB28/BB24,0)</f>
        <v>11.7094819937046</v>
      </c>
      <c r="BC29" s="162" t="n">
        <f aca="false">IFERROR(BC28/BC24,0)</f>
        <v>11.7166123254795</v>
      </c>
      <c r="BD29" s="162" t="n">
        <f aca="false">IFERROR(BD28/BD24,0)</f>
        <v>11.7228874017996</v>
      </c>
      <c r="BE29" s="162" t="n">
        <f aca="false">IFERROR(BE28/BE24,0)</f>
        <v>11.7285813183805</v>
      </c>
      <c r="BF29" s="162" t="n">
        <f aca="false">IFERROR(BF28/BF24,0)</f>
        <v>11.7332172617272</v>
      </c>
      <c r="BG29" s="162" t="n">
        <f aca="false">IFERROR(BG28/BG24,0)</f>
        <v>11.7376665210375</v>
      </c>
      <c r="BH29" s="162" t="n">
        <f aca="false">IFERROR(BH28/BH24,0)</f>
        <v>11.7415145176629</v>
      </c>
      <c r="BI29" s="162" t="n">
        <f aca="false">IFERROR(BI28/BI24,0)</f>
        <v>11.7451375646024</v>
      </c>
      <c r="BK29" s="29" t="s">
        <v>561</v>
      </c>
    </row>
    <row r="30" customFormat="false" ht="15" hidden="false" customHeight="false" outlineLevel="0" collapsed="false">
      <c r="A30" s="27" t="s">
        <v>146</v>
      </c>
      <c r="B30" s="163" t="n">
        <f aca="false">IFERROR(B24/B27,0)</f>
        <v>0</v>
      </c>
      <c r="C30" s="163" t="n">
        <f aca="false">IFERROR(C24/C27,0)</f>
        <v>0</v>
      </c>
      <c r="D30" s="163" t="n">
        <f aca="false">IFERROR(D24/D27,0)</f>
        <v>0</v>
      </c>
      <c r="E30" s="163" t="n">
        <f aca="false">IFERROR(E24/E27,0)</f>
        <v>0</v>
      </c>
      <c r="F30" s="163" t="n">
        <f aca="false">IFERROR(F24/F27,0)</f>
        <v>0</v>
      </c>
      <c r="G30" s="163" t="n">
        <f aca="false">IFERROR(G24/G27,0)</f>
        <v>0</v>
      </c>
      <c r="H30" s="163" t="n">
        <f aca="false">IFERROR(H24/H27,0)</f>
        <v>0</v>
      </c>
      <c r="I30" s="163" t="n">
        <f aca="false">IFERROR(I24/I27,0)</f>
        <v>0</v>
      </c>
      <c r="J30" s="163" t="n">
        <f aca="false">IFERROR(J24/J27,0)</f>
        <v>0</v>
      </c>
      <c r="K30" s="163" t="n">
        <f aca="false">IFERROR(K24/K27,0)</f>
        <v>19.0449000635986</v>
      </c>
      <c r="L30" s="163" t="n">
        <f aca="false">IFERROR(L24/L27,0)</f>
        <v>6.97160979478552</v>
      </c>
      <c r="M30" s="163" t="n">
        <f aca="false">IFERROR(M24/M27,0)</f>
        <v>4.36976851540201</v>
      </c>
      <c r="N30" s="163" t="n">
        <f aca="false">IFERROR(N24/N27,0)</f>
        <v>2.88063238139954</v>
      </c>
      <c r="O30" s="163" t="n">
        <f aca="false">IFERROR(O24/O27,0)</f>
        <v>2.27441816183615</v>
      </c>
      <c r="P30" s="163" t="n">
        <f aca="false">IFERROR(P24/P27,0)</f>
        <v>1.90930671181871</v>
      </c>
      <c r="Q30" s="163" t="n">
        <f aca="false">IFERROR(Q24/Q27,0)</f>
        <v>1.93461558376601</v>
      </c>
      <c r="R30" s="163" t="n">
        <f aca="false">IFERROR(R24/R27,0)</f>
        <v>1.95325212132173</v>
      </c>
      <c r="S30" s="163" t="n">
        <f aca="false">IFERROR(S24/S27,0)</f>
        <v>1.96974265880969</v>
      </c>
      <c r="T30" s="163" t="n">
        <f aca="false">IFERROR(T24/T27,0)</f>
        <v>1.98088258638238</v>
      </c>
      <c r="U30" s="163" t="n">
        <f aca="false">IFERROR(U24/U27,0)</f>
        <v>1.98873686263997</v>
      </c>
      <c r="V30" s="163" t="n">
        <f aca="false">IFERROR(V24/V27,0)</f>
        <v>1.99373344402285</v>
      </c>
      <c r="W30" s="163" t="n">
        <f aca="false">IFERROR(W24/W27,0)</f>
        <v>2.01058569022162</v>
      </c>
      <c r="X30" s="163" t="n">
        <f aca="false">IFERROR(X24/X27,0)</f>
        <v>2.02331631881395</v>
      </c>
      <c r="Y30" s="163" t="n">
        <f aca="false">IFERROR(Y24/Y27,0)</f>
        <v>2.0328348094701</v>
      </c>
      <c r="Z30" s="163" t="n">
        <f aca="false">IFERROR(Z24/Z27,0)</f>
        <v>1.81527450711644</v>
      </c>
      <c r="AA30" s="163" t="n">
        <f aca="false">IFERROR(AA24/AA27,0)</f>
        <v>1.66245265930922</v>
      </c>
      <c r="AB30" s="163" t="n">
        <f aca="false">IFERROR(AB24/AB27,0)</f>
        <v>1.70069977468795</v>
      </c>
      <c r="AC30" s="163" t="n">
        <f aca="false">IFERROR(AC24/AC27,0)</f>
        <v>1.73172550765712</v>
      </c>
      <c r="AD30" s="163" t="n">
        <f aca="false">IFERROR(AD24/AD27,0)</f>
        <v>1.67383978859351</v>
      </c>
      <c r="AE30" s="163" t="n">
        <f aca="false">IFERROR(AE24/AE27,0)</f>
        <v>1.67259993554442</v>
      </c>
      <c r="AF30" s="163" t="n">
        <f aca="false">IFERROR(AF24/AF27,0)</f>
        <v>1.67136088735216</v>
      </c>
      <c r="AG30" s="163" t="n">
        <f aca="false">IFERROR(AG24/AG27,0)</f>
        <v>1.67038711070343</v>
      </c>
      <c r="AH30" s="163" t="n">
        <f aca="false">IFERROR(AH24/AH27,0)</f>
        <v>1.66935648879003</v>
      </c>
      <c r="AI30" s="163" t="n">
        <f aca="false">IFERROR(AI24/AI27,0)</f>
        <v>1.66867202184084</v>
      </c>
      <c r="AJ30" s="163" t="n">
        <f aca="false">IFERROR(AJ24/AJ27,0)</f>
        <v>1.66791219433315</v>
      </c>
      <c r="AK30" s="163" t="n">
        <f aca="false">IFERROR(AK24/AK27,0)</f>
        <v>1.66737154538399</v>
      </c>
      <c r="AL30" s="163" t="n">
        <f aca="false">IFERROR(AL24/AL27,0)</f>
        <v>1.493406427934</v>
      </c>
      <c r="AM30" s="163" t="n">
        <f aca="false">IFERROR(AM24/AM27,0)</f>
        <v>1.49127914243491</v>
      </c>
      <c r="AN30" s="163" t="n">
        <f aca="false">IFERROR(AN24/AN27,0)</f>
        <v>1.48947302899607</v>
      </c>
      <c r="AO30" s="163" t="n">
        <f aca="false">IFERROR(AO24/AO27,0)</f>
        <v>1.48793064531505</v>
      </c>
      <c r="AP30" s="163" t="n">
        <f aca="false">IFERROR(AP24/AP27,0)</f>
        <v>1.4866007980538</v>
      </c>
      <c r="AQ30" s="163" t="n">
        <f aca="false">IFERROR(AQ24/AQ27,0)</f>
        <v>1.48550435945405</v>
      </c>
      <c r="AR30" s="163" t="n">
        <f aca="false">IFERROR(AR24/AR27,0)</f>
        <v>1.48452620973592</v>
      </c>
      <c r="AS30" s="163" t="n">
        <f aca="false">IFERROR(AS24/AS27,0)</f>
        <v>1.48374663448647</v>
      </c>
      <c r="AT30" s="163" t="n">
        <f aca="false">IFERROR(AT24/AT27,0)</f>
        <v>1.48298510791422</v>
      </c>
      <c r="AU30" s="163" t="n">
        <f aca="false">IFERROR(AU24/AU27,0)</f>
        <v>1.48233143036955</v>
      </c>
      <c r="AV30" s="163" t="n">
        <f aca="false">IFERROR(AV24/AV27,0)</f>
        <v>1.48173059694471</v>
      </c>
      <c r="AW30" s="163" t="n">
        <f aca="false">IFERROR(AW24/AW27,0)</f>
        <v>1.48126888111546</v>
      </c>
      <c r="AX30" s="163" t="n">
        <f aca="false">IFERROR(AX24/AX27,0)</f>
        <v>1.37232547103629</v>
      </c>
      <c r="AY30" s="163" t="n">
        <f aca="false">IFERROR(AY24/AY27,0)</f>
        <v>1.370741321247</v>
      </c>
      <c r="AZ30" s="163" t="n">
        <f aca="false">IFERROR(AZ24/AZ27,0)</f>
        <v>1.36938246494634</v>
      </c>
      <c r="BA30" s="163" t="n">
        <f aca="false">IFERROR(BA24/BA27,0)</f>
        <v>1.36825375347742</v>
      </c>
      <c r="BB30" s="163" t="n">
        <f aca="false">IFERROR(BB24/BB27,0)</f>
        <v>1.36729087528571</v>
      </c>
      <c r="BC30" s="163" t="n">
        <f aca="false">IFERROR(BC24/BC27,0)</f>
        <v>1.36645878856108</v>
      </c>
      <c r="BD30" s="163" t="n">
        <f aca="false">IFERROR(BD24/BD27,0)</f>
        <v>1.36572734477146</v>
      </c>
      <c r="BE30" s="163" t="n">
        <f aca="false">IFERROR(BE24/BE27,0)</f>
        <v>1.36506432020248</v>
      </c>
      <c r="BF30" s="163" t="n">
        <f aca="false">IFERROR(BF24/BF27,0)</f>
        <v>1.36452496593059</v>
      </c>
      <c r="BG30" s="163" t="n">
        <f aca="false">IFERROR(BG24/BG27,0)</f>
        <v>1.36400773148728</v>
      </c>
      <c r="BH30" s="163" t="n">
        <f aca="false">IFERROR(BH24/BH27,0)</f>
        <v>1.3635607110335</v>
      </c>
      <c r="BI30" s="163" t="n">
        <f aca="false">IFERROR(BI24/BI27,0)</f>
        <v>1.36314009063346</v>
      </c>
      <c r="BK30" s="29" t="s">
        <v>562</v>
      </c>
    </row>
    <row r="32" customFormat="false" ht="18" hidden="false" customHeight="true" outlineLevel="0" collapsed="false">
      <c r="A32" s="25" t="s">
        <v>563</v>
      </c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</row>
    <row r="33" customFormat="false" ht="15" hidden="false" customHeight="false" outlineLevel="0" collapsed="false">
      <c r="A33" s="31" t="s">
        <v>564</v>
      </c>
      <c r="B33" s="144" t="n">
        <f aca="false">CHOOSE(Premissas!$B$6,Cenários!B46,Cenários!B92,Cenários!B138)</f>
        <v>0</v>
      </c>
      <c r="C33" s="144" t="n">
        <f aca="false">CHOOSE(Premissas!$B$6,Cenários!C46,Cenários!C92,Cenários!C138)</f>
        <v>0</v>
      </c>
      <c r="D33" s="144" t="n">
        <f aca="false">CHOOSE(Premissas!$B$6,Cenários!D46,Cenários!D92,Cenários!D138)</f>
        <v>0</v>
      </c>
      <c r="E33" s="144" t="n">
        <f aca="false">CHOOSE(Premissas!$B$6,Cenários!E46,Cenários!E92,Cenários!E138)</f>
        <v>8500</v>
      </c>
      <c r="F33" s="144" t="n">
        <f aca="false">CHOOSE(Premissas!$B$6,Cenários!F46,Cenários!F92,Cenários!F138)</f>
        <v>400</v>
      </c>
      <c r="G33" s="144" t="n">
        <f aca="false">CHOOSE(Premissas!$B$6,Cenários!G46,Cenários!G92,Cenários!G138)</f>
        <v>-1700</v>
      </c>
      <c r="H33" s="144" t="n">
        <f aca="false">CHOOSE(Premissas!$B$6,Cenários!H46,Cenários!H92,Cenários!H138)</f>
        <v>1200</v>
      </c>
      <c r="I33" s="144" t="n">
        <f aca="false">CHOOSE(Premissas!$B$6,Cenários!I46,Cenários!I92,Cenários!I138)</f>
        <v>7972.18</v>
      </c>
      <c r="J33" s="144" t="n">
        <f aca="false">CHOOSE(Premissas!$B$6,Cenários!J46,Cenários!J92,Cenários!J138)</f>
        <v>-4627.82</v>
      </c>
      <c r="K33" s="144" t="n">
        <f aca="false">CHOOSE(Premissas!$B$6,Cenários!K46,Cenários!K92,Cenários!K138)</f>
        <v>5362.19267500001</v>
      </c>
      <c r="L33" s="144" t="n">
        <f aca="false">CHOOSE(Premissas!$B$6,Cenários!L46,Cenários!L92,Cenários!L138)</f>
        <v>17907.56025</v>
      </c>
      <c r="M33" s="144" t="n">
        <f aca="false">CHOOSE(Premissas!$B$6,Cenários!M46,Cenários!M92,Cenários!M138)</f>
        <v>18788.54255</v>
      </c>
      <c r="N33" s="144" t="n">
        <f aca="false">CHOOSE(Premissas!$B$6,Cenários!N46,Cenários!N92,Cenários!N138)</f>
        <v>-47945.135190096</v>
      </c>
      <c r="O33" s="144" t="n">
        <f aca="false">CHOOSE(Premissas!$B$6,Cenários!O46,Cenários!O92,Cenários!O138)</f>
        <v>-82788.7328306104</v>
      </c>
      <c r="P33" s="144" t="n">
        <f aca="false">CHOOSE(Premissas!$B$6,Cenários!P46,Cenários!P92,Cenários!P138)</f>
        <v>-93538.970483385</v>
      </c>
      <c r="Q33" s="144" t="n">
        <f aca="false">CHOOSE(Premissas!$B$6,Cenários!Q46,Cenários!Q92,Cenários!Q138)</f>
        <v>-75135.7197624651</v>
      </c>
      <c r="R33" s="144" t="n">
        <f aca="false">CHOOSE(Premissas!$B$6,Cenários!R46,Cenários!R92,Cenários!R138)</f>
        <v>-40893.9430893628</v>
      </c>
      <c r="S33" s="144" t="n">
        <f aca="false">CHOOSE(Premissas!$B$6,Cenários!S46,Cenários!S92,Cenários!S138)</f>
        <v>16781.6275273381</v>
      </c>
      <c r="T33" s="144" t="n">
        <f aca="false">CHOOSE(Premissas!$B$6,Cenários!T46,Cenários!T92,Cenários!T138)</f>
        <v>53966.3331715803</v>
      </c>
      <c r="U33" s="144" t="n">
        <f aca="false">CHOOSE(Premissas!$B$6,Cenários!U46,Cenários!U92,Cenários!U138)</f>
        <v>128752.431307682</v>
      </c>
      <c r="V33" s="144" t="n">
        <f aca="false">CHOOSE(Premissas!$B$6,Cenários!V46,Cenários!V92,Cenários!V138)</f>
        <v>215316.098070699</v>
      </c>
      <c r="W33" s="144" t="n">
        <f aca="false">CHOOSE(Premissas!$B$6,Cenários!W46,Cenários!W92,Cenários!W138)</f>
        <v>311431.169339195</v>
      </c>
      <c r="X33" s="144" t="n">
        <f aca="false">CHOOSE(Premissas!$B$6,Cenários!X46,Cenários!X92,Cenários!X138)</f>
        <v>416550.280605887</v>
      </c>
      <c r="Y33" s="144" t="n">
        <f aca="false">CHOOSE(Premissas!$B$6,Cenários!Y46,Cenários!Y92,Cenários!Y138)</f>
        <v>545141.577332919</v>
      </c>
      <c r="Z33" s="144" t="n">
        <f aca="false">CHOOSE(Premissas!$B$6,Cenários!Z46,Cenários!Z92,Cenários!Z138)</f>
        <v>566660.217652978</v>
      </c>
      <c r="AA33" s="144" t="n">
        <f aca="false">CHOOSE(Premissas!$B$6,Cenários!AA46,Cenários!AA92,Cenários!AA138)</f>
        <v>645411.071341585</v>
      </c>
      <c r="AB33" s="144" t="n">
        <f aca="false">CHOOSE(Premissas!$B$6,Cenários!AB46,Cenários!AB92,Cenários!AB138)</f>
        <v>741847.645199887</v>
      </c>
      <c r="AC33" s="144" t="n">
        <f aca="false">CHOOSE(Premissas!$B$6,Cenários!AC46,Cenários!AC92,Cenários!AC138)</f>
        <v>855065.296785532</v>
      </c>
      <c r="AD33" s="144" t="n">
        <f aca="false">CHOOSE(Premissas!$B$6,Cenários!AD46,Cenários!AD92,Cenários!AD138)</f>
        <v>1005035.45647138</v>
      </c>
      <c r="AE33" s="144" t="n">
        <f aca="false">CHOOSE(Premissas!$B$6,Cenários!AE46,Cenários!AE92,Cenários!AE138)</f>
        <v>1161525.84731046</v>
      </c>
      <c r="AF33" s="144" t="n">
        <f aca="false">CHOOSE(Premissas!$B$6,Cenários!AF46,Cenários!AF92,Cenários!AF138)</f>
        <v>1353068.92836373</v>
      </c>
      <c r="AG33" s="144" t="n">
        <f aca="false">CHOOSE(Premissas!$B$6,Cenários!AG46,Cenários!AG92,Cenários!AG138)</f>
        <v>1563224.97936552</v>
      </c>
      <c r="AH33" s="144" t="n">
        <f aca="false">CHOOSE(Premissas!$B$6,Cenários!AH46,Cenários!AH92,Cenários!AH138)</f>
        <v>1790753.08491332</v>
      </c>
      <c r="AI33" s="144" t="n">
        <f aca="false">CHOOSE(Premissas!$B$6,Cenários!AI46,Cenários!AI92,Cenários!AI138)</f>
        <v>2034349.1663284</v>
      </c>
      <c r="AJ33" s="144" t="n">
        <f aca="false">CHOOSE(Premissas!$B$6,Cenários!AJ46,Cenários!AJ92,Cenários!AJ138)</f>
        <v>2292924.49503652</v>
      </c>
      <c r="AK33" s="144" t="n">
        <f aca="false">CHOOSE(Premissas!$B$6,Cenários!AK46,Cenários!AK92,Cenários!AK138)</f>
        <v>2565357.8236317</v>
      </c>
      <c r="AL33" s="144" t="n">
        <f aca="false">CHOOSE(Premissas!$B$6,Cenários!AL46,Cenários!AL92,Cenários!AL138)</f>
        <v>2707565.64322744</v>
      </c>
      <c r="AM33" s="144" t="n">
        <f aca="false">CHOOSE(Premissas!$B$6,Cenários!AM46,Cenários!AM92,Cenários!AM138)</f>
        <v>2898186.7531613</v>
      </c>
      <c r="AN33" s="144" t="n">
        <f aca="false">CHOOSE(Premissas!$B$6,Cenários!AN46,Cenários!AN92,Cenários!AN138)</f>
        <v>3134013.02453858</v>
      </c>
      <c r="AO33" s="144" t="n">
        <f aca="false">CHOOSE(Premissas!$B$6,Cenários!AO46,Cenários!AO92,Cenários!AO138)</f>
        <v>3412080.69457547</v>
      </c>
      <c r="AP33" s="144" t="n">
        <f aca="false">CHOOSE(Premissas!$B$6,Cenários!AP46,Cenários!AP92,Cenários!AP138)</f>
        <v>3729576.84846992</v>
      </c>
      <c r="AQ33" s="144" t="n">
        <f aca="false">CHOOSE(Premissas!$B$6,Cenários!AQ46,Cenários!AQ92,Cenários!AQ138)</f>
        <v>4058852.28339709</v>
      </c>
      <c r="AR33" s="144" t="n">
        <f aca="false">CHOOSE(Premissas!$B$6,Cenários!AR46,Cenários!AR92,Cenários!AR138)</f>
        <v>4447487.49625542</v>
      </c>
      <c r="AS33" s="144" t="n">
        <f aca="false">CHOOSE(Premissas!$B$6,Cenários!AS46,Cenários!AS92,Cenários!AS138)</f>
        <v>4868146.25103497</v>
      </c>
      <c r="AT33" s="144" t="n">
        <f aca="false">CHOOSE(Premissas!$B$6,Cenários!AT46,Cenários!AT92,Cenários!AT138)</f>
        <v>5318754.72062889</v>
      </c>
      <c r="AU33" s="144" t="n">
        <f aca="false">CHOOSE(Premissas!$B$6,Cenários!AU46,Cenários!AU92,Cenários!AU138)</f>
        <v>5797321.10796908</v>
      </c>
      <c r="AV33" s="144" t="n">
        <f aca="false">CHOOSE(Premissas!$B$6,Cenários!AV46,Cenários!AV92,Cenários!AV138)</f>
        <v>6301986.81322359</v>
      </c>
      <c r="AW33" s="144" t="n">
        <f aca="false">CHOOSE(Premissas!$B$6,Cenários!AW46,Cenários!AW92,Cenários!AW138)</f>
        <v>6830974.18848072</v>
      </c>
      <c r="AX33" s="144" t="n">
        <f aca="false">CHOOSE(Premissas!$B$6,Cenários!AX46,Cenários!AX92,Cenários!AX138)</f>
        <v>7299899.53216233</v>
      </c>
      <c r="AY33" s="144" t="n">
        <f aca="false">CHOOSE(Premissas!$B$6,Cenários!AY46,Cenários!AY92,Cenários!AY138)</f>
        <v>7855604.59945753</v>
      </c>
      <c r="AZ33" s="144" t="n">
        <f aca="false">CHOOSE(Premissas!$B$6,Cenários!AZ46,Cenários!AZ92,Cenários!AZ138)</f>
        <v>8492701.13080656</v>
      </c>
      <c r="BA33" s="144" t="n">
        <f aca="false">CHOOSE(Premissas!$B$6,Cenários!BA46,Cenários!BA92,Cenários!BA138)</f>
        <v>9206048.68187382</v>
      </c>
      <c r="BB33" s="144" t="n">
        <f aca="false">CHOOSE(Premissas!$B$6,Cenários!BB46,Cenários!BB92,Cenários!BB138)</f>
        <v>9990905.00767205</v>
      </c>
      <c r="BC33" s="144" t="n">
        <f aca="false">CHOOSE(Premissas!$B$6,Cenários!BC46,Cenários!BC92,Cenários!BC138)</f>
        <v>10812792.6554446</v>
      </c>
      <c r="BD33" s="144" t="n">
        <f aca="false">CHOOSE(Premissas!$B$6,Cenários!BD46,Cenários!BD92,Cenários!BD138)</f>
        <v>11727530.8260734</v>
      </c>
      <c r="BE33" s="144" t="n">
        <f aca="false">CHOOSE(Premissas!$B$6,Cenários!BE46,Cenários!BE92,Cenários!BE138)</f>
        <v>12701218.3622608</v>
      </c>
      <c r="BF33" s="144" t="n">
        <f aca="false">CHOOSE(Premissas!$B$6,Cenários!BF46,Cenários!BF92,Cenários!BF138)</f>
        <v>13730112.8089428</v>
      </c>
      <c r="BG33" s="144" t="n">
        <f aca="false">CHOOSE(Premissas!$B$6,Cenários!BG46,Cenários!BG92,Cenários!BG138)</f>
        <v>14810803.1783247</v>
      </c>
      <c r="BH33" s="144" t="n">
        <f aca="false">CHOOSE(Premissas!$B$6,Cenários!BH46,Cenários!BH92,Cenários!BH138)</f>
        <v>15940052.4354876</v>
      </c>
      <c r="BI33" s="144" t="n">
        <f aca="false">CHOOSE(Premissas!$B$6,Cenários!BI46,Cenários!BI92,Cenários!BI138)</f>
        <v>17114851.6960541</v>
      </c>
    </row>
    <row r="34" customFormat="false" ht="15" hidden="false" customHeight="false" outlineLevel="0" collapsed="false">
      <c r="A34" s="27" t="s">
        <v>565</v>
      </c>
      <c r="B34" s="110" t="n">
        <f aca="false">MAX(0,-CHOOSE(Premissas!$B$6,Cenários!B39,Cenários!B85,Cenários!B131))</f>
        <v>-0</v>
      </c>
      <c r="C34" s="110" t="n">
        <f aca="false">MAX(0,-CHOOSE(Premissas!$B$6,Cenários!C39,Cenários!C85,Cenários!C131))</f>
        <v>-0</v>
      </c>
      <c r="D34" s="110" t="n">
        <f aca="false">MAX(0,-CHOOSE(Premissas!$B$6,Cenários!D39,Cenários!D85,Cenários!D131))</f>
        <v>-0</v>
      </c>
      <c r="E34" s="110" t="n">
        <f aca="false">MAX(0,-CHOOSE(Premissas!$B$6,Cenários!E39,Cenários!E85,Cenários!E131))</f>
        <v>1500</v>
      </c>
      <c r="F34" s="110" t="n">
        <f aca="false">MAX(0,-CHOOSE(Premissas!$B$6,Cenários!F39,Cenários!F85,Cenários!F131))</f>
        <v>8100</v>
      </c>
      <c r="G34" s="110" t="n">
        <f aca="false">MAX(0,-CHOOSE(Premissas!$B$6,Cenários!G39,Cenários!G85,Cenários!G131))</f>
        <v>2100</v>
      </c>
      <c r="H34" s="110" t="n">
        <f aca="false">MAX(0,-CHOOSE(Premissas!$B$6,Cenários!H39,Cenários!H85,Cenários!H131))</f>
        <v>2100</v>
      </c>
      <c r="I34" s="110" t="n">
        <f aca="false">MAX(0,-CHOOSE(Premissas!$B$6,Cenários!I39,Cenários!I85,Cenários!I131))</f>
        <v>11227.82</v>
      </c>
      <c r="J34" s="110" t="n">
        <f aca="false">MAX(0,-CHOOSE(Premissas!$B$6,Cenários!J39,Cenários!J85,Cenários!J131))</f>
        <v>12600</v>
      </c>
      <c r="K34" s="110" t="n">
        <f aca="false">MAX(0,-CHOOSE(Premissas!$B$6,Cenários!K39,Cenários!K85,Cenários!K131))</f>
        <v>70009.987325</v>
      </c>
      <c r="L34" s="110" t="n">
        <f aca="false">MAX(0,-CHOOSE(Premissas!$B$6,Cenários!L39,Cenários!L85,Cenários!L131))</f>
        <v>27454.632425</v>
      </c>
      <c r="M34" s="110" t="n">
        <f aca="false">MAX(0,-CHOOSE(Premissas!$B$6,Cenários!M39,Cenários!M85,Cenários!M131))</f>
        <v>16119.0177</v>
      </c>
      <c r="N34" s="110" t="n">
        <f aca="false">MAX(0,-CHOOSE(Premissas!$B$6,Cenários!N39,Cenários!N85,Cenários!N131))</f>
        <v>66733.677740096</v>
      </c>
      <c r="O34" s="110" t="n">
        <f aca="false">MAX(0,-CHOOSE(Premissas!$B$6,Cenários!O39,Cenários!O85,Cenários!O131))</f>
        <v>34843.5976405144</v>
      </c>
      <c r="P34" s="110" t="n">
        <f aca="false">MAX(0,-CHOOSE(Premissas!$B$6,Cenários!P39,Cenários!P85,Cenários!P131))</f>
        <v>10750.2376527746</v>
      </c>
      <c r="Q34" s="110" t="n">
        <f aca="false">MAX(0,-CHOOSE(Premissas!$B$6,Cenários!Q39,Cenários!Q85,Cenários!Q131))</f>
        <v>0</v>
      </c>
      <c r="R34" s="110" t="n">
        <f aca="false">MAX(0,-CHOOSE(Premissas!$B$6,Cenários!R39,Cenários!R85,Cenários!R131))</f>
        <v>0</v>
      </c>
      <c r="S34" s="110" t="n">
        <f aca="false">MAX(0,-CHOOSE(Premissas!$B$6,Cenários!S39,Cenários!S85,Cenários!S131))</f>
        <v>0</v>
      </c>
      <c r="T34" s="110" t="n">
        <f aca="false">MAX(0,-CHOOSE(Premissas!$B$6,Cenários!T39,Cenários!T85,Cenários!T131))</f>
        <v>0</v>
      </c>
      <c r="U34" s="110" t="n">
        <f aca="false">MAX(0,-CHOOSE(Premissas!$B$6,Cenários!U39,Cenários!U85,Cenários!U131))</f>
        <v>0</v>
      </c>
      <c r="V34" s="110" t="n">
        <f aca="false">MAX(0,-CHOOSE(Premissas!$B$6,Cenários!V39,Cenários!V85,Cenários!V131))</f>
        <v>0</v>
      </c>
      <c r="W34" s="110" t="n">
        <f aca="false">MAX(0,-CHOOSE(Premissas!$B$6,Cenários!W39,Cenários!W85,Cenários!W131))</f>
        <v>0</v>
      </c>
      <c r="X34" s="110" t="n">
        <f aca="false">MAX(0,-CHOOSE(Premissas!$B$6,Cenários!X39,Cenários!X85,Cenários!X131))</f>
        <v>0</v>
      </c>
      <c r="Y34" s="110" t="n">
        <f aca="false">MAX(0,-CHOOSE(Premissas!$B$6,Cenários!Y39,Cenários!Y85,Cenários!Y131))</f>
        <v>0</v>
      </c>
      <c r="Z34" s="110" t="n">
        <f aca="false">MAX(0,-CHOOSE(Premissas!$B$6,Cenários!Z39,Cenários!Z85,Cenários!Z131))</f>
        <v>0</v>
      </c>
      <c r="AA34" s="110" t="n">
        <f aca="false">MAX(0,-CHOOSE(Premissas!$B$6,Cenários!AA39,Cenários!AA85,Cenários!AA131))</f>
        <v>0</v>
      </c>
      <c r="AB34" s="110" t="n">
        <f aca="false">MAX(0,-CHOOSE(Premissas!$B$6,Cenários!AB39,Cenários!AB85,Cenários!AB131))</f>
        <v>0</v>
      </c>
      <c r="AC34" s="110" t="n">
        <f aca="false">MAX(0,-CHOOSE(Premissas!$B$6,Cenários!AC39,Cenários!AC85,Cenários!AC131))</f>
        <v>0</v>
      </c>
      <c r="AD34" s="110" t="n">
        <f aca="false">MAX(0,-CHOOSE(Premissas!$B$6,Cenários!AD39,Cenários!AD85,Cenários!AD131))</f>
        <v>0</v>
      </c>
      <c r="AE34" s="110" t="n">
        <f aca="false">MAX(0,-CHOOSE(Premissas!$B$6,Cenários!AE39,Cenários!AE85,Cenários!AE131))</f>
        <v>0</v>
      </c>
      <c r="AF34" s="110" t="n">
        <f aca="false">MAX(0,-CHOOSE(Premissas!$B$6,Cenários!AF39,Cenários!AF85,Cenários!AF131))</f>
        <v>0</v>
      </c>
      <c r="AG34" s="110" t="n">
        <f aca="false">MAX(0,-CHOOSE(Premissas!$B$6,Cenários!AG39,Cenários!AG85,Cenários!AG131))</f>
        <v>0</v>
      </c>
      <c r="AH34" s="110" t="n">
        <f aca="false">MAX(0,-CHOOSE(Premissas!$B$6,Cenários!AH39,Cenários!AH85,Cenários!AH131))</f>
        <v>0</v>
      </c>
      <c r="AI34" s="110" t="n">
        <f aca="false">MAX(0,-CHOOSE(Premissas!$B$6,Cenários!AI39,Cenários!AI85,Cenários!AI131))</f>
        <v>0</v>
      </c>
      <c r="AJ34" s="110" t="n">
        <f aca="false">MAX(0,-CHOOSE(Premissas!$B$6,Cenários!AJ39,Cenários!AJ85,Cenários!AJ131))</f>
        <v>0</v>
      </c>
      <c r="AK34" s="110" t="n">
        <f aca="false">MAX(0,-CHOOSE(Premissas!$B$6,Cenários!AK39,Cenários!AK85,Cenários!AK131))</f>
        <v>0</v>
      </c>
      <c r="AL34" s="110" t="n">
        <f aca="false">MAX(0,-CHOOSE(Premissas!$B$6,Cenários!AL39,Cenários!AL85,Cenários!AL131))</f>
        <v>0</v>
      </c>
      <c r="AM34" s="110" t="n">
        <f aca="false">MAX(0,-CHOOSE(Premissas!$B$6,Cenários!AM39,Cenários!AM85,Cenários!AM131))</f>
        <v>0</v>
      </c>
      <c r="AN34" s="110" t="n">
        <f aca="false">MAX(0,-CHOOSE(Premissas!$B$6,Cenários!AN39,Cenários!AN85,Cenários!AN131))</f>
        <v>0</v>
      </c>
      <c r="AO34" s="110" t="n">
        <f aca="false">MAX(0,-CHOOSE(Premissas!$B$6,Cenários!AO39,Cenários!AO85,Cenários!AO131))</f>
        <v>0</v>
      </c>
      <c r="AP34" s="110" t="n">
        <f aca="false">MAX(0,-CHOOSE(Premissas!$B$6,Cenários!AP39,Cenários!AP85,Cenários!AP131))</f>
        <v>0</v>
      </c>
      <c r="AQ34" s="110" t="n">
        <f aca="false">MAX(0,-CHOOSE(Premissas!$B$6,Cenários!AQ39,Cenários!AQ85,Cenários!AQ131))</f>
        <v>0</v>
      </c>
      <c r="AR34" s="110" t="n">
        <f aca="false">MAX(0,-CHOOSE(Premissas!$B$6,Cenários!AR39,Cenários!AR85,Cenários!AR131))</f>
        <v>0</v>
      </c>
      <c r="AS34" s="110" t="n">
        <f aca="false">MAX(0,-CHOOSE(Premissas!$B$6,Cenários!AS39,Cenários!AS85,Cenários!AS131))</f>
        <v>0</v>
      </c>
      <c r="AT34" s="110" t="n">
        <f aca="false">MAX(0,-CHOOSE(Premissas!$B$6,Cenários!AT39,Cenários!AT85,Cenários!AT131))</f>
        <v>0</v>
      </c>
      <c r="AU34" s="110" t="n">
        <f aca="false">MAX(0,-CHOOSE(Premissas!$B$6,Cenários!AU39,Cenários!AU85,Cenários!AU131))</f>
        <v>0</v>
      </c>
      <c r="AV34" s="110" t="n">
        <f aca="false">MAX(0,-CHOOSE(Premissas!$B$6,Cenários!AV39,Cenários!AV85,Cenários!AV131))</f>
        <v>0</v>
      </c>
      <c r="AW34" s="110" t="n">
        <f aca="false">MAX(0,-CHOOSE(Premissas!$B$6,Cenários!AW39,Cenários!AW85,Cenários!AW131))</f>
        <v>0</v>
      </c>
      <c r="AX34" s="110" t="n">
        <f aca="false">MAX(0,-CHOOSE(Premissas!$B$6,Cenários!AX39,Cenários!AX85,Cenários!AX131))</f>
        <v>0</v>
      </c>
      <c r="AY34" s="110" t="n">
        <f aca="false">MAX(0,-CHOOSE(Premissas!$B$6,Cenários!AY39,Cenários!AY85,Cenários!AY131))</f>
        <v>0</v>
      </c>
      <c r="AZ34" s="110" t="n">
        <f aca="false">MAX(0,-CHOOSE(Premissas!$B$6,Cenários!AZ39,Cenários!AZ85,Cenários!AZ131))</f>
        <v>0</v>
      </c>
      <c r="BA34" s="110" t="n">
        <f aca="false">MAX(0,-CHOOSE(Premissas!$B$6,Cenários!BA39,Cenários!BA85,Cenários!BA131))</f>
        <v>0</v>
      </c>
      <c r="BB34" s="110" t="n">
        <f aca="false">MAX(0,-CHOOSE(Premissas!$B$6,Cenários!BB39,Cenários!BB85,Cenários!BB131))</f>
        <v>0</v>
      </c>
      <c r="BC34" s="110" t="n">
        <f aca="false">MAX(0,-CHOOSE(Premissas!$B$6,Cenários!BC39,Cenários!BC85,Cenários!BC131))</f>
        <v>0</v>
      </c>
      <c r="BD34" s="110" t="n">
        <f aca="false">MAX(0,-CHOOSE(Premissas!$B$6,Cenários!BD39,Cenários!BD85,Cenários!BD131))</f>
        <v>0</v>
      </c>
      <c r="BE34" s="110" t="n">
        <f aca="false">MAX(0,-CHOOSE(Premissas!$B$6,Cenários!BE39,Cenários!BE85,Cenários!BE131))</f>
        <v>0</v>
      </c>
      <c r="BF34" s="110" t="n">
        <f aca="false">MAX(0,-CHOOSE(Premissas!$B$6,Cenários!BF39,Cenários!BF85,Cenários!BF131))</f>
        <v>0</v>
      </c>
      <c r="BG34" s="110" t="n">
        <f aca="false">MAX(0,-CHOOSE(Premissas!$B$6,Cenários!BG39,Cenários!BG85,Cenários!BG131))</f>
        <v>0</v>
      </c>
      <c r="BH34" s="110" t="n">
        <f aca="false">MAX(0,-CHOOSE(Premissas!$B$6,Cenários!BH39,Cenários!BH85,Cenários!BH131))</f>
        <v>0</v>
      </c>
      <c r="BI34" s="110" t="n">
        <f aca="false">MAX(0,-CHOOSE(Premissas!$B$6,Cenários!BI39,Cenários!BI85,Cenários!BI131))</f>
        <v>0</v>
      </c>
    </row>
    <row r="35" customFormat="false" ht="15" hidden="false" customHeight="false" outlineLevel="0" collapsed="false">
      <c r="A35" s="31" t="s">
        <v>566</v>
      </c>
      <c r="B35" s="164" t="n">
        <f aca="false">IF(B33&lt;=0,0,IF(AVERAGE(B34:B34)&lt;=0,999,B33/AVERAGE(B34:B34)))</f>
        <v>0</v>
      </c>
      <c r="C35" s="164" t="n">
        <f aca="false">IF(C33&lt;=0,0,IF(AVERAGE(B34:C34)&lt;=0,999,C33/AVERAGE(B34:C34)))</f>
        <v>0</v>
      </c>
      <c r="D35" s="164" t="n">
        <f aca="false">IF(D33&lt;=0,0,IF(AVERAGE(B34:D34)&lt;=0,999,D33/AVERAGE(B34:D34)))</f>
        <v>0</v>
      </c>
      <c r="E35" s="164" t="n">
        <f aca="false">IF(E33&lt;=0,0,IF(AVERAGE(C34:E34)&lt;=0,999,E33/AVERAGE(C34:E34)))</f>
        <v>17</v>
      </c>
      <c r="F35" s="164" t="n">
        <f aca="false">IF(F33&lt;=0,0,IF(AVERAGE(D34:F34)&lt;=0,999,F33/AVERAGE(D34:F34)))</f>
        <v>0.125</v>
      </c>
      <c r="G35" s="164" t="n">
        <f aca="false">IF(G33&lt;=0,0,IF(AVERAGE(E34:G34)&lt;=0,999,G33/AVERAGE(E34:G34)))</f>
        <v>0</v>
      </c>
      <c r="H35" s="164" t="n">
        <f aca="false">IF(H33&lt;=0,0,IF(AVERAGE(F34:H34)&lt;=0,999,H33/AVERAGE(F34:H34)))</f>
        <v>0.292682926829268</v>
      </c>
      <c r="I35" s="164" t="n">
        <f aca="false">IF(I33&lt;=0,0,IF(AVERAGE(G34:I34)&lt;=0,999,I33/AVERAGE(G34:I34)))</f>
        <v>1.55022161264521</v>
      </c>
      <c r="J35" s="164" t="n">
        <f aca="false">IF(J33&lt;=0,0,IF(AVERAGE(H34:J34)&lt;=0,999,J33/AVERAGE(H34:J34)))</f>
        <v>0</v>
      </c>
      <c r="K35" s="164" t="n">
        <f aca="false">IF(K33&lt;=0,0,IF(AVERAGE(I34:K34)&lt;=0,999,K33/AVERAGE(I34:K34)))</f>
        <v>0.171429602668415</v>
      </c>
      <c r="L35" s="164" t="n">
        <f aca="false">IF(L33&lt;=0,0,IF(AVERAGE(J34:L34)&lt;=0,999,L33/AVERAGE(J34:L34)))</f>
        <v>0.488101270617437</v>
      </c>
      <c r="M35" s="164" t="n">
        <f aca="false">IF(M33&lt;=0,0,IF(AVERAGE(K34:M34)&lt;=0,999,M33/AVERAGE(K34:M34)))</f>
        <v>0.496247777544652</v>
      </c>
      <c r="N35" s="164" t="n">
        <f aca="false">IF(N33&lt;=0,0,IF(AVERAGE(L34:N34)&lt;=0,999,N33/AVERAGE(L34:N34)))</f>
        <v>0</v>
      </c>
      <c r="O35" s="164" t="n">
        <f aca="false">IF(O33&lt;=0,0,IF(AVERAGE(M34:O34)&lt;=0,999,O33/AVERAGE(M34:O34)))</f>
        <v>0</v>
      </c>
      <c r="P35" s="164" t="n">
        <f aca="false">IF(P33&lt;=0,0,IF(AVERAGE(N34:P34)&lt;=0,999,P33/AVERAGE(N34:P34)))</f>
        <v>0</v>
      </c>
      <c r="Q35" s="164" t="n">
        <f aca="false">IF(Q33&lt;=0,0,IF(AVERAGE(O34:Q34)&lt;=0,999,Q33/AVERAGE(O34:Q34)))</f>
        <v>0</v>
      </c>
      <c r="R35" s="164" t="n">
        <f aca="false">IF(R33&lt;=0,0,IF(AVERAGE(P34:R34)&lt;=0,999,R33/AVERAGE(P34:R34)))</f>
        <v>0</v>
      </c>
      <c r="S35" s="164" t="n">
        <f aca="false">IF(S33&lt;=0,0,IF(AVERAGE(Q34:S34)&lt;=0,999,S33/AVERAGE(Q34:S34)))</f>
        <v>999</v>
      </c>
      <c r="T35" s="164" t="n">
        <f aca="false">IF(T33&lt;=0,0,IF(AVERAGE(R34:T34)&lt;=0,999,T33/AVERAGE(R34:T34)))</f>
        <v>999</v>
      </c>
      <c r="U35" s="164" t="n">
        <f aca="false">IF(U33&lt;=0,0,IF(AVERAGE(S34:U34)&lt;=0,999,U33/AVERAGE(S34:U34)))</f>
        <v>999</v>
      </c>
      <c r="V35" s="164" t="n">
        <f aca="false">IF(V33&lt;=0,0,IF(AVERAGE(T34:V34)&lt;=0,999,V33/AVERAGE(T34:V34)))</f>
        <v>999</v>
      </c>
      <c r="W35" s="164" t="n">
        <f aca="false">IF(W33&lt;=0,0,IF(AVERAGE(U34:W34)&lt;=0,999,W33/AVERAGE(U34:W34)))</f>
        <v>999</v>
      </c>
      <c r="X35" s="164" t="n">
        <f aca="false">IF(X33&lt;=0,0,IF(AVERAGE(V34:X34)&lt;=0,999,X33/AVERAGE(V34:X34)))</f>
        <v>999</v>
      </c>
      <c r="Y35" s="164" t="n">
        <f aca="false">IF(Y33&lt;=0,0,IF(AVERAGE(W34:Y34)&lt;=0,999,Y33/AVERAGE(W34:Y34)))</f>
        <v>999</v>
      </c>
      <c r="Z35" s="164" t="n">
        <f aca="false">IF(Z33&lt;=0,0,IF(AVERAGE(X34:Z34)&lt;=0,999,Z33/AVERAGE(X34:Z34)))</f>
        <v>999</v>
      </c>
      <c r="AA35" s="164" t="n">
        <f aca="false">IF(AA33&lt;=0,0,IF(AVERAGE(Y34:AA34)&lt;=0,999,AA33/AVERAGE(Y34:AA34)))</f>
        <v>999</v>
      </c>
      <c r="AB35" s="164" t="n">
        <f aca="false">IF(AB33&lt;=0,0,IF(AVERAGE(Z34:AB34)&lt;=0,999,AB33/AVERAGE(Z34:AB34)))</f>
        <v>999</v>
      </c>
      <c r="AC35" s="164" t="n">
        <f aca="false">IF(AC33&lt;=0,0,IF(AVERAGE(AA34:AC34)&lt;=0,999,AC33/AVERAGE(AA34:AC34)))</f>
        <v>999</v>
      </c>
      <c r="AD35" s="164" t="n">
        <f aca="false">IF(AD33&lt;=0,0,IF(AVERAGE(AB34:AD34)&lt;=0,999,AD33/AVERAGE(AB34:AD34)))</f>
        <v>999</v>
      </c>
      <c r="AE35" s="164" t="n">
        <f aca="false">IF(AE33&lt;=0,0,IF(AVERAGE(AC34:AE34)&lt;=0,999,AE33/AVERAGE(AC34:AE34)))</f>
        <v>999</v>
      </c>
      <c r="AF35" s="164" t="n">
        <f aca="false">IF(AF33&lt;=0,0,IF(AVERAGE(AD34:AF34)&lt;=0,999,AF33/AVERAGE(AD34:AF34)))</f>
        <v>999</v>
      </c>
      <c r="AG35" s="164" t="n">
        <f aca="false">IF(AG33&lt;=0,0,IF(AVERAGE(AE34:AG34)&lt;=0,999,AG33/AVERAGE(AE34:AG34)))</f>
        <v>999</v>
      </c>
      <c r="AH35" s="164" t="n">
        <f aca="false">IF(AH33&lt;=0,0,IF(AVERAGE(AF34:AH34)&lt;=0,999,AH33/AVERAGE(AF34:AH34)))</f>
        <v>999</v>
      </c>
      <c r="AI35" s="164" t="n">
        <f aca="false">IF(AI33&lt;=0,0,IF(AVERAGE(AG34:AI34)&lt;=0,999,AI33/AVERAGE(AG34:AI34)))</f>
        <v>999</v>
      </c>
      <c r="AJ35" s="164" t="n">
        <f aca="false">IF(AJ33&lt;=0,0,IF(AVERAGE(AH34:AJ34)&lt;=0,999,AJ33/AVERAGE(AH34:AJ34)))</f>
        <v>999</v>
      </c>
      <c r="AK35" s="164" t="n">
        <f aca="false">IF(AK33&lt;=0,0,IF(AVERAGE(AI34:AK34)&lt;=0,999,AK33/AVERAGE(AI34:AK34)))</f>
        <v>999</v>
      </c>
      <c r="AL35" s="164" t="n">
        <f aca="false">IF(AL33&lt;=0,0,IF(AVERAGE(AJ34:AL34)&lt;=0,999,AL33/AVERAGE(AJ34:AL34)))</f>
        <v>999</v>
      </c>
      <c r="AM35" s="164" t="n">
        <f aca="false">IF(AM33&lt;=0,0,IF(AVERAGE(AK34:AM34)&lt;=0,999,AM33/AVERAGE(AK34:AM34)))</f>
        <v>999</v>
      </c>
      <c r="AN35" s="164" t="n">
        <f aca="false">IF(AN33&lt;=0,0,IF(AVERAGE(AL34:AN34)&lt;=0,999,AN33/AVERAGE(AL34:AN34)))</f>
        <v>999</v>
      </c>
      <c r="AO35" s="164" t="n">
        <f aca="false">IF(AO33&lt;=0,0,IF(AVERAGE(AM34:AO34)&lt;=0,999,AO33/AVERAGE(AM34:AO34)))</f>
        <v>999</v>
      </c>
      <c r="AP35" s="164" t="n">
        <f aca="false">IF(AP33&lt;=0,0,IF(AVERAGE(AN34:AP34)&lt;=0,999,AP33/AVERAGE(AN34:AP34)))</f>
        <v>999</v>
      </c>
      <c r="AQ35" s="164" t="n">
        <f aca="false">IF(AQ33&lt;=0,0,IF(AVERAGE(AO34:AQ34)&lt;=0,999,AQ33/AVERAGE(AO34:AQ34)))</f>
        <v>999</v>
      </c>
      <c r="AR35" s="164" t="n">
        <f aca="false">IF(AR33&lt;=0,0,IF(AVERAGE(AP34:AR34)&lt;=0,999,AR33/AVERAGE(AP34:AR34)))</f>
        <v>999</v>
      </c>
      <c r="AS35" s="164" t="n">
        <f aca="false">IF(AS33&lt;=0,0,IF(AVERAGE(AQ34:AS34)&lt;=0,999,AS33/AVERAGE(AQ34:AS34)))</f>
        <v>999</v>
      </c>
      <c r="AT35" s="164" t="n">
        <f aca="false">IF(AT33&lt;=0,0,IF(AVERAGE(AR34:AT34)&lt;=0,999,AT33/AVERAGE(AR34:AT34)))</f>
        <v>999</v>
      </c>
      <c r="AU35" s="164" t="n">
        <f aca="false">IF(AU33&lt;=0,0,IF(AVERAGE(AS34:AU34)&lt;=0,999,AU33/AVERAGE(AS34:AU34)))</f>
        <v>999</v>
      </c>
      <c r="AV35" s="164" t="n">
        <f aca="false">IF(AV33&lt;=0,0,IF(AVERAGE(AT34:AV34)&lt;=0,999,AV33/AVERAGE(AT34:AV34)))</f>
        <v>999</v>
      </c>
      <c r="AW35" s="164" t="n">
        <f aca="false">IF(AW33&lt;=0,0,IF(AVERAGE(AU34:AW34)&lt;=0,999,AW33/AVERAGE(AU34:AW34)))</f>
        <v>999</v>
      </c>
      <c r="AX35" s="164" t="n">
        <f aca="false">IF(AX33&lt;=0,0,IF(AVERAGE(AV34:AX34)&lt;=0,999,AX33/AVERAGE(AV34:AX34)))</f>
        <v>999</v>
      </c>
      <c r="AY35" s="164" t="n">
        <f aca="false">IF(AY33&lt;=0,0,IF(AVERAGE(AW34:AY34)&lt;=0,999,AY33/AVERAGE(AW34:AY34)))</f>
        <v>999</v>
      </c>
      <c r="AZ35" s="164" t="n">
        <f aca="false">IF(AZ33&lt;=0,0,IF(AVERAGE(AX34:AZ34)&lt;=0,999,AZ33/AVERAGE(AX34:AZ34)))</f>
        <v>999</v>
      </c>
      <c r="BA35" s="164" t="n">
        <f aca="false">IF(BA33&lt;=0,0,IF(AVERAGE(AY34:BA34)&lt;=0,999,BA33/AVERAGE(AY34:BA34)))</f>
        <v>999</v>
      </c>
      <c r="BB35" s="164" t="n">
        <f aca="false">IF(BB33&lt;=0,0,IF(AVERAGE(AZ34:BB34)&lt;=0,999,BB33/AVERAGE(AZ34:BB34)))</f>
        <v>999</v>
      </c>
      <c r="BC35" s="164" t="n">
        <f aca="false">IF(BC33&lt;=0,0,IF(AVERAGE(BA34:BC34)&lt;=0,999,BC33/AVERAGE(BA34:BC34)))</f>
        <v>999</v>
      </c>
      <c r="BD35" s="164" t="n">
        <f aca="false">IF(BD33&lt;=0,0,IF(AVERAGE(BB34:BD34)&lt;=0,999,BD33/AVERAGE(BB34:BD34)))</f>
        <v>999</v>
      </c>
      <c r="BE35" s="164" t="n">
        <f aca="false">IF(BE33&lt;=0,0,IF(AVERAGE(BC34:BE34)&lt;=0,999,BE33/AVERAGE(BC34:BE34)))</f>
        <v>999</v>
      </c>
      <c r="BF35" s="164" t="n">
        <f aca="false">IF(BF33&lt;=0,0,IF(AVERAGE(BD34:BF34)&lt;=0,999,BF33/AVERAGE(BD34:BF34)))</f>
        <v>999</v>
      </c>
      <c r="BG35" s="164" t="n">
        <f aca="false">IF(BG33&lt;=0,0,IF(AVERAGE(BE34:BG34)&lt;=0,999,BG33/AVERAGE(BE34:BG34)))</f>
        <v>999</v>
      </c>
      <c r="BH35" s="164" t="n">
        <f aca="false">IF(BH33&lt;=0,0,IF(AVERAGE(BF34:BH34)&lt;=0,999,BH33/AVERAGE(BF34:BH34)))</f>
        <v>999</v>
      </c>
      <c r="BI35" s="164" t="n">
        <f aca="false">IF(BI33&lt;=0,0,IF(AVERAGE(BG34:BI34)&lt;=0,999,BI33/AVERAGE(BG34:BI34)))</f>
        <v>999</v>
      </c>
      <c r="BK35" s="29" t="s">
        <v>567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BK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61" min="2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568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3" t="s">
        <v>569</v>
      </c>
    </row>
    <row r="4" customFormat="false" ht="15" hidden="false" customHeight="false" outlineLevel="0" collapsed="false">
      <c r="A4" s="100" t="s">
        <v>325</v>
      </c>
      <c r="B4" s="101" t="n">
        <v>46023</v>
      </c>
      <c r="C4" s="101" t="n">
        <v>46054</v>
      </c>
      <c r="D4" s="101" t="n">
        <v>46082</v>
      </c>
      <c r="E4" s="101" t="n">
        <v>46113</v>
      </c>
      <c r="F4" s="101" t="n">
        <v>46143</v>
      </c>
      <c r="G4" s="101" t="n">
        <v>46174</v>
      </c>
      <c r="H4" s="101" t="n">
        <v>46204</v>
      </c>
      <c r="I4" s="101" t="n">
        <v>46235</v>
      </c>
      <c r="J4" s="101" t="n">
        <v>46266</v>
      </c>
      <c r="K4" s="101" t="n">
        <v>46296</v>
      </c>
      <c r="L4" s="101" t="n">
        <v>46327</v>
      </c>
      <c r="M4" s="101" t="n">
        <v>46357</v>
      </c>
      <c r="N4" s="101" t="n">
        <v>46388</v>
      </c>
      <c r="O4" s="101" t="n">
        <v>46419</v>
      </c>
      <c r="P4" s="101" t="n">
        <v>46447</v>
      </c>
      <c r="Q4" s="101" t="n">
        <v>46478</v>
      </c>
      <c r="R4" s="101" t="n">
        <v>46508</v>
      </c>
      <c r="S4" s="101" t="n">
        <v>46539</v>
      </c>
      <c r="T4" s="101" t="n">
        <v>46569</v>
      </c>
      <c r="U4" s="101" t="n">
        <v>46600</v>
      </c>
      <c r="V4" s="101" t="n">
        <v>46631</v>
      </c>
      <c r="W4" s="101" t="n">
        <v>46661</v>
      </c>
      <c r="X4" s="101" t="n">
        <v>46692</v>
      </c>
      <c r="Y4" s="101" t="n">
        <v>46722</v>
      </c>
      <c r="Z4" s="101" t="n">
        <v>46753</v>
      </c>
      <c r="AA4" s="101" t="n">
        <v>46784</v>
      </c>
      <c r="AB4" s="101" t="n">
        <v>46813</v>
      </c>
      <c r="AC4" s="101" t="n">
        <v>46844</v>
      </c>
      <c r="AD4" s="101" t="n">
        <v>46874</v>
      </c>
      <c r="AE4" s="101" t="n">
        <v>46905</v>
      </c>
      <c r="AF4" s="101" t="n">
        <v>46935</v>
      </c>
      <c r="AG4" s="101" t="n">
        <v>46966</v>
      </c>
      <c r="AH4" s="101" t="n">
        <v>46997</v>
      </c>
      <c r="AI4" s="101" t="n">
        <v>47027</v>
      </c>
      <c r="AJ4" s="101" t="n">
        <v>47058</v>
      </c>
      <c r="AK4" s="101" t="n">
        <v>47088</v>
      </c>
      <c r="AL4" s="101" t="n">
        <v>47119</v>
      </c>
      <c r="AM4" s="101" t="n">
        <v>47150</v>
      </c>
      <c r="AN4" s="101" t="n">
        <v>47178</v>
      </c>
      <c r="AO4" s="101" t="n">
        <v>47209</v>
      </c>
      <c r="AP4" s="101" t="n">
        <v>47239</v>
      </c>
      <c r="AQ4" s="101" t="n">
        <v>47270</v>
      </c>
      <c r="AR4" s="101" t="n">
        <v>47300</v>
      </c>
      <c r="AS4" s="101" t="n">
        <v>47331</v>
      </c>
      <c r="AT4" s="101" t="n">
        <v>47362</v>
      </c>
      <c r="AU4" s="101" t="n">
        <v>47392</v>
      </c>
      <c r="AV4" s="101" t="n">
        <v>47423</v>
      </c>
      <c r="AW4" s="101" t="n">
        <v>47453</v>
      </c>
      <c r="AX4" s="101" t="n">
        <v>47484</v>
      </c>
      <c r="AY4" s="101" t="n">
        <v>47515</v>
      </c>
      <c r="AZ4" s="101" t="n">
        <v>47543</v>
      </c>
      <c r="BA4" s="101" t="n">
        <v>47574</v>
      </c>
      <c r="BB4" s="101" t="n">
        <v>47604</v>
      </c>
      <c r="BC4" s="101" t="n">
        <v>47635</v>
      </c>
      <c r="BD4" s="101" t="n">
        <v>47665</v>
      </c>
      <c r="BE4" s="101" t="n">
        <v>47696</v>
      </c>
      <c r="BF4" s="101" t="n">
        <v>47727</v>
      </c>
      <c r="BG4" s="101" t="n">
        <v>47757</v>
      </c>
      <c r="BH4" s="101" t="n">
        <v>47788</v>
      </c>
      <c r="BI4" s="101" t="n">
        <v>47818</v>
      </c>
      <c r="BJ4" s="102" t="s">
        <v>326</v>
      </c>
      <c r="BK4" s="102" t="s">
        <v>327</v>
      </c>
    </row>
    <row r="5" customFormat="false" ht="15" hidden="false" customHeight="false" outlineLevel="0" collapsed="false">
      <c r="A5" s="103" t="s">
        <v>328</v>
      </c>
      <c r="B5" s="104" t="n">
        <v>1</v>
      </c>
      <c r="C5" s="104" t="n">
        <v>2</v>
      </c>
      <c r="D5" s="104" t="n">
        <v>3</v>
      </c>
      <c r="E5" s="104" t="n">
        <v>4</v>
      </c>
      <c r="F5" s="104" t="n">
        <v>5</v>
      </c>
      <c r="G5" s="104" t="n">
        <v>6</v>
      </c>
      <c r="H5" s="104" t="n">
        <v>7</v>
      </c>
      <c r="I5" s="104" t="n">
        <v>8</v>
      </c>
      <c r="J5" s="104" t="n">
        <v>9</v>
      </c>
      <c r="K5" s="104" t="n">
        <v>10</v>
      </c>
      <c r="L5" s="104" t="n">
        <v>11</v>
      </c>
      <c r="M5" s="104" t="n">
        <v>12</v>
      </c>
      <c r="N5" s="104" t="n">
        <v>13</v>
      </c>
      <c r="O5" s="104" t="n">
        <v>14</v>
      </c>
      <c r="P5" s="104" t="n">
        <v>15</v>
      </c>
      <c r="Q5" s="104" t="n">
        <v>16</v>
      </c>
      <c r="R5" s="104" t="n">
        <v>17</v>
      </c>
      <c r="S5" s="104" t="n">
        <v>18</v>
      </c>
      <c r="T5" s="104" t="n">
        <v>19</v>
      </c>
      <c r="U5" s="104" t="n">
        <v>20</v>
      </c>
      <c r="V5" s="104" t="n">
        <v>21</v>
      </c>
      <c r="W5" s="104" t="n">
        <v>22</v>
      </c>
      <c r="X5" s="104" t="n">
        <v>23</v>
      </c>
      <c r="Y5" s="104" t="n">
        <v>24</v>
      </c>
      <c r="Z5" s="104" t="n">
        <v>25</v>
      </c>
      <c r="AA5" s="104" t="n">
        <v>26</v>
      </c>
      <c r="AB5" s="104" t="n">
        <v>27</v>
      </c>
      <c r="AC5" s="104" t="n">
        <v>28</v>
      </c>
      <c r="AD5" s="104" t="n">
        <v>29</v>
      </c>
      <c r="AE5" s="104" t="n">
        <v>30</v>
      </c>
      <c r="AF5" s="104" t="n">
        <v>31</v>
      </c>
      <c r="AG5" s="104" t="n">
        <v>32</v>
      </c>
      <c r="AH5" s="104" t="n">
        <v>33</v>
      </c>
      <c r="AI5" s="104" t="n">
        <v>34</v>
      </c>
      <c r="AJ5" s="104" t="n">
        <v>35</v>
      </c>
      <c r="AK5" s="104" t="n">
        <v>36</v>
      </c>
      <c r="AL5" s="104" t="n">
        <v>37</v>
      </c>
      <c r="AM5" s="104" t="n">
        <v>38</v>
      </c>
      <c r="AN5" s="104" t="n">
        <v>39</v>
      </c>
      <c r="AO5" s="104" t="n">
        <v>40</v>
      </c>
      <c r="AP5" s="104" t="n">
        <v>41</v>
      </c>
      <c r="AQ5" s="104" t="n">
        <v>42</v>
      </c>
      <c r="AR5" s="104" t="n">
        <v>43</v>
      </c>
      <c r="AS5" s="104" t="n">
        <v>44</v>
      </c>
      <c r="AT5" s="104" t="n">
        <v>45</v>
      </c>
      <c r="AU5" s="104" t="n">
        <v>46</v>
      </c>
      <c r="AV5" s="104" t="n">
        <v>47</v>
      </c>
      <c r="AW5" s="104" t="n">
        <v>48</v>
      </c>
      <c r="AX5" s="104" t="n">
        <v>49</v>
      </c>
      <c r="AY5" s="104" t="n">
        <v>50</v>
      </c>
      <c r="AZ5" s="104" t="n">
        <v>51</v>
      </c>
      <c r="BA5" s="104" t="n">
        <v>52</v>
      </c>
      <c r="BB5" s="104" t="n">
        <v>53</v>
      </c>
      <c r="BC5" s="104" t="n">
        <v>54</v>
      </c>
      <c r="BD5" s="104" t="n">
        <v>55</v>
      </c>
      <c r="BE5" s="104" t="n">
        <v>56</v>
      </c>
      <c r="BF5" s="104" t="n">
        <v>57</v>
      </c>
      <c r="BG5" s="104" t="n">
        <v>58</v>
      </c>
      <c r="BH5" s="104" t="n">
        <v>59</v>
      </c>
      <c r="BI5" s="104" t="n">
        <v>60</v>
      </c>
    </row>
    <row r="6" customFormat="false" ht="15" hidden="false" customHeight="false" outlineLevel="0" collapsed="false">
      <c r="A6" s="103" t="s">
        <v>329</v>
      </c>
      <c r="B6" s="105" t="n">
        <f aca="false">YEAR(B4)</f>
        <v>2026</v>
      </c>
      <c r="C6" s="105" t="n">
        <f aca="false">YEAR(C4)</f>
        <v>2026</v>
      </c>
      <c r="D6" s="105" t="n">
        <f aca="false">YEAR(D4)</f>
        <v>2026</v>
      </c>
      <c r="E6" s="105" t="n">
        <f aca="false">YEAR(E4)</f>
        <v>2026</v>
      </c>
      <c r="F6" s="105" t="n">
        <f aca="false">YEAR(F4)</f>
        <v>2026</v>
      </c>
      <c r="G6" s="105" t="n">
        <f aca="false">YEAR(G4)</f>
        <v>2026</v>
      </c>
      <c r="H6" s="105" t="n">
        <f aca="false">YEAR(H4)</f>
        <v>2026</v>
      </c>
      <c r="I6" s="105" t="n">
        <f aca="false">YEAR(I4)</f>
        <v>2026</v>
      </c>
      <c r="J6" s="105" t="n">
        <f aca="false">YEAR(J4)</f>
        <v>2026</v>
      </c>
      <c r="K6" s="105" t="n">
        <f aca="false">YEAR(K4)</f>
        <v>2026</v>
      </c>
      <c r="L6" s="105" t="n">
        <f aca="false">YEAR(L4)</f>
        <v>2026</v>
      </c>
      <c r="M6" s="105" t="n">
        <f aca="false">YEAR(M4)</f>
        <v>2026</v>
      </c>
      <c r="N6" s="105" t="n">
        <f aca="false">YEAR(N4)</f>
        <v>2027</v>
      </c>
      <c r="O6" s="105" t="n">
        <f aca="false">YEAR(O4)</f>
        <v>2027</v>
      </c>
      <c r="P6" s="105" t="n">
        <f aca="false">YEAR(P4)</f>
        <v>2027</v>
      </c>
      <c r="Q6" s="105" t="n">
        <f aca="false">YEAR(Q4)</f>
        <v>2027</v>
      </c>
      <c r="R6" s="105" t="n">
        <f aca="false">YEAR(R4)</f>
        <v>2027</v>
      </c>
      <c r="S6" s="105" t="n">
        <f aca="false">YEAR(S4)</f>
        <v>2027</v>
      </c>
      <c r="T6" s="105" t="n">
        <f aca="false">YEAR(T4)</f>
        <v>2027</v>
      </c>
      <c r="U6" s="105" t="n">
        <f aca="false">YEAR(U4)</f>
        <v>2027</v>
      </c>
      <c r="V6" s="105" t="n">
        <f aca="false">YEAR(V4)</f>
        <v>2027</v>
      </c>
      <c r="W6" s="105" t="n">
        <f aca="false">YEAR(W4)</f>
        <v>2027</v>
      </c>
      <c r="X6" s="105" t="n">
        <f aca="false">YEAR(X4)</f>
        <v>2027</v>
      </c>
      <c r="Y6" s="105" t="n">
        <f aca="false">YEAR(Y4)</f>
        <v>2027</v>
      </c>
      <c r="Z6" s="105" t="n">
        <f aca="false">YEAR(Z4)</f>
        <v>2028</v>
      </c>
      <c r="AA6" s="105" t="n">
        <f aca="false">YEAR(AA4)</f>
        <v>2028</v>
      </c>
      <c r="AB6" s="105" t="n">
        <f aca="false">YEAR(AB4)</f>
        <v>2028</v>
      </c>
      <c r="AC6" s="105" t="n">
        <f aca="false">YEAR(AC4)</f>
        <v>2028</v>
      </c>
      <c r="AD6" s="105" t="n">
        <f aca="false">YEAR(AD4)</f>
        <v>2028</v>
      </c>
      <c r="AE6" s="105" t="n">
        <f aca="false">YEAR(AE4)</f>
        <v>2028</v>
      </c>
      <c r="AF6" s="105" t="n">
        <f aca="false">YEAR(AF4)</f>
        <v>2028</v>
      </c>
      <c r="AG6" s="105" t="n">
        <f aca="false">YEAR(AG4)</f>
        <v>2028</v>
      </c>
      <c r="AH6" s="105" t="n">
        <f aca="false">YEAR(AH4)</f>
        <v>2028</v>
      </c>
      <c r="AI6" s="105" t="n">
        <f aca="false">YEAR(AI4)</f>
        <v>2028</v>
      </c>
      <c r="AJ6" s="105" t="n">
        <f aca="false">YEAR(AJ4)</f>
        <v>2028</v>
      </c>
      <c r="AK6" s="105" t="n">
        <f aca="false">YEAR(AK4)</f>
        <v>2028</v>
      </c>
      <c r="AL6" s="105" t="n">
        <f aca="false">YEAR(AL4)</f>
        <v>2029</v>
      </c>
      <c r="AM6" s="105" t="n">
        <f aca="false">YEAR(AM4)</f>
        <v>2029</v>
      </c>
      <c r="AN6" s="105" t="n">
        <f aca="false">YEAR(AN4)</f>
        <v>2029</v>
      </c>
      <c r="AO6" s="105" t="n">
        <f aca="false">YEAR(AO4)</f>
        <v>2029</v>
      </c>
      <c r="AP6" s="105" t="n">
        <f aca="false">YEAR(AP4)</f>
        <v>2029</v>
      </c>
      <c r="AQ6" s="105" t="n">
        <f aca="false">YEAR(AQ4)</f>
        <v>2029</v>
      </c>
      <c r="AR6" s="105" t="n">
        <f aca="false">YEAR(AR4)</f>
        <v>2029</v>
      </c>
      <c r="AS6" s="105" t="n">
        <f aca="false">YEAR(AS4)</f>
        <v>2029</v>
      </c>
      <c r="AT6" s="105" t="n">
        <f aca="false">YEAR(AT4)</f>
        <v>2029</v>
      </c>
      <c r="AU6" s="105" t="n">
        <f aca="false">YEAR(AU4)</f>
        <v>2029</v>
      </c>
      <c r="AV6" s="105" t="n">
        <f aca="false">YEAR(AV4)</f>
        <v>2029</v>
      </c>
      <c r="AW6" s="105" t="n">
        <f aca="false">YEAR(AW4)</f>
        <v>2029</v>
      </c>
      <c r="AX6" s="105" t="n">
        <f aca="false">YEAR(AX4)</f>
        <v>2030</v>
      </c>
      <c r="AY6" s="105" t="n">
        <f aca="false">YEAR(AY4)</f>
        <v>2030</v>
      </c>
      <c r="AZ6" s="105" t="n">
        <f aca="false">YEAR(AZ4)</f>
        <v>2030</v>
      </c>
      <c r="BA6" s="105" t="n">
        <f aca="false">YEAR(BA4)</f>
        <v>2030</v>
      </c>
      <c r="BB6" s="105" t="n">
        <f aca="false">YEAR(BB4)</f>
        <v>2030</v>
      </c>
      <c r="BC6" s="105" t="n">
        <f aca="false">YEAR(BC4)</f>
        <v>2030</v>
      </c>
      <c r="BD6" s="105" t="n">
        <f aca="false">YEAR(BD4)</f>
        <v>2030</v>
      </c>
      <c r="BE6" s="105" t="n">
        <f aca="false">YEAR(BE4)</f>
        <v>2030</v>
      </c>
      <c r="BF6" s="105" t="n">
        <f aca="false">YEAR(BF4)</f>
        <v>2030</v>
      </c>
      <c r="BG6" s="105" t="n">
        <f aca="false">YEAR(BG4)</f>
        <v>2030</v>
      </c>
      <c r="BH6" s="105" t="n">
        <f aca="false">YEAR(BH4)</f>
        <v>2030</v>
      </c>
      <c r="BI6" s="105" t="n">
        <f aca="false">YEAR(BI4)</f>
        <v>2030</v>
      </c>
    </row>
    <row r="7" customFormat="false" ht="15" hidden="false" customHeight="false" outlineLevel="0" collapsed="false">
      <c r="A7" s="106" t="s">
        <v>330</v>
      </c>
      <c r="B7" s="107" t="n">
        <f aca="false">MATCH(B6,Premissas!$C$5:$G$5,0)</f>
        <v>1</v>
      </c>
      <c r="C7" s="107" t="n">
        <f aca="false">MATCH(C6,Premissas!$C$5:$G$5,0)</f>
        <v>1</v>
      </c>
      <c r="D7" s="107" t="n">
        <f aca="false">MATCH(D6,Premissas!$C$5:$G$5,0)</f>
        <v>1</v>
      </c>
      <c r="E7" s="107" t="n">
        <f aca="false">MATCH(E6,Premissas!$C$5:$G$5,0)</f>
        <v>1</v>
      </c>
      <c r="F7" s="107" t="n">
        <f aca="false">MATCH(F6,Premissas!$C$5:$G$5,0)</f>
        <v>1</v>
      </c>
      <c r="G7" s="107" t="n">
        <f aca="false">MATCH(G6,Premissas!$C$5:$G$5,0)</f>
        <v>1</v>
      </c>
      <c r="H7" s="107" t="n">
        <f aca="false">MATCH(H6,Premissas!$C$5:$G$5,0)</f>
        <v>1</v>
      </c>
      <c r="I7" s="107" t="n">
        <f aca="false">MATCH(I6,Premissas!$C$5:$G$5,0)</f>
        <v>1</v>
      </c>
      <c r="J7" s="107" t="n">
        <f aca="false">MATCH(J6,Premissas!$C$5:$G$5,0)</f>
        <v>1</v>
      </c>
      <c r="K7" s="107" t="n">
        <f aca="false">MATCH(K6,Premissas!$C$5:$G$5,0)</f>
        <v>1</v>
      </c>
      <c r="L7" s="107" t="n">
        <f aca="false">MATCH(L6,Premissas!$C$5:$G$5,0)</f>
        <v>1</v>
      </c>
      <c r="M7" s="107" t="n">
        <f aca="false">MATCH(M6,Premissas!$C$5:$G$5,0)</f>
        <v>1</v>
      </c>
      <c r="N7" s="107" t="n">
        <f aca="false">MATCH(N6,Premissas!$C$5:$G$5,0)</f>
        <v>2</v>
      </c>
      <c r="O7" s="107" t="n">
        <f aca="false">MATCH(O6,Premissas!$C$5:$G$5,0)</f>
        <v>2</v>
      </c>
      <c r="P7" s="107" t="n">
        <f aca="false">MATCH(P6,Premissas!$C$5:$G$5,0)</f>
        <v>2</v>
      </c>
      <c r="Q7" s="107" t="n">
        <f aca="false">MATCH(Q6,Premissas!$C$5:$G$5,0)</f>
        <v>2</v>
      </c>
      <c r="R7" s="107" t="n">
        <f aca="false">MATCH(R6,Premissas!$C$5:$G$5,0)</f>
        <v>2</v>
      </c>
      <c r="S7" s="107" t="n">
        <f aca="false">MATCH(S6,Premissas!$C$5:$G$5,0)</f>
        <v>2</v>
      </c>
      <c r="T7" s="107" t="n">
        <f aca="false">MATCH(T6,Premissas!$C$5:$G$5,0)</f>
        <v>2</v>
      </c>
      <c r="U7" s="107" t="n">
        <f aca="false">MATCH(U6,Premissas!$C$5:$G$5,0)</f>
        <v>2</v>
      </c>
      <c r="V7" s="107" t="n">
        <f aca="false">MATCH(V6,Premissas!$C$5:$G$5,0)</f>
        <v>2</v>
      </c>
      <c r="W7" s="107" t="n">
        <f aca="false">MATCH(W6,Premissas!$C$5:$G$5,0)</f>
        <v>2</v>
      </c>
      <c r="X7" s="107" t="n">
        <f aca="false">MATCH(X6,Premissas!$C$5:$G$5,0)</f>
        <v>2</v>
      </c>
      <c r="Y7" s="107" t="n">
        <f aca="false">MATCH(Y6,Premissas!$C$5:$G$5,0)</f>
        <v>2</v>
      </c>
      <c r="Z7" s="107" t="n">
        <f aca="false">MATCH(Z6,Premissas!$C$5:$G$5,0)</f>
        <v>3</v>
      </c>
      <c r="AA7" s="107" t="n">
        <f aca="false">MATCH(AA6,Premissas!$C$5:$G$5,0)</f>
        <v>3</v>
      </c>
      <c r="AB7" s="107" t="n">
        <f aca="false">MATCH(AB6,Premissas!$C$5:$G$5,0)</f>
        <v>3</v>
      </c>
      <c r="AC7" s="107" t="n">
        <f aca="false">MATCH(AC6,Premissas!$C$5:$G$5,0)</f>
        <v>3</v>
      </c>
      <c r="AD7" s="107" t="n">
        <f aca="false">MATCH(AD6,Premissas!$C$5:$G$5,0)</f>
        <v>3</v>
      </c>
      <c r="AE7" s="107" t="n">
        <f aca="false">MATCH(AE6,Premissas!$C$5:$G$5,0)</f>
        <v>3</v>
      </c>
      <c r="AF7" s="107" t="n">
        <f aca="false">MATCH(AF6,Premissas!$C$5:$G$5,0)</f>
        <v>3</v>
      </c>
      <c r="AG7" s="107" t="n">
        <f aca="false">MATCH(AG6,Premissas!$C$5:$G$5,0)</f>
        <v>3</v>
      </c>
      <c r="AH7" s="107" t="n">
        <f aca="false">MATCH(AH6,Premissas!$C$5:$G$5,0)</f>
        <v>3</v>
      </c>
      <c r="AI7" s="107" t="n">
        <f aca="false">MATCH(AI6,Premissas!$C$5:$G$5,0)</f>
        <v>3</v>
      </c>
      <c r="AJ7" s="107" t="n">
        <f aca="false">MATCH(AJ6,Premissas!$C$5:$G$5,0)</f>
        <v>3</v>
      </c>
      <c r="AK7" s="107" t="n">
        <f aca="false">MATCH(AK6,Premissas!$C$5:$G$5,0)</f>
        <v>3</v>
      </c>
      <c r="AL7" s="107" t="n">
        <f aca="false">MATCH(AL6,Premissas!$C$5:$G$5,0)</f>
        <v>4</v>
      </c>
      <c r="AM7" s="107" t="n">
        <f aca="false">MATCH(AM6,Premissas!$C$5:$G$5,0)</f>
        <v>4</v>
      </c>
      <c r="AN7" s="107" t="n">
        <f aca="false">MATCH(AN6,Premissas!$C$5:$G$5,0)</f>
        <v>4</v>
      </c>
      <c r="AO7" s="107" t="n">
        <f aca="false">MATCH(AO6,Premissas!$C$5:$G$5,0)</f>
        <v>4</v>
      </c>
      <c r="AP7" s="107" t="n">
        <f aca="false">MATCH(AP6,Premissas!$C$5:$G$5,0)</f>
        <v>4</v>
      </c>
      <c r="AQ7" s="107" t="n">
        <f aca="false">MATCH(AQ6,Premissas!$C$5:$G$5,0)</f>
        <v>4</v>
      </c>
      <c r="AR7" s="107" t="n">
        <f aca="false">MATCH(AR6,Premissas!$C$5:$G$5,0)</f>
        <v>4</v>
      </c>
      <c r="AS7" s="107" t="n">
        <f aca="false">MATCH(AS6,Premissas!$C$5:$G$5,0)</f>
        <v>4</v>
      </c>
      <c r="AT7" s="107" t="n">
        <f aca="false">MATCH(AT6,Premissas!$C$5:$G$5,0)</f>
        <v>4</v>
      </c>
      <c r="AU7" s="107" t="n">
        <f aca="false">MATCH(AU6,Premissas!$C$5:$G$5,0)</f>
        <v>4</v>
      </c>
      <c r="AV7" s="107" t="n">
        <f aca="false">MATCH(AV6,Premissas!$C$5:$G$5,0)</f>
        <v>4</v>
      </c>
      <c r="AW7" s="107" t="n">
        <f aca="false">MATCH(AW6,Premissas!$C$5:$G$5,0)</f>
        <v>4</v>
      </c>
      <c r="AX7" s="107" t="n">
        <f aca="false">MATCH(AX6,Premissas!$C$5:$G$5,0)</f>
        <v>5</v>
      </c>
      <c r="AY7" s="107" t="n">
        <f aca="false">MATCH(AY6,Premissas!$C$5:$G$5,0)</f>
        <v>5</v>
      </c>
      <c r="AZ7" s="107" t="n">
        <f aca="false">MATCH(AZ6,Premissas!$C$5:$G$5,0)</f>
        <v>5</v>
      </c>
      <c r="BA7" s="107" t="n">
        <f aca="false">MATCH(BA6,Premissas!$C$5:$G$5,0)</f>
        <v>5</v>
      </c>
      <c r="BB7" s="107" t="n">
        <f aca="false">MATCH(BB6,Premissas!$C$5:$G$5,0)</f>
        <v>5</v>
      </c>
      <c r="BC7" s="107" t="n">
        <f aca="false">MATCH(BC6,Premissas!$C$5:$G$5,0)</f>
        <v>5</v>
      </c>
      <c r="BD7" s="107" t="n">
        <f aca="false">MATCH(BD6,Premissas!$C$5:$G$5,0)</f>
        <v>5</v>
      </c>
      <c r="BE7" s="107" t="n">
        <f aca="false">MATCH(BE6,Premissas!$C$5:$G$5,0)</f>
        <v>5</v>
      </c>
      <c r="BF7" s="107" t="n">
        <f aca="false">MATCH(BF6,Premissas!$C$5:$G$5,0)</f>
        <v>5</v>
      </c>
      <c r="BG7" s="107" t="n">
        <f aca="false">MATCH(BG6,Premissas!$C$5:$G$5,0)</f>
        <v>5</v>
      </c>
      <c r="BH7" s="107" t="n">
        <f aca="false">MATCH(BH6,Premissas!$C$5:$G$5,0)</f>
        <v>5</v>
      </c>
      <c r="BI7" s="107" t="n">
        <f aca="false">MATCH(BI6,Premissas!$C$5:$G$5,0)</f>
        <v>5</v>
      </c>
    </row>
    <row r="9" customFormat="false" ht="19.5" hidden="false" customHeight="true" outlineLevel="0" collapsed="false">
      <c r="A9" s="165" t="s">
        <v>570</v>
      </c>
      <c r="B9" s="166"/>
      <c r="C9" s="166"/>
      <c r="D9" s="166"/>
      <c r="E9" s="166"/>
      <c r="F9" s="166"/>
      <c r="G9" s="166"/>
      <c r="H9" s="166"/>
      <c r="I9" s="166"/>
      <c r="J9" s="166"/>
      <c r="K9" s="166"/>
      <c r="L9" s="166"/>
      <c r="M9" s="166"/>
      <c r="N9" s="166"/>
      <c r="O9" s="166"/>
      <c r="P9" s="166"/>
      <c r="Q9" s="166"/>
      <c r="R9" s="166"/>
      <c r="S9" s="166"/>
      <c r="T9" s="166"/>
      <c r="U9" s="166"/>
      <c r="V9" s="166"/>
      <c r="W9" s="166"/>
      <c r="X9" s="166"/>
      <c r="Y9" s="166"/>
      <c r="Z9" s="166"/>
      <c r="AA9" s="166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6"/>
      <c r="AT9" s="166"/>
      <c r="AU9" s="166"/>
      <c r="AV9" s="166"/>
      <c r="AW9" s="166"/>
      <c r="AX9" s="166"/>
      <c r="AY9" s="166"/>
      <c r="AZ9" s="166"/>
      <c r="BA9" s="166"/>
      <c r="BB9" s="166"/>
      <c r="BC9" s="166"/>
      <c r="BD9" s="166"/>
      <c r="BE9" s="166"/>
      <c r="BF9" s="166"/>
      <c r="BG9" s="166"/>
      <c r="BH9" s="166"/>
      <c r="BI9" s="166"/>
      <c r="BJ9" s="166"/>
      <c r="BK9" s="166"/>
    </row>
    <row r="10" customFormat="false" ht="15" hidden="false" customHeight="false" outlineLevel="0" collapsed="false">
      <c r="A10" s="27" t="s">
        <v>536</v>
      </c>
      <c r="B10" s="108" t="n">
        <f aca="false">IF(B$4&lt;Premissas!$B$13,0,INDEX(Premissas!$C$44:$G$44,B$7))</f>
        <v>0</v>
      </c>
      <c r="C10" s="108" t="n">
        <f aca="false">IF(C$4&lt;Premissas!$B$13,0,INDEX(Premissas!$C$44:$G$44,C$7))</f>
        <v>0</v>
      </c>
      <c r="D10" s="108" t="n">
        <f aca="false">IF(D$4&lt;Premissas!$B$13,0,INDEX(Premissas!$C$44:$G$44,D$7))</f>
        <v>0</v>
      </c>
      <c r="E10" s="108" t="n">
        <f aca="false">IF(E$4&lt;Premissas!$B$13,0,INDEX(Premissas!$C$44:$G$44,E$7))</f>
        <v>0</v>
      </c>
      <c r="F10" s="108" t="n">
        <f aca="false">IF(F$4&lt;Premissas!$B$13,0,INDEX(Premissas!$C$44:$G$44,F$7))</f>
        <v>0</v>
      </c>
      <c r="G10" s="108" t="n">
        <f aca="false">IF(G$4&lt;Premissas!$B$13,0,INDEX(Premissas!$C$44:$G$44,G$7))</f>
        <v>0</v>
      </c>
      <c r="H10" s="108" t="n">
        <f aca="false">IF(H$4&lt;Premissas!$B$13,0,INDEX(Premissas!$C$44:$G$44,H$7))</f>
        <v>0</v>
      </c>
      <c r="I10" s="108" t="n">
        <f aca="false">IF(I$4&lt;Premissas!$B$13,0,INDEX(Premissas!$C$44:$G$44,I$7))</f>
        <v>0</v>
      </c>
      <c r="J10" s="108" t="n">
        <f aca="false">IF(J$4&lt;Premissas!$B$13,0,INDEX(Premissas!$C$44:$G$44,J$7))</f>
        <v>0</v>
      </c>
      <c r="K10" s="108" t="n">
        <f aca="false">IF(K$4&lt;Premissas!$B$13,0,INDEX(Premissas!$C$44:$G$44,K$7))</f>
        <v>10860</v>
      </c>
      <c r="L10" s="108" t="n">
        <f aca="false">IF(L$4&lt;Premissas!$B$13,0,INDEX(Premissas!$C$44:$G$44,L$7))</f>
        <v>10860</v>
      </c>
      <c r="M10" s="108" t="n">
        <f aca="false">IF(M$4&lt;Premissas!$B$13,0,INDEX(Premissas!$C$44:$G$44,M$7))</f>
        <v>10860</v>
      </c>
      <c r="N10" s="108" t="n">
        <f aca="false">IF(N$4&lt;Premissas!$B$13,0,INDEX(Premissas!$C$44:$G$44,N$7))</f>
        <v>15204</v>
      </c>
      <c r="O10" s="108" t="n">
        <f aca="false">IF(O$4&lt;Premissas!$B$13,0,INDEX(Premissas!$C$44:$G$44,O$7))</f>
        <v>15204</v>
      </c>
      <c r="P10" s="108" t="n">
        <f aca="false">IF(P$4&lt;Premissas!$B$13,0,INDEX(Premissas!$C$44:$G$44,P$7))</f>
        <v>15204</v>
      </c>
      <c r="Q10" s="108" t="n">
        <f aca="false">IF(Q$4&lt;Premissas!$B$13,0,INDEX(Premissas!$C$44:$G$44,Q$7))</f>
        <v>15204</v>
      </c>
      <c r="R10" s="108" t="n">
        <f aca="false">IF(R$4&lt;Premissas!$B$13,0,INDEX(Premissas!$C$44:$G$44,R$7))</f>
        <v>15204</v>
      </c>
      <c r="S10" s="108" t="n">
        <f aca="false">IF(S$4&lt;Premissas!$B$13,0,INDEX(Premissas!$C$44:$G$44,S$7))</f>
        <v>15204</v>
      </c>
      <c r="T10" s="108" t="n">
        <f aca="false">IF(T$4&lt;Premissas!$B$13,0,INDEX(Premissas!$C$44:$G$44,T$7))</f>
        <v>15204</v>
      </c>
      <c r="U10" s="108" t="n">
        <f aca="false">IF(U$4&lt;Premissas!$B$13,0,INDEX(Premissas!$C$44:$G$44,U$7))</f>
        <v>15204</v>
      </c>
      <c r="V10" s="108" t="n">
        <f aca="false">IF(V$4&lt;Premissas!$B$13,0,INDEX(Premissas!$C$44:$G$44,V$7))</f>
        <v>15204</v>
      </c>
      <c r="W10" s="108" t="n">
        <f aca="false">IF(W$4&lt;Premissas!$B$13,0,INDEX(Premissas!$C$44:$G$44,W$7))</f>
        <v>15204</v>
      </c>
      <c r="X10" s="108" t="n">
        <f aca="false">IF(X$4&lt;Premissas!$B$13,0,INDEX(Premissas!$C$44:$G$44,X$7))</f>
        <v>15204</v>
      </c>
      <c r="Y10" s="108" t="n">
        <f aca="false">IF(Y$4&lt;Premissas!$B$13,0,INDEX(Premissas!$C$44:$G$44,Y$7))</f>
        <v>15204</v>
      </c>
      <c r="Z10" s="108" t="n">
        <f aca="false">IF(Z$4&lt;Premissas!$B$13,0,INDEX(Premissas!$C$44:$G$44,Z$7))</f>
        <v>21285.6</v>
      </c>
      <c r="AA10" s="108" t="n">
        <f aca="false">IF(AA$4&lt;Premissas!$B$13,0,INDEX(Premissas!$C$44:$G$44,AA$7))</f>
        <v>21285.6</v>
      </c>
      <c r="AB10" s="108" t="n">
        <f aca="false">IF(AB$4&lt;Premissas!$B$13,0,INDEX(Premissas!$C$44:$G$44,AB$7))</f>
        <v>21285.6</v>
      </c>
      <c r="AC10" s="108" t="n">
        <f aca="false">IF(AC$4&lt;Premissas!$B$13,0,INDEX(Premissas!$C$44:$G$44,AC$7))</f>
        <v>21285.6</v>
      </c>
      <c r="AD10" s="108" t="n">
        <f aca="false">IF(AD$4&lt;Premissas!$B$13,0,INDEX(Premissas!$C$44:$G$44,AD$7))</f>
        <v>21285.6</v>
      </c>
      <c r="AE10" s="108" t="n">
        <f aca="false">IF(AE$4&lt;Premissas!$B$13,0,INDEX(Premissas!$C$44:$G$44,AE$7))</f>
        <v>21285.6</v>
      </c>
      <c r="AF10" s="108" t="n">
        <f aca="false">IF(AF$4&lt;Premissas!$B$13,0,INDEX(Premissas!$C$44:$G$44,AF$7))</f>
        <v>21285.6</v>
      </c>
      <c r="AG10" s="108" t="n">
        <f aca="false">IF(AG$4&lt;Premissas!$B$13,0,INDEX(Premissas!$C$44:$G$44,AG$7))</f>
        <v>21285.6</v>
      </c>
      <c r="AH10" s="108" t="n">
        <f aca="false">IF(AH$4&lt;Premissas!$B$13,0,INDEX(Premissas!$C$44:$G$44,AH$7))</f>
        <v>21285.6</v>
      </c>
      <c r="AI10" s="108" t="n">
        <f aca="false">IF(AI$4&lt;Premissas!$B$13,0,INDEX(Premissas!$C$44:$G$44,AI$7))</f>
        <v>21285.6</v>
      </c>
      <c r="AJ10" s="108" t="n">
        <f aca="false">IF(AJ$4&lt;Premissas!$B$13,0,INDEX(Premissas!$C$44:$G$44,AJ$7))</f>
        <v>21285.6</v>
      </c>
      <c r="AK10" s="108" t="n">
        <f aca="false">IF(AK$4&lt;Premissas!$B$13,0,INDEX(Premissas!$C$44:$G$44,AK$7))</f>
        <v>21285.6</v>
      </c>
      <c r="AL10" s="108" t="n">
        <f aca="false">IF(AL$4&lt;Premissas!$B$13,0,INDEX(Premissas!$C$44:$G$44,AL$7))</f>
        <v>29799.84</v>
      </c>
      <c r="AM10" s="108" t="n">
        <f aca="false">IF(AM$4&lt;Premissas!$B$13,0,INDEX(Premissas!$C$44:$G$44,AM$7))</f>
        <v>29799.84</v>
      </c>
      <c r="AN10" s="108" t="n">
        <f aca="false">IF(AN$4&lt;Premissas!$B$13,0,INDEX(Premissas!$C$44:$G$44,AN$7))</f>
        <v>29799.84</v>
      </c>
      <c r="AO10" s="108" t="n">
        <f aca="false">IF(AO$4&lt;Premissas!$B$13,0,INDEX(Premissas!$C$44:$G$44,AO$7))</f>
        <v>29799.84</v>
      </c>
      <c r="AP10" s="108" t="n">
        <f aca="false">IF(AP$4&lt;Premissas!$B$13,0,INDEX(Premissas!$C$44:$G$44,AP$7))</f>
        <v>29799.84</v>
      </c>
      <c r="AQ10" s="108" t="n">
        <f aca="false">IF(AQ$4&lt;Premissas!$B$13,0,INDEX(Premissas!$C$44:$G$44,AQ$7))</f>
        <v>29799.84</v>
      </c>
      <c r="AR10" s="108" t="n">
        <f aca="false">IF(AR$4&lt;Premissas!$B$13,0,INDEX(Premissas!$C$44:$G$44,AR$7))</f>
        <v>29799.84</v>
      </c>
      <c r="AS10" s="108" t="n">
        <f aca="false">IF(AS$4&lt;Premissas!$B$13,0,INDEX(Premissas!$C$44:$G$44,AS$7))</f>
        <v>29799.84</v>
      </c>
      <c r="AT10" s="108" t="n">
        <f aca="false">IF(AT$4&lt;Premissas!$B$13,0,INDEX(Premissas!$C$44:$G$44,AT$7))</f>
        <v>29799.84</v>
      </c>
      <c r="AU10" s="108" t="n">
        <f aca="false">IF(AU$4&lt;Premissas!$B$13,0,INDEX(Premissas!$C$44:$G$44,AU$7))</f>
        <v>29799.84</v>
      </c>
      <c r="AV10" s="108" t="n">
        <f aca="false">IF(AV$4&lt;Premissas!$B$13,0,INDEX(Premissas!$C$44:$G$44,AV$7))</f>
        <v>29799.84</v>
      </c>
      <c r="AW10" s="108" t="n">
        <f aca="false">IF(AW$4&lt;Premissas!$B$13,0,INDEX(Premissas!$C$44:$G$44,AW$7))</f>
        <v>29799.84</v>
      </c>
      <c r="AX10" s="108" t="n">
        <f aca="false">IF(AX$4&lt;Premissas!$B$13,0,INDEX(Premissas!$C$44:$G$44,AX$7))</f>
        <v>41719.776</v>
      </c>
      <c r="AY10" s="108" t="n">
        <f aca="false">IF(AY$4&lt;Premissas!$B$13,0,INDEX(Premissas!$C$44:$G$44,AY$7))</f>
        <v>41719.776</v>
      </c>
      <c r="AZ10" s="108" t="n">
        <f aca="false">IF(AZ$4&lt;Premissas!$B$13,0,INDEX(Premissas!$C$44:$G$44,AZ$7))</f>
        <v>41719.776</v>
      </c>
      <c r="BA10" s="108" t="n">
        <f aca="false">IF(BA$4&lt;Premissas!$B$13,0,INDEX(Premissas!$C$44:$G$44,BA$7))</f>
        <v>41719.776</v>
      </c>
      <c r="BB10" s="108" t="n">
        <f aca="false">IF(BB$4&lt;Premissas!$B$13,0,INDEX(Premissas!$C$44:$G$44,BB$7))</f>
        <v>41719.776</v>
      </c>
      <c r="BC10" s="108" t="n">
        <f aca="false">IF(BC$4&lt;Premissas!$B$13,0,INDEX(Premissas!$C$44:$G$44,BC$7))</f>
        <v>41719.776</v>
      </c>
      <c r="BD10" s="108" t="n">
        <f aca="false">IF(BD$4&lt;Premissas!$B$13,0,INDEX(Premissas!$C$44:$G$44,BD$7))</f>
        <v>41719.776</v>
      </c>
      <c r="BE10" s="108" t="n">
        <f aca="false">IF(BE$4&lt;Premissas!$B$13,0,INDEX(Premissas!$C$44:$G$44,BE$7))</f>
        <v>41719.776</v>
      </c>
      <c r="BF10" s="108" t="n">
        <f aca="false">IF(BF$4&lt;Premissas!$B$13,0,INDEX(Premissas!$C$44:$G$44,BF$7))</f>
        <v>41719.776</v>
      </c>
      <c r="BG10" s="108" t="n">
        <f aca="false">IF(BG$4&lt;Premissas!$B$13,0,INDEX(Premissas!$C$44:$G$44,BG$7))</f>
        <v>41719.776</v>
      </c>
      <c r="BH10" s="108" t="n">
        <f aca="false">IF(BH$4&lt;Premissas!$B$13,0,INDEX(Premissas!$C$44:$G$44,BH$7))</f>
        <v>41719.776</v>
      </c>
      <c r="BI10" s="108" t="n">
        <f aca="false">IF(BI$4&lt;Premissas!$B$13,0,INDEX(Premissas!$C$44:$G$44,BI$7))</f>
        <v>41719.776</v>
      </c>
      <c r="BJ10" s="109" t="n">
        <f aca="false">SUM(B10:BI10)</f>
        <v>1328690.592</v>
      </c>
    </row>
    <row r="11" customFormat="false" ht="15" hidden="false" customHeight="false" outlineLevel="0" collapsed="false">
      <c r="A11" s="27" t="s">
        <v>537</v>
      </c>
      <c r="B11" s="108" t="n">
        <f aca="false">0</f>
        <v>0</v>
      </c>
      <c r="C11" s="108" t="n">
        <f aca="false">B13</f>
        <v>0</v>
      </c>
      <c r="D11" s="108" t="n">
        <f aca="false">C13</f>
        <v>0</v>
      </c>
      <c r="E11" s="108" t="n">
        <f aca="false">D13</f>
        <v>0</v>
      </c>
      <c r="F11" s="108" t="n">
        <f aca="false">E13</f>
        <v>0</v>
      </c>
      <c r="G11" s="108" t="n">
        <f aca="false">F13</f>
        <v>0</v>
      </c>
      <c r="H11" s="108" t="n">
        <f aca="false">G13</f>
        <v>0</v>
      </c>
      <c r="I11" s="108" t="n">
        <f aca="false">H13</f>
        <v>0</v>
      </c>
      <c r="J11" s="108" t="n">
        <f aca="false">I13</f>
        <v>0</v>
      </c>
      <c r="K11" s="108" t="n">
        <f aca="false">J13</f>
        <v>0</v>
      </c>
      <c r="L11" s="108" t="n">
        <f aca="false">K13</f>
        <v>10860</v>
      </c>
      <c r="M11" s="108" t="n">
        <f aca="false">L13</f>
        <v>20634</v>
      </c>
      <c r="N11" s="108" t="n">
        <f aca="false">M13</f>
        <v>29430.6</v>
      </c>
      <c r="O11" s="108" t="n">
        <f aca="false">N13</f>
        <v>41809.2624</v>
      </c>
      <c r="P11" s="108" t="n">
        <f aca="false">O13</f>
        <v>52999.5732096</v>
      </c>
      <c r="Q11" s="108" t="n">
        <f aca="false">P13</f>
        <v>63115.6141814784</v>
      </c>
      <c r="R11" s="108" t="n">
        <f aca="false">Q13</f>
        <v>72260.5152200565</v>
      </c>
      <c r="S11" s="108" t="n">
        <f aca="false">R13</f>
        <v>80527.5057589311</v>
      </c>
      <c r="T11" s="108" t="n">
        <f aca="false">S13</f>
        <v>88000.8652060737</v>
      </c>
      <c r="U11" s="108" t="n">
        <f aca="false">T13</f>
        <v>94756.7821462906</v>
      </c>
      <c r="V11" s="108" t="n">
        <f aca="false">U13</f>
        <v>100864.131060247</v>
      </c>
      <c r="W11" s="108" t="n">
        <f aca="false">V13</f>
        <v>106385.174478463</v>
      </c>
      <c r="X11" s="108" t="n">
        <f aca="false">W13</f>
        <v>111376.197728531</v>
      </c>
      <c r="Y11" s="108" t="n">
        <f aca="false">X13</f>
        <v>115888.082746592</v>
      </c>
      <c r="Z11" s="108" t="n">
        <f aca="false">Y13</f>
        <v>119966.826802919</v>
      </c>
      <c r="AA11" s="108" t="n">
        <f aca="false">Z13</f>
        <v>130196.284044762</v>
      </c>
      <c r="AB11" s="108" t="n">
        <f aca="false">AA13</f>
        <v>139482.994507197</v>
      </c>
      <c r="AC11" s="108" t="n">
        <f aca="false">AB13</f>
        <v>147913.841733413</v>
      </c>
      <c r="AD11" s="108" t="n">
        <f aca="false">AC13</f>
        <v>155567.702079262</v>
      </c>
      <c r="AE11" s="108" t="n">
        <f aca="false">AD13</f>
        <v>162516.182655637</v>
      </c>
      <c r="AF11" s="108" t="n">
        <f aca="false">AE13</f>
        <v>168824.291262094</v>
      </c>
      <c r="AG11" s="108" t="n">
        <f aca="false">AF13</f>
        <v>174551.044579379</v>
      </c>
      <c r="AH11" s="108" t="n">
        <f aca="false">AG13</f>
        <v>179750.020310944</v>
      </c>
      <c r="AI11" s="108" t="n">
        <f aca="false">AH13</f>
        <v>184469.858439087</v>
      </c>
      <c r="AJ11" s="108" t="n">
        <f aca="false">AI13</f>
        <v>188754.716285341</v>
      </c>
      <c r="AK11" s="108" t="n">
        <f aca="false">AJ13</f>
        <v>192644.681632484</v>
      </c>
      <c r="AL11" s="108" t="n">
        <f aca="false">AK13</f>
        <v>196176.147773234</v>
      </c>
      <c r="AM11" s="108" t="n">
        <f aca="false">AL13</f>
        <v>208619.577745604</v>
      </c>
      <c r="AN11" s="108" t="n">
        <f aca="false">AM13</f>
        <v>219962.092671971</v>
      </c>
      <c r="AO11" s="108" t="n">
        <f aca="false">AN13</f>
        <v>230301.094469748</v>
      </c>
      <c r="AP11" s="108" t="n">
        <f aca="false">AO13</f>
        <v>239725.367558069</v>
      </c>
      <c r="AQ11" s="108" t="n">
        <f aca="false">AP13</f>
        <v>248315.841278883</v>
      </c>
      <c r="AR11" s="108" t="n">
        <f aca="false">AQ13</f>
        <v>256146.284863912</v>
      </c>
      <c r="AS11" s="108" t="n">
        <f aca="false">AR13</f>
        <v>263283.940915376</v>
      </c>
      <c r="AT11" s="108" t="n">
        <f aca="false">AS13</f>
        <v>269790.102840406</v>
      </c>
      <c r="AU11" s="108" t="n">
        <f aca="false">AT13</f>
        <v>275720.641197745</v>
      </c>
      <c r="AV11" s="108" t="n">
        <f aca="false">AU13</f>
        <v>281126.483476672</v>
      </c>
      <c r="AW11" s="108" t="n">
        <f aca="false">AV13</f>
        <v>286054.05142815</v>
      </c>
      <c r="AX11" s="108" t="n">
        <f aca="false">AW13</f>
        <v>290545.659703717</v>
      </c>
      <c r="AY11" s="108" t="n">
        <f aca="false">AX13</f>
        <v>307588.040044488</v>
      </c>
      <c r="AZ11" s="108" t="n">
        <f aca="false">AY13</f>
        <v>323182.931673596</v>
      </c>
      <c r="BA11" s="108" t="n">
        <f aca="false">AZ13</f>
        <v>337453.276546827</v>
      </c>
      <c r="BB11" s="108" t="n">
        <f aca="false">BA13</f>
        <v>350511.57458725</v>
      </c>
      <c r="BC11" s="108" t="n">
        <f aca="false">BB13</f>
        <v>362460.770575663</v>
      </c>
      <c r="BD11" s="108" t="n">
        <f aca="false">BC13</f>
        <v>373395.065713324</v>
      </c>
      <c r="BE11" s="108" t="n">
        <f aca="false">BD13</f>
        <v>383400.660254866</v>
      </c>
      <c r="BF11" s="108" t="n">
        <f aca="false">BE13</f>
        <v>392556.433065946</v>
      </c>
      <c r="BG11" s="108" t="n">
        <f aca="false">BF13</f>
        <v>400934.563462903</v>
      </c>
      <c r="BH11" s="108" t="n">
        <f aca="false">BG13</f>
        <v>408601.100236671</v>
      </c>
      <c r="BI11" s="108" t="n">
        <f aca="false">BH13</f>
        <v>415616.482346848</v>
      </c>
      <c r="BJ11" s="109" t="n">
        <f aca="false">BI11</f>
        <v>415616.482346848</v>
      </c>
      <c r="BK11" s="29" t="s">
        <v>571</v>
      </c>
    </row>
    <row r="12" customFormat="false" ht="15" hidden="false" customHeight="false" outlineLevel="0" collapsed="false">
      <c r="A12" s="27" t="s">
        <v>539</v>
      </c>
      <c r="B12" s="108" t="n">
        <f aca="false">-B11*INDEX(Premissas!$C$48:$G$48,B$7)</f>
        <v>-0</v>
      </c>
      <c r="C12" s="108" t="n">
        <f aca="false">-C11*INDEX(Premissas!$C$48:$G$48,C$7)</f>
        <v>-0</v>
      </c>
      <c r="D12" s="108" t="n">
        <f aca="false">-D11*INDEX(Premissas!$C$48:$G$48,D$7)</f>
        <v>-0</v>
      </c>
      <c r="E12" s="108" t="n">
        <f aca="false">-E11*INDEX(Premissas!$C$48:$G$48,E$7)</f>
        <v>-0</v>
      </c>
      <c r="F12" s="108" t="n">
        <f aca="false">-F11*INDEX(Premissas!$C$48:$G$48,F$7)</f>
        <v>-0</v>
      </c>
      <c r="G12" s="108" t="n">
        <f aca="false">-G11*INDEX(Premissas!$C$48:$G$48,G$7)</f>
        <v>-0</v>
      </c>
      <c r="H12" s="108" t="n">
        <f aca="false">-H11*INDEX(Premissas!$C$48:$G$48,H$7)</f>
        <v>-0</v>
      </c>
      <c r="I12" s="108" t="n">
        <f aca="false">-I11*INDEX(Premissas!$C$48:$G$48,I$7)</f>
        <v>-0</v>
      </c>
      <c r="J12" s="108" t="n">
        <f aca="false">-J11*INDEX(Premissas!$C$48:$G$48,J$7)</f>
        <v>-0</v>
      </c>
      <c r="K12" s="108" t="n">
        <f aca="false">-K11*INDEX(Premissas!$C$48:$G$48,K$7)</f>
        <v>-0</v>
      </c>
      <c r="L12" s="108" t="n">
        <f aca="false">-L11*INDEX(Premissas!$C$48:$G$48,L$7)</f>
        <v>-1086</v>
      </c>
      <c r="M12" s="108" t="n">
        <f aca="false">-M11*INDEX(Premissas!$C$48:$G$48,M$7)</f>
        <v>-2063.4</v>
      </c>
      <c r="N12" s="108" t="n">
        <f aca="false">-N11*INDEX(Premissas!$C$48:$G$48,N$7)</f>
        <v>-2825.3376</v>
      </c>
      <c r="O12" s="108" t="n">
        <f aca="false">-O11*INDEX(Premissas!$C$48:$G$48,O$7)</f>
        <v>-4013.6891904</v>
      </c>
      <c r="P12" s="108" t="n">
        <f aca="false">-P11*INDEX(Premissas!$C$48:$G$48,P$7)</f>
        <v>-5087.9590281216</v>
      </c>
      <c r="Q12" s="108" t="n">
        <f aca="false">-Q11*INDEX(Premissas!$C$48:$G$48,Q$7)</f>
        <v>-6059.09896142193</v>
      </c>
      <c r="R12" s="108" t="n">
        <f aca="false">-R11*INDEX(Premissas!$C$48:$G$48,R$7)</f>
        <v>-6937.00946112542</v>
      </c>
      <c r="S12" s="108" t="n">
        <f aca="false">-S11*INDEX(Premissas!$C$48:$G$48,S$7)</f>
        <v>-7730.64055285738</v>
      </c>
      <c r="T12" s="108" t="n">
        <f aca="false">-T11*INDEX(Premissas!$C$48:$G$48,T$7)</f>
        <v>-8448.08305978307</v>
      </c>
      <c r="U12" s="108" t="n">
        <f aca="false">-U11*INDEX(Premissas!$C$48:$G$48,U$7)</f>
        <v>-9096.6510860439</v>
      </c>
      <c r="V12" s="108" t="n">
        <f aca="false">-V11*INDEX(Premissas!$C$48:$G$48,V$7)</f>
        <v>-9682.95658178368</v>
      </c>
      <c r="W12" s="108" t="n">
        <f aca="false">-W11*INDEX(Premissas!$C$48:$G$48,W$7)</f>
        <v>-10212.9767499324</v>
      </c>
      <c r="X12" s="108" t="n">
        <f aca="false">-X11*INDEX(Premissas!$C$48:$G$48,X$7)</f>
        <v>-10692.1149819389</v>
      </c>
      <c r="Y12" s="108" t="n">
        <f aca="false">-Y11*INDEX(Premissas!$C$48:$G$48,Y$7)</f>
        <v>-11125.2559436728</v>
      </c>
      <c r="Z12" s="108" t="n">
        <f aca="false">-Z11*INDEX(Premissas!$C$48:$G$48,Z$7)</f>
        <v>-11056.142758157</v>
      </c>
      <c r="AA12" s="108" t="n">
        <f aca="false">-AA11*INDEX(Premissas!$C$48:$G$48,AA$7)</f>
        <v>-11998.8895375652</v>
      </c>
      <c r="AB12" s="108" t="n">
        <f aca="false">-AB11*INDEX(Premissas!$C$48:$G$48,AB$7)</f>
        <v>-12854.7527737832</v>
      </c>
      <c r="AC12" s="108" t="n">
        <f aca="false">-AC11*INDEX(Premissas!$C$48:$G$48,AC$7)</f>
        <v>-13631.7396541514</v>
      </c>
      <c r="AD12" s="108" t="n">
        <f aca="false">-AD11*INDEX(Premissas!$C$48:$G$48,AD$7)</f>
        <v>-14337.1194236248</v>
      </c>
      <c r="AE12" s="108" t="n">
        <f aca="false">-AE11*INDEX(Premissas!$C$48:$G$48,AE$7)</f>
        <v>-14977.4913935435</v>
      </c>
      <c r="AF12" s="108" t="n">
        <f aca="false">-AF11*INDEX(Premissas!$C$48:$G$48,AF$7)</f>
        <v>-15558.8466827146</v>
      </c>
      <c r="AG12" s="108" t="n">
        <f aca="false">-AG11*INDEX(Premissas!$C$48:$G$48,AG$7)</f>
        <v>-16086.6242684356</v>
      </c>
      <c r="AH12" s="108" t="n">
        <f aca="false">-AH11*INDEX(Premissas!$C$48:$G$48,AH$7)</f>
        <v>-16565.7618718566</v>
      </c>
      <c r="AI12" s="108" t="n">
        <f aca="false">-AI11*INDEX(Premissas!$C$48:$G$48,AI$7)</f>
        <v>-17000.7421537463</v>
      </c>
      <c r="AJ12" s="108" t="n">
        <f aca="false">-AJ11*INDEX(Premissas!$C$48:$G$48,AJ$7)</f>
        <v>-17395.634652857</v>
      </c>
      <c r="AK12" s="108" t="n">
        <f aca="false">-AK11*INDEX(Premissas!$C$48:$G$48,AK$7)</f>
        <v>-17754.1338592497</v>
      </c>
      <c r="AL12" s="108" t="n">
        <f aca="false">-AL11*INDEX(Premissas!$C$48:$G$48,AL$7)</f>
        <v>-17356.41002763</v>
      </c>
      <c r="AM12" s="108" t="n">
        <f aca="false">-AM11*INDEX(Premissas!$C$48:$G$48,AM$7)</f>
        <v>-18457.3250736335</v>
      </c>
      <c r="AN12" s="108" t="n">
        <f aca="false">-AN11*INDEX(Premissas!$C$48:$G$48,AN$7)</f>
        <v>-19460.8382022229</v>
      </c>
      <c r="AO12" s="108" t="n">
        <f aca="false">-AO11*INDEX(Premissas!$C$48:$G$48,AO$7)</f>
        <v>-20375.5669116787</v>
      </c>
      <c r="AP12" s="108" t="n">
        <f aca="false">-AP11*INDEX(Premissas!$C$48:$G$48,AP$7)</f>
        <v>-21209.3662791856</v>
      </c>
      <c r="AQ12" s="108" t="n">
        <f aca="false">-AQ11*INDEX(Premissas!$C$48:$G$48,AQ$7)</f>
        <v>-21969.3964149714</v>
      </c>
      <c r="AR12" s="108" t="n">
        <f aca="false">-AR11*INDEX(Premissas!$C$48:$G$48,AR$7)</f>
        <v>-22662.1839485358</v>
      </c>
      <c r="AS12" s="108" t="n">
        <f aca="false">-AS11*INDEX(Premissas!$C$48:$G$48,AS$7)</f>
        <v>-23293.6780749706</v>
      </c>
      <c r="AT12" s="108" t="n">
        <f aca="false">-AT11*INDEX(Premissas!$C$48:$G$48,AT$7)</f>
        <v>-23869.3016426609</v>
      </c>
      <c r="AU12" s="108" t="n">
        <f aca="false">-AU11*INDEX(Premissas!$C$48:$G$48,AU$7)</f>
        <v>-24393.9977210728</v>
      </c>
      <c r="AV12" s="108" t="n">
        <f aca="false">-AV11*INDEX(Premissas!$C$48:$G$48,AV$7)</f>
        <v>-24872.2720485217</v>
      </c>
      <c r="AW12" s="108" t="n">
        <f aca="false">-AW11*INDEX(Premissas!$C$48:$G$48,AW$7)</f>
        <v>-25308.2317244336</v>
      </c>
      <c r="AX12" s="108" t="n">
        <f aca="false">-AX11*INDEX(Premissas!$C$48:$G$48,AX$7)</f>
        <v>-24677.3956592282</v>
      </c>
      <c r="AY12" s="108" t="n">
        <f aca="false">-AY11*INDEX(Premissas!$C$48:$G$48,AY$7)</f>
        <v>-26124.8843708928</v>
      </c>
      <c r="AZ12" s="108" t="n">
        <f aca="false">-AZ11*INDEX(Premissas!$C$48:$G$48,AZ$7)</f>
        <v>-27449.4311267683</v>
      </c>
      <c r="BA12" s="108" t="n">
        <f aca="false">-BA11*INDEX(Premissas!$C$48:$G$48,BA$7)</f>
        <v>-28661.4779595776</v>
      </c>
      <c r="BB12" s="108" t="n">
        <f aca="false">-BB11*INDEX(Premissas!$C$48:$G$48,BB$7)</f>
        <v>-29770.5800115864</v>
      </c>
      <c r="BC12" s="108" t="n">
        <f aca="false">-BC11*INDEX(Premissas!$C$48:$G$48,BC$7)</f>
        <v>-30785.4808623389</v>
      </c>
      <c r="BD12" s="108" t="n">
        <f aca="false">-BD11*INDEX(Premissas!$C$48:$G$48,BD$7)</f>
        <v>-31714.1814584586</v>
      </c>
      <c r="BE12" s="108" t="n">
        <f aca="false">-BE11*INDEX(Premissas!$C$48:$G$48,BE$7)</f>
        <v>-32564.0031889199</v>
      </c>
      <c r="BF12" s="108" t="n">
        <f aca="false">-BF11*INDEX(Premissas!$C$48:$G$48,BF$7)</f>
        <v>-33341.6456030431</v>
      </c>
      <c r="BG12" s="108" t="n">
        <f aca="false">-BG11*INDEX(Premissas!$C$48:$G$48,BG$7)</f>
        <v>-34053.2392262318</v>
      </c>
      <c r="BH12" s="108" t="n">
        <f aca="false">-BH11*INDEX(Premissas!$C$48:$G$48,BH$7)</f>
        <v>-34704.3938898232</v>
      </c>
      <c r="BI12" s="108" t="n">
        <f aca="false">-BI11*INDEX(Premissas!$C$48:$G$48,BI$7)</f>
        <v>-35300.2429560596</v>
      </c>
      <c r="BJ12" s="109" t="n">
        <f aca="false">SUM(B12:BI12)</f>
        <v>-906654.576609212</v>
      </c>
    </row>
    <row r="13" customFormat="false" ht="15" hidden="false" customHeight="false" outlineLevel="0" collapsed="false">
      <c r="A13" s="51" t="s">
        <v>540</v>
      </c>
      <c r="B13" s="157" t="n">
        <f aca="false">B11+B12+B10</f>
        <v>0</v>
      </c>
      <c r="C13" s="157" t="n">
        <f aca="false">C11+C12+C10</f>
        <v>0</v>
      </c>
      <c r="D13" s="157" t="n">
        <f aca="false">D11+D12+D10</f>
        <v>0</v>
      </c>
      <c r="E13" s="157" t="n">
        <f aca="false">E11+E12+E10</f>
        <v>0</v>
      </c>
      <c r="F13" s="157" t="n">
        <f aca="false">F11+F12+F10</f>
        <v>0</v>
      </c>
      <c r="G13" s="157" t="n">
        <f aca="false">G11+G12+G10</f>
        <v>0</v>
      </c>
      <c r="H13" s="157" t="n">
        <f aca="false">H11+H12+H10</f>
        <v>0</v>
      </c>
      <c r="I13" s="157" t="n">
        <f aca="false">I11+I12+I10</f>
        <v>0</v>
      </c>
      <c r="J13" s="157" t="n">
        <f aca="false">J11+J12+J10</f>
        <v>0</v>
      </c>
      <c r="K13" s="157" t="n">
        <f aca="false">K11+K12+K10</f>
        <v>10860</v>
      </c>
      <c r="L13" s="157" t="n">
        <f aca="false">L11+L12+L10</f>
        <v>20634</v>
      </c>
      <c r="M13" s="157" t="n">
        <f aca="false">M11+M12+M10</f>
        <v>29430.6</v>
      </c>
      <c r="N13" s="157" t="n">
        <f aca="false">N11+N12+N10</f>
        <v>41809.2624</v>
      </c>
      <c r="O13" s="157" t="n">
        <f aca="false">O11+O12+O10</f>
        <v>52999.5732096</v>
      </c>
      <c r="P13" s="157" t="n">
        <f aca="false">P11+P12+P10</f>
        <v>63115.6141814784</v>
      </c>
      <c r="Q13" s="157" t="n">
        <f aca="false">Q11+Q12+Q10</f>
        <v>72260.5152200565</v>
      </c>
      <c r="R13" s="157" t="n">
        <f aca="false">R11+R12+R10</f>
        <v>80527.5057589311</v>
      </c>
      <c r="S13" s="157" t="n">
        <f aca="false">S11+S12+S10</f>
        <v>88000.8652060737</v>
      </c>
      <c r="T13" s="157" t="n">
        <f aca="false">T11+T12+T10</f>
        <v>94756.7821462906</v>
      </c>
      <c r="U13" s="157" t="n">
        <f aca="false">U11+U12+U10</f>
        <v>100864.131060247</v>
      </c>
      <c r="V13" s="157" t="n">
        <f aca="false">V11+V12+V10</f>
        <v>106385.174478463</v>
      </c>
      <c r="W13" s="157" t="n">
        <f aca="false">W11+W12+W10</f>
        <v>111376.197728531</v>
      </c>
      <c r="X13" s="157" t="n">
        <f aca="false">X11+X12+X10</f>
        <v>115888.082746592</v>
      </c>
      <c r="Y13" s="157" t="n">
        <f aca="false">Y11+Y12+Y10</f>
        <v>119966.826802919</v>
      </c>
      <c r="Z13" s="157" t="n">
        <f aca="false">Z11+Z12+Z10</f>
        <v>130196.284044762</v>
      </c>
      <c r="AA13" s="157" t="n">
        <f aca="false">AA11+AA12+AA10</f>
        <v>139482.994507197</v>
      </c>
      <c r="AB13" s="157" t="n">
        <f aca="false">AB11+AB12+AB10</f>
        <v>147913.841733413</v>
      </c>
      <c r="AC13" s="157" t="n">
        <f aca="false">AC11+AC12+AC10</f>
        <v>155567.702079262</v>
      </c>
      <c r="AD13" s="157" t="n">
        <f aca="false">AD11+AD12+AD10</f>
        <v>162516.182655637</v>
      </c>
      <c r="AE13" s="157" t="n">
        <f aca="false">AE11+AE12+AE10</f>
        <v>168824.291262094</v>
      </c>
      <c r="AF13" s="157" t="n">
        <f aca="false">AF11+AF12+AF10</f>
        <v>174551.044579379</v>
      </c>
      <c r="AG13" s="157" t="n">
        <f aca="false">AG11+AG12+AG10</f>
        <v>179750.020310944</v>
      </c>
      <c r="AH13" s="157" t="n">
        <f aca="false">AH11+AH12+AH10</f>
        <v>184469.858439087</v>
      </c>
      <c r="AI13" s="157" t="n">
        <f aca="false">AI11+AI12+AI10</f>
        <v>188754.716285341</v>
      </c>
      <c r="AJ13" s="157" t="n">
        <f aca="false">AJ11+AJ12+AJ10</f>
        <v>192644.681632484</v>
      </c>
      <c r="AK13" s="157" t="n">
        <f aca="false">AK11+AK12+AK10</f>
        <v>196176.147773234</v>
      </c>
      <c r="AL13" s="157" t="n">
        <f aca="false">AL11+AL12+AL10</f>
        <v>208619.577745604</v>
      </c>
      <c r="AM13" s="157" t="n">
        <f aca="false">AM11+AM12+AM10</f>
        <v>219962.092671971</v>
      </c>
      <c r="AN13" s="157" t="n">
        <f aca="false">AN11+AN12+AN10</f>
        <v>230301.094469748</v>
      </c>
      <c r="AO13" s="157" t="n">
        <f aca="false">AO11+AO12+AO10</f>
        <v>239725.367558069</v>
      </c>
      <c r="AP13" s="157" t="n">
        <f aca="false">AP11+AP12+AP10</f>
        <v>248315.841278883</v>
      </c>
      <c r="AQ13" s="157" t="n">
        <f aca="false">AQ11+AQ12+AQ10</f>
        <v>256146.284863912</v>
      </c>
      <c r="AR13" s="157" t="n">
        <f aca="false">AR11+AR12+AR10</f>
        <v>263283.940915376</v>
      </c>
      <c r="AS13" s="157" t="n">
        <f aca="false">AS11+AS12+AS10</f>
        <v>269790.102840406</v>
      </c>
      <c r="AT13" s="157" t="n">
        <f aca="false">AT11+AT12+AT10</f>
        <v>275720.641197745</v>
      </c>
      <c r="AU13" s="157" t="n">
        <f aca="false">AU11+AU12+AU10</f>
        <v>281126.483476672</v>
      </c>
      <c r="AV13" s="157" t="n">
        <f aca="false">AV11+AV12+AV10</f>
        <v>286054.05142815</v>
      </c>
      <c r="AW13" s="157" t="n">
        <f aca="false">AW11+AW12+AW10</f>
        <v>290545.659703717</v>
      </c>
      <c r="AX13" s="157" t="n">
        <f aca="false">AX11+AX12+AX10</f>
        <v>307588.040044488</v>
      </c>
      <c r="AY13" s="157" t="n">
        <f aca="false">AY11+AY12+AY10</f>
        <v>323182.931673596</v>
      </c>
      <c r="AZ13" s="157" t="n">
        <f aca="false">AZ11+AZ12+AZ10</f>
        <v>337453.276546827</v>
      </c>
      <c r="BA13" s="157" t="n">
        <f aca="false">BA11+BA12+BA10</f>
        <v>350511.57458725</v>
      </c>
      <c r="BB13" s="157" t="n">
        <f aca="false">BB11+BB12+BB10</f>
        <v>362460.770575663</v>
      </c>
      <c r="BC13" s="157" t="n">
        <f aca="false">BC11+BC12+BC10</f>
        <v>373395.065713324</v>
      </c>
      <c r="BD13" s="157" t="n">
        <f aca="false">BD11+BD12+BD10</f>
        <v>383400.660254866</v>
      </c>
      <c r="BE13" s="157" t="n">
        <f aca="false">BE11+BE12+BE10</f>
        <v>392556.433065946</v>
      </c>
      <c r="BF13" s="157" t="n">
        <f aca="false">BF11+BF12+BF10</f>
        <v>400934.563462903</v>
      </c>
      <c r="BG13" s="157" t="n">
        <f aca="false">BG11+BG12+BG10</f>
        <v>408601.100236671</v>
      </c>
      <c r="BH13" s="157" t="n">
        <f aca="false">BH11+BH12+BH10</f>
        <v>415616.482346848</v>
      </c>
      <c r="BI13" s="157" t="n">
        <f aca="false">BI11+BI12+BI10</f>
        <v>422036.015390788</v>
      </c>
      <c r="BJ13" s="109" t="n">
        <f aca="false">BI13</f>
        <v>422036.015390788</v>
      </c>
      <c r="BK13" s="29" t="s">
        <v>571</v>
      </c>
    </row>
    <row r="14" customFormat="false" ht="15" hidden="false" customHeight="false" outlineLevel="0" collapsed="false">
      <c r="A14" s="27" t="s">
        <v>572</v>
      </c>
      <c r="B14" s="167" t="n">
        <f aca="false">IF(B$4&lt;Premissas!$B$13,0,INDEX(Premissas!$C$52:$G$52,B$7)*MIN(1,MAX(0,(B$5-Premissas!$B$14+1)/Premissas!$B$15)))</f>
        <v>0</v>
      </c>
      <c r="C14" s="167" t="n">
        <f aca="false">IF(C$4&lt;Premissas!$B$13,0,INDEX(Premissas!$C$52:$G$52,C$7)*MIN(1,MAX(0,(C$5-Premissas!$B$14+1)/Premissas!$B$15)))</f>
        <v>0</v>
      </c>
      <c r="D14" s="167" t="n">
        <f aca="false">IF(D$4&lt;Premissas!$B$13,0,INDEX(Premissas!$C$52:$G$52,D$7)*MIN(1,MAX(0,(D$5-Premissas!$B$14+1)/Premissas!$B$15)))</f>
        <v>0</v>
      </c>
      <c r="E14" s="167" t="n">
        <f aca="false">IF(E$4&lt;Premissas!$B$13,0,INDEX(Premissas!$C$52:$G$52,E$7)*MIN(1,MAX(0,(E$5-Premissas!$B$14+1)/Premissas!$B$15)))</f>
        <v>0</v>
      </c>
      <c r="F14" s="167" t="n">
        <f aca="false">IF(F$4&lt;Premissas!$B$13,0,INDEX(Premissas!$C$52:$G$52,F$7)*MIN(1,MAX(0,(F$5-Premissas!$B$14+1)/Premissas!$B$15)))</f>
        <v>0</v>
      </c>
      <c r="G14" s="167" t="n">
        <f aca="false">IF(G$4&lt;Premissas!$B$13,0,INDEX(Premissas!$C$52:$G$52,G$7)*MIN(1,MAX(0,(G$5-Premissas!$B$14+1)/Premissas!$B$15)))</f>
        <v>0</v>
      </c>
      <c r="H14" s="167" t="n">
        <f aca="false">IF(H$4&lt;Premissas!$B$13,0,INDEX(Premissas!$C$52:$G$52,H$7)*MIN(1,MAX(0,(H$5-Premissas!$B$14+1)/Premissas!$B$15)))</f>
        <v>0</v>
      </c>
      <c r="I14" s="167" t="n">
        <f aca="false">IF(I$4&lt;Premissas!$B$13,0,INDEX(Premissas!$C$52:$G$52,I$7)*MIN(1,MAX(0,(I$5-Premissas!$B$14+1)/Premissas!$B$15)))</f>
        <v>0</v>
      </c>
      <c r="J14" s="167" t="n">
        <f aca="false">IF(J$4&lt;Premissas!$B$13,0,INDEX(Premissas!$C$52:$G$52,J$7)*MIN(1,MAX(0,(J$5-Premissas!$B$14+1)/Premissas!$B$15)))</f>
        <v>0</v>
      </c>
      <c r="K14" s="167" t="n">
        <f aca="false">IF(K$4&lt;Premissas!$B$13,0,INDEX(Premissas!$C$52:$G$52,K$7)*MIN(1,MAX(0,(K$5-Premissas!$B$14+1)/Premissas!$B$15)))</f>
        <v>0.005</v>
      </c>
      <c r="L14" s="167" t="n">
        <f aca="false">IF(L$4&lt;Premissas!$B$13,0,INDEX(Premissas!$C$52:$G$52,L$7)*MIN(1,MAX(0,(L$5-Premissas!$B$14+1)/Premissas!$B$15)))</f>
        <v>0.01</v>
      </c>
      <c r="M14" s="167" t="n">
        <f aca="false">IF(M$4&lt;Premissas!$B$13,0,INDEX(Premissas!$C$52:$G$52,M$7)*MIN(1,MAX(0,(M$5-Premissas!$B$14+1)/Premissas!$B$15)))</f>
        <v>0.015</v>
      </c>
      <c r="N14" s="167" t="n">
        <f aca="false">IF(N$4&lt;Premissas!$B$13,0,INDEX(Premissas!$C$52:$G$52,N$7)*MIN(1,MAX(0,(N$5-Premissas!$B$14+1)/Premissas!$B$15)))</f>
        <v>0.0216</v>
      </c>
      <c r="O14" s="167" t="n">
        <f aca="false">IF(O$4&lt;Premissas!$B$13,0,INDEX(Premissas!$C$52:$G$52,O$7)*MIN(1,MAX(0,(O$5-Premissas!$B$14+1)/Premissas!$B$15)))</f>
        <v>0.027</v>
      </c>
      <c r="P14" s="167" t="n">
        <f aca="false">IF(P$4&lt;Premissas!$B$13,0,INDEX(Premissas!$C$52:$G$52,P$7)*MIN(1,MAX(0,(P$5-Premissas!$B$14+1)/Premissas!$B$15)))</f>
        <v>0.0324</v>
      </c>
      <c r="Q14" s="167" t="n">
        <f aca="false">IF(Q$4&lt;Premissas!$B$13,0,INDEX(Premissas!$C$52:$G$52,Q$7)*MIN(1,MAX(0,(Q$5-Premissas!$B$14+1)/Premissas!$B$15)))</f>
        <v>0.0324</v>
      </c>
      <c r="R14" s="167" t="n">
        <f aca="false">IF(R$4&lt;Premissas!$B$13,0,INDEX(Premissas!$C$52:$G$52,R$7)*MIN(1,MAX(0,(R$5-Premissas!$B$14+1)/Premissas!$B$15)))</f>
        <v>0.0324</v>
      </c>
      <c r="S14" s="167" t="n">
        <f aca="false">IF(S$4&lt;Premissas!$B$13,0,INDEX(Premissas!$C$52:$G$52,S$7)*MIN(1,MAX(0,(S$5-Premissas!$B$14+1)/Premissas!$B$15)))</f>
        <v>0.0324</v>
      </c>
      <c r="T14" s="167" t="n">
        <f aca="false">IF(T$4&lt;Premissas!$B$13,0,INDEX(Premissas!$C$52:$G$52,T$7)*MIN(1,MAX(0,(T$5-Premissas!$B$14+1)/Premissas!$B$15)))</f>
        <v>0.0324</v>
      </c>
      <c r="U14" s="167" t="n">
        <f aca="false">IF(U$4&lt;Premissas!$B$13,0,INDEX(Premissas!$C$52:$G$52,U$7)*MIN(1,MAX(0,(U$5-Premissas!$B$14+1)/Premissas!$B$15)))</f>
        <v>0.0324</v>
      </c>
      <c r="V14" s="167" t="n">
        <f aca="false">IF(V$4&lt;Premissas!$B$13,0,INDEX(Premissas!$C$52:$G$52,V$7)*MIN(1,MAX(0,(V$5-Premissas!$B$14+1)/Premissas!$B$15)))</f>
        <v>0.0324</v>
      </c>
      <c r="W14" s="167" t="n">
        <f aca="false">IF(W$4&lt;Premissas!$B$13,0,INDEX(Premissas!$C$52:$G$52,W$7)*MIN(1,MAX(0,(W$5-Premissas!$B$14+1)/Premissas!$B$15)))</f>
        <v>0.0324</v>
      </c>
      <c r="X14" s="167" t="n">
        <f aca="false">IF(X$4&lt;Premissas!$B$13,0,INDEX(Premissas!$C$52:$G$52,X$7)*MIN(1,MAX(0,(X$5-Premissas!$B$14+1)/Premissas!$B$15)))</f>
        <v>0.0324</v>
      </c>
      <c r="Y14" s="167" t="n">
        <f aca="false">IF(Y$4&lt;Premissas!$B$13,0,INDEX(Premissas!$C$52:$G$52,Y$7)*MIN(1,MAX(0,(Y$5-Premissas!$B$14+1)/Premissas!$B$15)))</f>
        <v>0.0324</v>
      </c>
      <c r="Z14" s="167" t="n">
        <f aca="false">IF(Z$4&lt;Premissas!$B$13,0,INDEX(Premissas!$C$52:$G$52,Z$7)*MIN(1,MAX(0,(Z$5-Premissas!$B$14+1)/Premissas!$B$15)))</f>
        <v>0.034992</v>
      </c>
      <c r="AA14" s="167" t="n">
        <f aca="false">IF(AA$4&lt;Premissas!$B$13,0,INDEX(Premissas!$C$52:$G$52,AA$7)*MIN(1,MAX(0,(AA$5-Premissas!$B$14+1)/Premissas!$B$15)))</f>
        <v>0.034992</v>
      </c>
      <c r="AB14" s="167" t="n">
        <f aca="false">IF(AB$4&lt;Premissas!$B$13,0,INDEX(Premissas!$C$52:$G$52,AB$7)*MIN(1,MAX(0,(AB$5-Premissas!$B$14+1)/Premissas!$B$15)))</f>
        <v>0.034992</v>
      </c>
      <c r="AC14" s="167" t="n">
        <f aca="false">IF(AC$4&lt;Premissas!$B$13,0,INDEX(Premissas!$C$52:$G$52,AC$7)*MIN(1,MAX(0,(AC$5-Premissas!$B$14+1)/Premissas!$B$15)))</f>
        <v>0.034992</v>
      </c>
      <c r="AD14" s="167" t="n">
        <f aca="false">IF(AD$4&lt;Premissas!$B$13,0,INDEX(Premissas!$C$52:$G$52,AD$7)*MIN(1,MAX(0,(AD$5-Premissas!$B$14+1)/Premissas!$B$15)))</f>
        <v>0.034992</v>
      </c>
      <c r="AE14" s="167" t="n">
        <f aca="false">IF(AE$4&lt;Premissas!$B$13,0,INDEX(Premissas!$C$52:$G$52,AE$7)*MIN(1,MAX(0,(AE$5-Premissas!$B$14+1)/Premissas!$B$15)))</f>
        <v>0.034992</v>
      </c>
      <c r="AF14" s="167" t="n">
        <f aca="false">IF(AF$4&lt;Premissas!$B$13,0,INDEX(Premissas!$C$52:$G$52,AF$7)*MIN(1,MAX(0,(AF$5-Premissas!$B$14+1)/Premissas!$B$15)))</f>
        <v>0.034992</v>
      </c>
      <c r="AG14" s="167" t="n">
        <f aca="false">IF(AG$4&lt;Premissas!$B$13,0,INDEX(Premissas!$C$52:$G$52,AG$7)*MIN(1,MAX(0,(AG$5-Premissas!$B$14+1)/Premissas!$B$15)))</f>
        <v>0.034992</v>
      </c>
      <c r="AH14" s="167" t="n">
        <f aca="false">IF(AH$4&lt;Premissas!$B$13,0,INDEX(Premissas!$C$52:$G$52,AH$7)*MIN(1,MAX(0,(AH$5-Premissas!$B$14+1)/Premissas!$B$15)))</f>
        <v>0.034992</v>
      </c>
      <c r="AI14" s="167" t="n">
        <f aca="false">IF(AI$4&lt;Premissas!$B$13,0,INDEX(Premissas!$C$52:$G$52,AI$7)*MIN(1,MAX(0,(AI$5-Premissas!$B$14+1)/Premissas!$B$15)))</f>
        <v>0.034992</v>
      </c>
      <c r="AJ14" s="167" t="n">
        <f aca="false">IF(AJ$4&lt;Premissas!$B$13,0,INDEX(Premissas!$C$52:$G$52,AJ$7)*MIN(1,MAX(0,(AJ$5-Premissas!$B$14+1)/Premissas!$B$15)))</f>
        <v>0.034992</v>
      </c>
      <c r="AK14" s="167" t="n">
        <f aca="false">IF(AK$4&lt;Premissas!$B$13,0,INDEX(Premissas!$C$52:$G$52,AK$7)*MIN(1,MAX(0,(AK$5-Premissas!$B$14+1)/Premissas!$B$15)))</f>
        <v>0.034992</v>
      </c>
      <c r="AL14" s="167" t="n">
        <f aca="false">IF(AL$4&lt;Premissas!$B$13,0,INDEX(Premissas!$C$52:$G$52,AL$7)*MIN(1,MAX(0,(AL$5-Premissas!$B$14+1)/Premissas!$B$15)))</f>
        <v>0.03779136</v>
      </c>
      <c r="AM14" s="167" t="n">
        <f aca="false">IF(AM$4&lt;Premissas!$B$13,0,INDEX(Premissas!$C$52:$G$52,AM$7)*MIN(1,MAX(0,(AM$5-Premissas!$B$14+1)/Premissas!$B$15)))</f>
        <v>0.03779136</v>
      </c>
      <c r="AN14" s="167" t="n">
        <f aca="false">IF(AN$4&lt;Premissas!$B$13,0,INDEX(Premissas!$C$52:$G$52,AN$7)*MIN(1,MAX(0,(AN$5-Premissas!$B$14+1)/Premissas!$B$15)))</f>
        <v>0.03779136</v>
      </c>
      <c r="AO14" s="167" t="n">
        <f aca="false">IF(AO$4&lt;Premissas!$B$13,0,INDEX(Premissas!$C$52:$G$52,AO$7)*MIN(1,MAX(0,(AO$5-Premissas!$B$14+1)/Premissas!$B$15)))</f>
        <v>0.03779136</v>
      </c>
      <c r="AP14" s="167" t="n">
        <f aca="false">IF(AP$4&lt;Premissas!$B$13,0,INDEX(Premissas!$C$52:$G$52,AP$7)*MIN(1,MAX(0,(AP$5-Premissas!$B$14+1)/Premissas!$B$15)))</f>
        <v>0.03779136</v>
      </c>
      <c r="AQ14" s="167" t="n">
        <f aca="false">IF(AQ$4&lt;Premissas!$B$13,0,INDEX(Premissas!$C$52:$G$52,AQ$7)*MIN(1,MAX(0,(AQ$5-Premissas!$B$14+1)/Premissas!$B$15)))</f>
        <v>0.03779136</v>
      </c>
      <c r="AR14" s="167" t="n">
        <f aca="false">IF(AR$4&lt;Premissas!$B$13,0,INDEX(Premissas!$C$52:$G$52,AR$7)*MIN(1,MAX(0,(AR$5-Premissas!$B$14+1)/Premissas!$B$15)))</f>
        <v>0.03779136</v>
      </c>
      <c r="AS14" s="167" t="n">
        <f aca="false">IF(AS$4&lt;Premissas!$B$13,0,INDEX(Premissas!$C$52:$G$52,AS$7)*MIN(1,MAX(0,(AS$5-Premissas!$B$14+1)/Premissas!$B$15)))</f>
        <v>0.03779136</v>
      </c>
      <c r="AT14" s="167" t="n">
        <f aca="false">IF(AT$4&lt;Premissas!$B$13,0,INDEX(Premissas!$C$52:$G$52,AT$7)*MIN(1,MAX(0,(AT$5-Premissas!$B$14+1)/Premissas!$B$15)))</f>
        <v>0.03779136</v>
      </c>
      <c r="AU14" s="167" t="n">
        <f aca="false">IF(AU$4&lt;Premissas!$B$13,0,INDEX(Premissas!$C$52:$G$52,AU$7)*MIN(1,MAX(0,(AU$5-Premissas!$B$14+1)/Premissas!$B$15)))</f>
        <v>0.03779136</v>
      </c>
      <c r="AV14" s="167" t="n">
        <f aca="false">IF(AV$4&lt;Premissas!$B$13,0,INDEX(Premissas!$C$52:$G$52,AV$7)*MIN(1,MAX(0,(AV$5-Premissas!$B$14+1)/Premissas!$B$15)))</f>
        <v>0.03779136</v>
      </c>
      <c r="AW14" s="167" t="n">
        <f aca="false">IF(AW$4&lt;Premissas!$B$13,0,INDEX(Premissas!$C$52:$G$52,AW$7)*MIN(1,MAX(0,(AW$5-Premissas!$B$14+1)/Premissas!$B$15)))</f>
        <v>0.03779136</v>
      </c>
      <c r="AX14" s="167" t="n">
        <f aca="false">IF(AX$4&lt;Premissas!$B$13,0,INDEX(Premissas!$C$52:$G$52,AX$7)*MIN(1,MAX(0,(AX$5-Premissas!$B$14+1)/Premissas!$B$15)))</f>
        <v>0.0408146688</v>
      </c>
      <c r="AY14" s="167" t="n">
        <f aca="false">IF(AY$4&lt;Premissas!$B$13,0,INDEX(Premissas!$C$52:$G$52,AY$7)*MIN(1,MAX(0,(AY$5-Premissas!$B$14+1)/Premissas!$B$15)))</f>
        <v>0.0408146688</v>
      </c>
      <c r="AZ14" s="167" t="n">
        <f aca="false">IF(AZ$4&lt;Premissas!$B$13,0,INDEX(Premissas!$C$52:$G$52,AZ$7)*MIN(1,MAX(0,(AZ$5-Premissas!$B$14+1)/Premissas!$B$15)))</f>
        <v>0.0408146688</v>
      </c>
      <c r="BA14" s="167" t="n">
        <f aca="false">IF(BA$4&lt;Premissas!$B$13,0,INDEX(Premissas!$C$52:$G$52,BA$7)*MIN(1,MAX(0,(BA$5-Premissas!$B$14+1)/Premissas!$B$15)))</f>
        <v>0.0408146688</v>
      </c>
      <c r="BB14" s="167" t="n">
        <f aca="false">IF(BB$4&lt;Premissas!$B$13,0,INDEX(Premissas!$C$52:$G$52,BB$7)*MIN(1,MAX(0,(BB$5-Premissas!$B$14+1)/Premissas!$B$15)))</f>
        <v>0.0408146688</v>
      </c>
      <c r="BC14" s="167" t="n">
        <f aca="false">IF(BC$4&lt;Premissas!$B$13,0,INDEX(Premissas!$C$52:$G$52,BC$7)*MIN(1,MAX(0,(BC$5-Premissas!$B$14+1)/Premissas!$B$15)))</f>
        <v>0.0408146688</v>
      </c>
      <c r="BD14" s="167" t="n">
        <f aca="false">IF(BD$4&lt;Premissas!$B$13,0,INDEX(Premissas!$C$52:$G$52,BD$7)*MIN(1,MAX(0,(BD$5-Premissas!$B$14+1)/Premissas!$B$15)))</f>
        <v>0.0408146688</v>
      </c>
      <c r="BE14" s="167" t="n">
        <f aca="false">IF(BE$4&lt;Premissas!$B$13,0,INDEX(Premissas!$C$52:$G$52,BE$7)*MIN(1,MAX(0,(BE$5-Premissas!$B$14+1)/Premissas!$B$15)))</f>
        <v>0.0408146688</v>
      </c>
      <c r="BF14" s="167" t="n">
        <f aca="false">IF(BF$4&lt;Premissas!$B$13,0,INDEX(Premissas!$C$52:$G$52,BF$7)*MIN(1,MAX(0,(BF$5-Premissas!$B$14+1)/Premissas!$B$15)))</f>
        <v>0.0408146688</v>
      </c>
      <c r="BG14" s="167" t="n">
        <f aca="false">IF(BG$4&lt;Premissas!$B$13,0,INDEX(Premissas!$C$52:$G$52,BG$7)*MIN(1,MAX(0,(BG$5-Premissas!$B$14+1)/Premissas!$B$15)))</f>
        <v>0.0408146688</v>
      </c>
      <c r="BH14" s="167" t="n">
        <f aca="false">IF(BH$4&lt;Premissas!$B$13,0,INDEX(Premissas!$C$52:$G$52,BH$7)*MIN(1,MAX(0,(BH$5-Premissas!$B$14+1)/Premissas!$B$15)))</f>
        <v>0.0408146688</v>
      </c>
      <c r="BI14" s="167" t="n">
        <f aca="false">IF(BI$4&lt;Premissas!$B$13,0,INDEX(Premissas!$C$52:$G$52,BI$7)*MIN(1,MAX(0,(BI$5-Premissas!$B$14+1)/Premissas!$B$15)))</f>
        <v>0.0408146688</v>
      </c>
      <c r="BJ14" s="143" t="n">
        <f aca="false">BI14</f>
        <v>0.0408146688</v>
      </c>
    </row>
    <row r="15" customFormat="false" ht="15" hidden="false" customHeight="false" outlineLevel="0" collapsed="false">
      <c r="A15" s="51" t="s">
        <v>542</v>
      </c>
      <c r="B15" s="157" t="n">
        <f aca="false">ROUND(B13*B14,0)</f>
        <v>0</v>
      </c>
      <c r="C15" s="157" t="n">
        <f aca="false">ROUND(C13*C14,0)</f>
        <v>0</v>
      </c>
      <c r="D15" s="157" t="n">
        <f aca="false">ROUND(D13*D14,0)</f>
        <v>0</v>
      </c>
      <c r="E15" s="157" t="n">
        <f aca="false">ROUND(E13*E14,0)</f>
        <v>0</v>
      </c>
      <c r="F15" s="157" t="n">
        <f aca="false">ROUND(F13*F14,0)</f>
        <v>0</v>
      </c>
      <c r="G15" s="157" t="n">
        <f aca="false">ROUND(G13*G14,0)</f>
        <v>0</v>
      </c>
      <c r="H15" s="157" t="n">
        <f aca="false">ROUND(H13*H14,0)</f>
        <v>0</v>
      </c>
      <c r="I15" s="157" t="n">
        <f aca="false">ROUND(I13*I14,0)</f>
        <v>0</v>
      </c>
      <c r="J15" s="157" t="n">
        <f aca="false">ROUND(J13*J14,0)</f>
        <v>0</v>
      </c>
      <c r="K15" s="157" t="n">
        <f aca="false">ROUND(K13*K14,0)</f>
        <v>54</v>
      </c>
      <c r="L15" s="157" t="n">
        <f aca="false">ROUND(L13*L14,0)</f>
        <v>206</v>
      </c>
      <c r="M15" s="157" t="n">
        <f aca="false">ROUND(M13*M14,0)</f>
        <v>441</v>
      </c>
      <c r="N15" s="157" t="n">
        <f aca="false">ROUND(N13*N14,0)</f>
        <v>903</v>
      </c>
      <c r="O15" s="157" t="n">
        <f aca="false">ROUND(O13*O14,0)</f>
        <v>1431</v>
      </c>
      <c r="P15" s="157" t="n">
        <f aca="false">ROUND(P13*P14,0)</f>
        <v>2045</v>
      </c>
      <c r="Q15" s="157" t="n">
        <f aca="false">ROUND(Q13*Q14,0)</f>
        <v>2341</v>
      </c>
      <c r="R15" s="157" t="n">
        <f aca="false">ROUND(R13*R14,0)</f>
        <v>2609</v>
      </c>
      <c r="S15" s="157" t="n">
        <f aca="false">ROUND(S13*S14,0)</f>
        <v>2851</v>
      </c>
      <c r="T15" s="157" t="n">
        <f aca="false">ROUND(T13*T14,0)</f>
        <v>3070</v>
      </c>
      <c r="U15" s="157" t="n">
        <f aca="false">ROUND(U13*U14,0)</f>
        <v>3268</v>
      </c>
      <c r="V15" s="157" t="n">
        <f aca="false">ROUND(V13*V14,0)</f>
        <v>3447</v>
      </c>
      <c r="W15" s="157" t="n">
        <f aca="false">ROUND(W13*W14,0)</f>
        <v>3609</v>
      </c>
      <c r="X15" s="157" t="n">
        <f aca="false">ROUND(X13*X14,0)</f>
        <v>3755</v>
      </c>
      <c r="Y15" s="157" t="n">
        <f aca="false">ROUND(Y13*Y14,0)</f>
        <v>3887</v>
      </c>
      <c r="Z15" s="157" t="n">
        <f aca="false">ROUND(Z13*Z14,0)</f>
        <v>4556</v>
      </c>
      <c r="AA15" s="157" t="n">
        <f aca="false">ROUND(AA13*AA14,0)</f>
        <v>4881</v>
      </c>
      <c r="AB15" s="157" t="n">
        <f aca="false">ROUND(AB13*AB14,0)</f>
        <v>5176</v>
      </c>
      <c r="AC15" s="157" t="n">
        <f aca="false">ROUND(AC13*AC14,0)</f>
        <v>5444</v>
      </c>
      <c r="AD15" s="157" t="n">
        <f aca="false">ROUND(AD13*AD14,0)</f>
        <v>5687</v>
      </c>
      <c r="AE15" s="157" t="n">
        <f aca="false">ROUND(AE13*AE14,0)</f>
        <v>5907</v>
      </c>
      <c r="AF15" s="157" t="n">
        <f aca="false">ROUND(AF13*AF14,0)</f>
        <v>6108</v>
      </c>
      <c r="AG15" s="157" t="n">
        <f aca="false">ROUND(AG13*AG14,0)</f>
        <v>6290</v>
      </c>
      <c r="AH15" s="157" t="n">
        <f aca="false">ROUND(AH13*AH14,0)</f>
        <v>6455</v>
      </c>
      <c r="AI15" s="157" t="n">
        <f aca="false">ROUND(AI13*AI14,0)</f>
        <v>6605</v>
      </c>
      <c r="AJ15" s="157" t="n">
        <f aca="false">ROUND(AJ13*AJ14,0)</f>
        <v>6741</v>
      </c>
      <c r="AK15" s="157" t="n">
        <f aca="false">ROUND(AK13*AK14,0)</f>
        <v>6865</v>
      </c>
      <c r="AL15" s="157" t="n">
        <f aca="false">ROUND(AL13*AL14,0)</f>
        <v>7884</v>
      </c>
      <c r="AM15" s="157" t="n">
        <f aca="false">ROUND(AM13*AM14,0)</f>
        <v>8313</v>
      </c>
      <c r="AN15" s="157" t="n">
        <f aca="false">ROUND(AN13*AN14,0)</f>
        <v>8703</v>
      </c>
      <c r="AO15" s="157" t="n">
        <f aca="false">ROUND(AO13*AO14,0)</f>
        <v>9060</v>
      </c>
      <c r="AP15" s="157" t="n">
        <f aca="false">ROUND(AP13*AP14,0)</f>
        <v>9384</v>
      </c>
      <c r="AQ15" s="157" t="n">
        <f aca="false">ROUND(AQ13*AQ14,0)</f>
        <v>9680</v>
      </c>
      <c r="AR15" s="157" t="n">
        <f aca="false">ROUND(AR13*AR14,0)</f>
        <v>9950</v>
      </c>
      <c r="AS15" s="157" t="n">
        <f aca="false">ROUND(AS13*AS14,0)</f>
        <v>10196</v>
      </c>
      <c r="AT15" s="157" t="n">
        <f aca="false">ROUND(AT13*AT14,0)</f>
        <v>10420</v>
      </c>
      <c r="AU15" s="157" t="n">
        <f aca="false">ROUND(AU13*AU14,0)</f>
        <v>10624</v>
      </c>
      <c r="AV15" s="157" t="n">
        <f aca="false">ROUND(AV13*AV14,0)</f>
        <v>10810</v>
      </c>
      <c r="AW15" s="157" t="n">
        <f aca="false">ROUND(AW13*AW14,0)</f>
        <v>10980</v>
      </c>
      <c r="AX15" s="157" t="n">
        <f aca="false">ROUND(AX13*AX14,0)</f>
        <v>12554</v>
      </c>
      <c r="AY15" s="157" t="n">
        <f aca="false">ROUND(AY13*AY14,0)</f>
        <v>13191</v>
      </c>
      <c r="AZ15" s="157" t="n">
        <f aca="false">ROUND(AZ13*AZ14,0)</f>
        <v>13773</v>
      </c>
      <c r="BA15" s="157" t="n">
        <f aca="false">ROUND(BA13*BA14,0)</f>
        <v>14306</v>
      </c>
      <c r="BB15" s="157" t="n">
        <f aca="false">ROUND(BB13*BB14,0)</f>
        <v>14794</v>
      </c>
      <c r="BC15" s="157" t="n">
        <f aca="false">ROUND(BC13*BC14,0)</f>
        <v>15240</v>
      </c>
      <c r="BD15" s="157" t="n">
        <f aca="false">ROUND(BD13*BD14,0)</f>
        <v>15648</v>
      </c>
      <c r="BE15" s="157" t="n">
        <f aca="false">ROUND(BE13*BE14,0)</f>
        <v>16022</v>
      </c>
      <c r="BF15" s="157" t="n">
        <f aca="false">ROUND(BF13*BF14,0)</f>
        <v>16364</v>
      </c>
      <c r="BG15" s="157" t="n">
        <f aca="false">ROUND(BG13*BG14,0)</f>
        <v>16677</v>
      </c>
      <c r="BH15" s="157" t="n">
        <f aca="false">ROUND(BH13*BH14,0)</f>
        <v>16963</v>
      </c>
      <c r="BI15" s="157" t="n">
        <f aca="false">ROUND(BI13*BI14,0)</f>
        <v>17225</v>
      </c>
      <c r="BJ15" s="109" t="n">
        <f aca="false">BI15</f>
        <v>17225</v>
      </c>
      <c r="BK15" s="29" t="s">
        <v>571</v>
      </c>
    </row>
    <row r="16" customFormat="false" ht="15" hidden="false" customHeight="false" outlineLevel="0" collapsed="false">
      <c r="A16" s="27" t="s">
        <v>543</v>
      </c>
      <c r="B16" s="108" t="n">
        <f aca="false">ROUND(B15*INDEX(Premissas!$C$34:$G$34,B$7),0)</f>
        <v>0</v>
      </c>
      <c r="C16" s="108" t="n">
        <f aca="false">ROUND(C15*INDEX(Premissas!$C$34:$G$34,C$7),0)</f>
        <v>0</v>
      </c>
      <c r="D16" s="108" t="n">
        <f aca="false">ROUND(D15*INDEX(Premissas!$C$34:$G$34,D$7),0)</f>
        <v>0</v>
      </c>
      <c r="E16" s="108" t="n">
        <f aca="false">ROUND(E15*INDEX(Premissas!$C$34:$G$34,E$7),0)</f>
        <v>0</v>
      </c>
      <c r="F16" s="108" t="n">
        <f aca="false">ROUND(F15*INDEX(Premissas!$C$34:$G$34,F$7),0)</f>
        <v>0</v>
      </c>
      <c r="G16" s="108" t="n">
        <f aca="false">ROUND(G15*INDEX(Premissas!$C$34:$G$34,G$7),0)</f>
        <v>0</v>
      </c>
      <c r="H16" s="108" t="n">
        <f aca="false">ROUND(H15*INDEX(Premissas!$C$34:$G$34,H$7),0)</f>
        <v>0</v>
      </c>
      <c r="I16" s="108" t="n">
        <f aca="false">ROUND(I15*INDEX(Premissas!$C$34:$G$34,I$7),0)</f>
        <v>0</v>
      </c>
      <c r="J16" s="108" t="n">
        <f aca="false">ROUND(J15*INDEX(Premissas!$C$34:$G$34,J$7),0)</f>
        <v>0</v>
      </c>
      <c r="K16" s="108" t="n">
        <f aca="false">ROUND(K15*INDEX(Premissas!$C$34:$G$34,K$7),0)</f>
        <v>41</v>
      </c>
      <c r="L16" s="108" t="n">
        <f aca="false">ROUND(L15*INDEX(Premissas!$C$34:$G$34,L$7),0)</f>
        <v>155</v>
      </c>
      <c r="M16" s="108" t="n">
        <f aca="false">ROUND(M15*INDEX(Premissas!$C$34:$G$34,M$7),0)</f>
        <v>331</v>
      </c>
      <c r="N16" s="108" t="n">
        <f aca="false">ROUND(N15*INDEX(Premissas!$C$34:$G$34,N$7),0)</f>
        <v>650</v>
      </c>
      <c r="O16" s="108" t="n">
        <f aca="false">ROUND(O15*INDEX(Premissas!$C$34:$G$34,O$7),0)</f>
        <v>1030</v>
      </c>
      <c r="P16" s="108" t="n">
        <f aca="false">ROUND(P15*INDEX(Premissas!$C$34:$G$34,P$7),0)</f>
        <v>1472</v>
      </c>
      <c r="Q16" s="108" t="n">
        <f aca="false">ROUND(Q15*INDEX(Premissas!$C$34:$G$34,Q$7),0)</f>
        <v>1686</v>
      </c>
      <c r="R16" s="108" t="n">
        <f aca="false">ROUND(R15*INDEX(Premissas!$C$34:$G$34,R$7),0)</f>
        <v>1878</v>
      </c>
      <c r="S16" s="108" t="n">
        <f aca="false">ROUND(S15*INDEX(Premissas!$C$34:$G$34,S$7),0)</f>
        <v>2053</v>
      </c>
      <c r="T16" s="108" t="n">
        <f aca="false">ROUND(T15*INDEX(Premissas!$C$34:$G$34,T$7),0)</f>
        <v>2210</v>
      </c>
      <c r="U16" s="108" t="n">
        <f aca="false">ROUND(U15*INDEX(Premissas!$C$34:$G$34,U$7),0)</f>
        <v>2353</v>
      </c>
      <c r="V16" s="108" t="n">
        <f aca="false">ROUND(V15*INDEX(Premissas!$C$34:$G$34,V$7),0)</f>
        <v>2482</v>
      </c>
      <c r="W16" s="108" t="n">
        <f aca="false">ROUND(W15*INDEX(Premissas!$C$34:$G$34,W$7),0)</f>
        <v>2598</v>
      </c>
      <c r="X16" s="108" t="n">
        <f aca="false">ROUND(X15*INDEX(Premissas!$C$34:$G$34,X$7),0)</f>
        <v>2704</v>
      </c>
      <c r="Y16" s="108" t="n">
        <f aca="false">ROUND(Y15*INDEX(Premissas!$C$34:$G$34,Y$7),0)</f>
        <v>2799</v>
      </c>
      <c r="Z16" s="108" t="n">
        <f aca="false">ROUND(Z15*INDEX(Premissas!$C$34:$G$34,Z$7),0)</f>
        <v>3098</v>
      </c>
      <c r="AA16" s="108" t="n">
        <f aca="false">ROUND(AA15*INDEX(Premissas!$C$34:$G$34,AA$7),0)</f>
        <v>3319</v>
      </c>
      <c r="AB16" s="108" t="n">
        <f aca="false">ROUND(AB15*INDEX(Premissas!$C$34:$G$34,AB$7),0)</f>
        <v>3520</v>
      </c>
      <c r="AC16" s="108" t="n">
        <f aca="false">ROUND(AC15*INDEX(Premissas!$C$34:$G$34,AC$7),0)</f>
        <v>3702</v>
      </c>
      <c r="AD16" s="108" t="n">
        <f aca="false">ROUND(AD15*INDEX(Premissas!$C$34:$G$34,AD$7),0)</f>
        <v>3867</v>
      </c>
      <c r="AE16" s="108" t="n">
        <f aca="false">ROUND(AE15*INDEX(Premissas!$C$34:$G$34,AE$7),0)</f>
        <v>4017</v>
      </c>
      <c r="AF16" s="108" t="n">
        <f aca="false">ROUND(AF15*INDEX(Premissas!$C$34:$G$34,AF$7),0)</f>
        <v>4153</v>
      </c>
      <c r="AG16" s="108" t="n">
        <f aca="false">ROUND(AG15*INDEX(Premissas!$C$34:$G$34,AG$7),0)</f>
        <v>4277</v>
      </c>
      <c r="AH16" s="108" t="n">
        <f aca="false">ROUND(AH15*INDEX(Premissas!$C$34:$G$34,AH$7),0)</f>
        <v>4389</v>
      </c>
      <c r="AI16" s="108" t="n">
        <f aca="false">ROUND(AI15*INDEX(Premissas!$C$34:$G$34,AI$7),0)</f>
        <v>4491</v>
      </c>
      <c r="AJ16" s="108" t="n">
        <f aca="false">ROUND(AJ15*INDEX(Premissas!$C$34:$G$34,AJ$7),0)</f>
        <v>4584</v>
      </c>
      <c r="AK16" s="108" t="n">
        <f aca="false">ROUND(AK15*INDEX(Premissas!$C$34:$G$34,AK$7),0)</f>
        <v>4668</v>
      </c>
      <c r="AL16" s="108" t="n">
        <f aca="false">ROUND(AL15*INDEX(Premissas!$C$34:$G$34,AL$7),0)</f>
        <v>5046</v>
      </c>
      <c r="AM16" s="108" t="n">
        <f aca="false">ROUND(AM15*INDEX(Premissas!$C$34:$G$34,AM$7),0)</f>
        <v>5320</v>
      </c>
      <c r="AN16" s="108" t="n">
        <f aca="false">ROUND(AN15*INDEX(Premissas!$C$34:$G$34,AN$7),0)</f>
        <v>5570</v>
      </c>
      <c r="AO16" s="108" t="n">
        <f aca="false">ROUND(AO15*INDEX(Premissas!$C$34:$G$34,AO$7),0)</f>
        <v>5798</v>
      </c>
      <c r="AP16" s="108" t="n">
        <f aca="false">ROUND(AP15*INDEX(Premissas!$C$34:$G$34,AP$7),0)</f>
        <v>6006</v>
      </c>
      <c r="AQ16" s="108" t="n">
        <f aca="false">ROUND(AQ15*INDEX(Premissas!$C$34:$G$34,AQ$7),0)</f>
        <v>6195</v>
      </c>
      <c r="AR16" s="108" t="n">
        <f aca="false">ROUND(AR15*INDEX(Premissas!$C$34:$G$34,AR$7),0)</f>
        <v>6368</v>
      </c>
      <c r="AS16" s="108" t="n">
        <f aca="false">ROUND(AS15*INDEX(Premissas!$C$34:$G$34,AS$7),0)</f>
        <v>6525</v>
      </c>
      <c r="AT16" s="108" t="n">
        <f aca="false">ROUND(AT15*INDEX(Premissas!$C$34:$G$34,AT$7),0)</f>
        <v>6669</v>
      </c>
      <c r="AU16" s="108" t="n">
        <f aca="false">ROUND(AU15*INDEX(Premissas!$C$34:$G$34,AU$7),0)</f>
        <v>6799</v>
      </c>
      <c r="AV16" s="108" t="n">
        <f aca="false">ROUND(AV15*INDEX(Premissas!$C$34:$G$34,AV$7),0)</f>
        <v>6918</v>
      </c>
      <c r="AW16" s="108" t="n">
        <f aca="false">ROUND(AW15*INDEX(Premissas!$C$34:$G$34,AW$7),0)</f>
        <v>7027</v>
      </c>
      <c r="AX16" s="108" t="n">
        <f aca="false">ROUND(AX15*INDEX(Premissas!$C$34:$G$34,AX$7),0)</f>
        <v>7532</v>
      </c>
      <c r="AY16" s="108" t="n">
        <f aca="false">ROUND(AY15*INDEX(Premissas!$C$34:$G$34,AY$7),0)</f>
        <v>7915</v>
      </c>
      <c r="AZ16" s="108" t="n">
        <f aca="false">ROUND(AZ15*INDEX(Premissas!$C$34:$G$34,AZ$7),0)</f>
        <v>8264</v>
      </c>
      <c r="BA16" s="108" t="n">
        <f aca="false">ROUND(BA15*INDEX(Premissas!$C$34:$G$34,BA$7),0)</f>
        <v>8584</v>
      </c>
      <c r="BB16" s="108" t="n">
        <f aca="false">ROUND(BB15*INDEX(Premissas!$C$34:$G$34,BB$7),0)</f>
        <v>8876</v>
      </c>
      <c r="BC16" s="108" t="n">
        <f aca="false">ROUND(BC15*INDEX(Premissas!$C$34:$G$34,BC$7),0)</f>
        <v>9144</v>
      </c>
      <c r="BD16" s="108" t="n">
        <f aca="false">ROUND(BD15*INDEX(Premissas!$C$34:$G$34,BD$7),0)</f>
        <v>9389</v>
      </c>
      <c r="BE16" s="108" t="n">
        <f aca="false">ROUND(BE15*INDEX(Premissas!$C$34:$G$34,BE$7),0)</f>
        <v>9613</v>
      </c>
      <c r="BF16" s="108" t="n">
        <f aca="false">ROUND(BF15*INDEX(Premissas!$C$34:$G$34,BF$7),0)</f>
        <v>9818</v>
      </c>
      <c r="BG16" s="108" t="n">
        <f aca="false">ROUND(BG15*INDEX(Premissas!$C$34:$G$34,BG$7),0)</f>
        <v>10006</v>
      </c>
      <c r="BH16" s="108" t="n">
        <f aca="false">ROUND(BH15*INDEX(Premissas!$C$34:$G$34,BH$7),0)</f>
        <v>10178</v>
      </c>
      <c r="BI16" s="108" t="n">
        <f aca="false">ROUND(BI15*INDEX(Premissas!$C$34:$G$34,BI$7),0)</f>
        <v>10335</v>
      </c>
      <c r="BJ16" s="109" t="n">
        <f aca="false">BI16</f>
        <v>10335</v>
      </c>
      <c r="BK16" s="29" t="s">
        <v>571</v>
      </c>
    </row>
    <row r="17" customFormat="false" ht="15" hidden="false" customHeight="false" outlineLevel="0" collapsed="false">
      <c r="A17" s="27" t="s">
        <v>544</v>
      </c>
      <c r="B17" s="108" t="n">
        <f aca="false">ROUND(B15*INDEX(Premissas!$C$35:$G$35,B$7),0)</f>
        <v>0</v>
      </c>
      <c r="C17" s="108" t="n">
        <f aca="false">ROUND(C15*INDEX(Premissas!$C$35:$G$35,C$7),0)</f>
        <v>0</v>
      </c>
      <c r="D17" s="108" t="n">
        <f aca="false">ROUND(D15*INDEX(Premissas!$C$35:$G$35,D$7),0)</f>
        <v>0</v>
      </c>
      <c r="E17" s="108" t="n">
        <f aca="false">ROUND(E15*INDEX(Premissas!$C$35:$G$35,E$7),0)</f>
        <v>0</v>
      </c>
      <c r="F17" s="108" t="n">
        <f aca="false">ROUND(F15*INDEX(Premissas!$C$35:$G$35,F$7),0)</f>
        <v>0</v>
      </c>
      <c r="G17" s="108" t="n">
        <f aca="false">ROUND(G15*INDEX(Premissas!$C$35:$G$35,G$7),0)</f>
        <v>0</v>
      </c>
      <c r="H17" s="108" t="n">
        <f aca="false">ROUND(H15*INDEX(Premissas!$C$35:$G$35,H$7),0)</f>
        <v>0</v>
      </c>
      <c r="I17" s="108" t="n">
        <f aca="false">ROUND(I15*INDEX(Premissas!$C$35:$G$35,I$7),0)</f>
        <v>0</v>
      </c>
      <c r="J17" s="108" t="n">
        <f aca="false">ROUND(J15*INDEX(Premissas!$C$35:$G$35,J$7),0)</f>
        <v>0</v>
      </c>
      <c r="K17" s="108" t="n">
        <f aca="false">ROUND(K15*INDEX(Premissas!$C$35:$G$35,K$7),0)</f>
        <v>11</v>
      </c>
      <c r="L17" s="108" t="n">
        <f aca="false">ROUND(L15*INDEX(Premissas!$C$35:$G$35,L$7),0)</f>
        <v>41</v>
      </c>
      <c r="M17" s="108" t="n">
        <f aca="false">ROUND(M15*INDEX(Premissas!$C$35:$G$35,M$7),0)</f>
        <v>88</v>
      </c>
      <c r="N17" s="108" t="n">
        <f aca="false">ROUND(N15*INDEX(Premissas!$C$35:$G$35,N$7),0)</f>
        <v>199</v>
      </c>
      <c r="O17" s="108" t="n">
        <f aca="false">ROUND(O15*INDEX(Premissas!$C$35:$G$35,O$7),0)</f>
        <v>315</v>
      </c>
      <c r="P17" s="108" t="n">
        <f aca="false">ROUND(P15*INDEX(Premissas!$C$35:$G$35,P$7),0)</f>
        <v>450</v>
      </c>
      <c r="Q17" s="108" t="n">
        <f aca="false">ROUND(Q15*INDEX(Premissas!$C$35:$G$35,Q$7),0)</f>
        <v>515</v>
      </c>
      <c r="R17" s="108" t="n">
        <f aca="false">ROUND(R15*INDEX(Premissas!$C$35:$G$35,R$7),0)</f>
        <v>574</v>
      </c>
      <c r="S17" s="108" t="n">
        <f aca="false">ROUND(S15*INDEX(Premissas!$C$35:$G$35,S$7),0)</f>
        <v>627</v>
      </c>
      <c r="T17" s="108" t="n">
        <f aca="false">ROUND(T15*INDEX(Premissas!$C$35:$G$35,T$7),0)</f>
        <v>675</v>
      </c>
      <c r="U17" s="108" t="n">
        <f aca="false">ROUND(U15*INDEX(Premissas!$C$35:$G$35,U$7),0)</f>
        <v>719</v>
      </c>
      <c r="V17" s="108" t="n">
        <f aca="false">ROUND(V15*INDEX(Premissas!$C$35:$G$35,V$7),0)</f>
        <v>758</v>
      </c>
      <c r="W17" s="108" t="n">
        <f aca="false">ROUND(W15*INDEX(Premissas!$C$35:$G$35,W$7),0)</f>
        <v>794</v>
      </c>
      <c r="X17" s="108" t="n">
        <f aca="false">ROUND(X15*INDEX(Premissas!$C$35:$G$35,X$7),0)</f>
        <v>826</v>
      </c>
      <c r="Y17" s="108" t="n">
        <f aca="false">ROUND(Y15*INDEX(Premissas!$C$35:$G$35,Y$7),0)</f>
        <v>855</v>
      </c>
      <c r="Z17" s="108" t="n">
        <f aca="false">ROUND(Z15*INDEX(Premissas!$C$35:$G$35,Z$7),0)</f>
        <v>1093</v>
      </c>
      <c r="AA17" s="108" t="n">
        <f aca="false">ROUND(AA15*INDEX(Premissas!$C$35:$G$35,AA$7),0)</f>
        <v>1171</v>
      </c>
      <c r="AB17" s="108" t="n">
        <f aca="false">ROUND(AB15*INDEX(Premissas!$C$35:$G$35,AB$7),0)</f>
        <v>1242</v>
      </c>
      <c r="AC17" s="108" t="n">
        <f aca="false">ROUND(AC15*INDEX(Premissas!$C$35:$G$35,AC$7),0)</f>
        <v>1307</v>
      </c>
      <c r="AD17" s="108" t="n">
        <f aca="false">ROUND(AD15*INDEX(Premissas!$C$35:$G$35,AD$7),0)</f>
        <v>1365</v>
      </c>
      <c r="AE17" s="108" t="n">
        <f aca="false">ROUND(AE15*INDEX(Premissas!$C$35:$G$35,AE$7),0)</f>
        <v>1418</v>
      </c>
      <c r="AF17" s="108" t="n">
        <f aca="false">ROUND(AF15*INDEX(Premissas!$C$35:$G$35,AF$7),0)</f>
        <v>1466</v>
      </c>
      <c r="AG17" s="108" t="n">
        <f aca="false">ROUND(AG15*INDEX(Premissas!$C$35:$G$35,AG$7),0)</f>
        <v>1510</v>
      </c>
      <c r="AH17" s="108" t="n">
        <f aca="false">ROUND(AH15*INDEX(Premissas!$C$35:$G$35,AH$7),0)</f>
        <v>1549</v>
      </c>
      <c r="AI17" s="108" t="n">
        <f aca="false">ROUND(AI15*INDEX(Premissas!$C$35:$G$35,AI$7),0)</f>
        <v>1585</v>
      </c>
      <c r="AJ17" s="108" t="n">
        <f aca="false">ROUND(AJ15*INDEX(Premissas!$C$35:$G$35,AJ$7),0)</f>
        <v>1618</v>
      </c>
      <c r="AK17" s="108" t="n">
        <f aca="false">ROUND(AK15*INDEX(Premissas!$C$35:$G$35,AK$7),0)</f>
        <v>1648</v>
      </c>
      <c r="AL17" s="108" t="n">
        <f aca="false">ROUND(AL15*INDEX(Premissas!$C$35:$G$35,AL$7),0)</f>
        <v>2050</v>
      </c>
      <c r="AM17" s="108" t="n">
        <f aca="false">ROUND(AM15*INDEX(Premissas!$C$35:$G$35,AM$7),0)</f>
        <v>2161</v>
      </c>
      <c r="AN17" s="108" t="n">
        <f aca="false">ROUND(AN15*INDEX(Premissas!$C$35:$G$35,AN$7),0)</f>
        <v>2263</v>
      </c>
      <c r="AO17" s="108" t="n">
        <f aca="false">ROUND(AO15*INDEX(Premissas!$C$35:$G$35,AO$7),0)</f>
        <v>2356</v>
      </c>
      <c r="AP17" s="108" t="n">
        <f aca="false">ROUND(AP15*INDEX(Premissas!$C$35:$G$35,AP$7),0)</f>
        <v>2440</v>
      </c>
      <c r="AQ17" s="108" t="n">
        <f aca="false">ROUND(AQ15*INDEX(Premissas!$C$35:$G$35,AQ$7),0)</f>
        <v>2517</v>
      </c>
      <c r="AR17" s="108" t="n">
        <f aca="false">ROUND(AR15*INDEX(Premissas!$C$35:$G$35,AR$7),0)</f>
        <v>2587</v>
      </c>
      <c r="AS17" s="108" t="n">
        <f aca="false">ROUND(AS15*INDEX(Premissas!$C$35:$G$35,AS$7),0)</f>
        <v>2651</v>
      </c>
      <c r="AT17" s="108" t="n">
        <f aca="false">ROUND(AT15*INDEX(Premissas!$C$35:$G$35,AT$7),0)</f>
        <v>2709</v>
      </c>
      <c r="AU17" s="108" t="n">
        <f aca="false">ROUND(AU15*INDEX(Premissas!$C$35:$G$35,AU$7),0)</f>
        <v>2762</v>
      </c>
      <c r="AV17" s="108" t="n">
        <f aca="false">ROUND(AV15*INDEX(Premissas!$C$35:$G$35,AV$7),0)</f>
        <v>2811</v>
      </c>
      <c r="AW17" s="108" t="n">
        <f aca="false">ROUND(AW15*INDEX(Premissas!$C$35:$G$35,AW$7),0)</f>
        <v>2855</v>
      </c>
      <c r="AX17" s="108" t="n">
        <f aca="false">ROUND(AX15*INDEX(Premissas!$C$35:$G$35,AX$7),0)</f>
        <v>3515</v>
      </c>
      <c r="AY17" s="108" t="n">
        <f aca="false">ROUND(AY15*INDEX(Premissas!$C$35:$G$35,AY$7),0)</f>
        <v>3693</v>
      </c>
      <c r="AZ17" s="108" t="n">
        <f aca="false">ROUND(AZ15*INDEX(Premissas!$C$35:$G$35,AZ$7),0)</f>
        <v>3856</v>
      </c>
      <c r="BA17" s="108" t="n">
        <f aca="false">ROUND(BA15*INDEX(Premissas!$C$35:$G$35,BA$7),0)</f>
        <v>4006</v>
      </c>
      <c r="BB17" s="108" t="n">
        <f aca="false">ROUND(BB15*INDEX(Premissas!$C$35:$G$35,BB$7),0)</f>
        <v>4142</v>
      </c>
      <c r="BC17" s="108" t="n">
        <f aca="false">ROUND(BC15*INDEX(Premissas!$C$35:$G$35,BC$7),0)</f>
        <v>4267</v>
      </c>
      <c r="BD17" s="108" t="n">
        <f aca="false">ROUND(BD15*INDEX(Premissas!$C$35:$G$35,BD$7),0)</f>
        <v>4381</v>
      </c>
      <c r="BE17" s="108" t="n">
        <f aca="false">ROUND(BE15*INDEX(Premissas!$C$35:$G$35,BE$7),0)</f>
        <v>4486</v>
      </c>
      <c r="BF17" s="108" t="n">
        <f aca="false">ROUND(BF15*INDEX(Premissas!$C$35:$G$35,BF$7),0)</f>
        <v>4582</v>
      </c>
      <c r="BG17" s="108" t="n">
        <f aca="false">ROUND(BG15*INDEX(Premissas!$C$35:$G$35,BG$7),0)</f>
        <v>4670</v>
      </c>
      <c r="BH17" s="108" t="n">
        <f aca="false">ROUND(BH15*INDEX(Premissas!$C$35:$G$35,BH$7),0)</f>
        <v>4750</v>
      </c>
      <c r="BI17" s="108" t="n">
        <f aca="false">ROUND(BI15*INDEX(Premissas!$C$35:$G$35,BI$7),0)</f>
        <v>4823</v>
      </c>
      <c r="BJ17" s="109" t="n">
        <f aca="false">BI17</f>
        <v>4823</v>
      </c>
      <c r="BK17" s="29" t="s">
        <v>571</v>
      </c>
    </row>
    <row r="18" customFormat="false" ht="15" hidden="false" customHeight="false" outlineLevel="0" collapsed="false">
      <c r="A18" s="27" t="s">
        <v>545</v>
      </c>
      <c r="B18" s="108" t="n">
        <f aca="false">B15-B16-B17</f>
        <v>0</v>
      </c>
      <c r="C18" s="108" t="n">
        <f aca="false">C15-C16-C17</f>
        <v>0</v>
      </c>
      <c r="D18" s="108" t="n">
        <f aca="false">D15-D16-D17</f>
        <v>0</v>
      </c>
      <c r="E18" s="108" t="n">
        <f aca="false">E15-E16-E17</f>
        <v>0</v>
      </c>
      <c r="F18" s="108" t="n">
        <f aca="false">F15-F16-F17</f>
        <v>0</v>
      </c>
      <c r="G18" s="108" t="n">
        <f aca="false">G15-G16-G17</f>
        <v>0</v>
      </c>
      <c r="H18" s="108" t="n">
        <f aca="false">H15-H16-H17</f>
        <v>0</v>
      </c>
      <c r="I18" s="108" t="n">
        <f aca="false">I15-I16-I17</f>
        <v>0</v>
      </c>
      <c r="J18" s="108" t="n">
        <f aca="false">J15-J16-J17</f>
        <v>0</v>
      </c>
      <c r="K18" s="108" t="n">
        <f aca="false">K15-K16-K17</f>
        <v>2</v>
      </c>
      <c r="L18" s="108" t="n">
        <f aca="false">L15-L16-L17</f>
        <v>10</v>
      </c>
      <c r="M18" s="108" t="n">
        <f aca="false">M15-M16-M17</f>
        <v>22</v>
      </c>
      <c r="N18" s="108" t="n">
        <f aca="false">N15-N16-N17</f>
        <v>54</v>
      </c>
      <c r="O18" s="108" t="n">
        <f aca="false">O15-O16-O17</f>
        <v>86</v>
      </c>
      <c r="P18" s="108" t="n">
        <f aca="false">P15-P16-P17</f>
        <v>123</v>
      </c>
      <c r="Q18" s="108" t="n">
        <f aca="false">Q15-Q16-Q17</f>
        <v>140</v>
      </c>
      <c r="R18" s="108" t="n">
        <f aca="false">R15-R16-R17</f>
        <v>157</v>
      </c>
      <c r="S18" s="108" t="n">
        <f aca="false">S15-S16-S17</f>
        <v>171</v>
      </c>
      <c r="T18" s="108" t="n">
        <f aca="false">T15-T16-T17</f>
        <v>185</v>
      </c>
      <c r="U18" s="108" t="n">
        <f aca="false">U15-U16-U17</f>
        <v>196</v>
      </c>
      <c r="V18" s="108" t="n">
        <f aca="false">V15-V16-V17</f>
        <v>207</v>
      </c>
      <c r="W18" s="108" t="n">
        <f aca="false">W15-W16-W17</f>
        <v>217</v>
      </c>
      <c r="X18" s="108" t="n">
        <f aca="false">X15-X16-X17</f>
        <v>225</v>
      </c>
      <c r="Y18" s="108" t="n">
        <f aca="false">Y15-Y16-Y17</f>
        <v>233</v>
      </c>
      <c r="Z18" s="108" t="n">
        <f aca="false">Z15-Z16-Z17</f>
        <v>365</v>
      </c>
      <c r="AA18" s="108" t="n">
        <f aca="false">AA15-AA16-AA17</f>
        <v>391</v>
      </c>
      <c r="AB18" s="108" t="n">
        <f aca="false">AB15-AB16-AB17</f>
        <v>414</v>
      </c>
      <c r="AC18" s="108" t="n">
        <f aca="false">AC15-AC16-AC17</f>
        <v>435</v>
      </c>
      <c r="AD18" s="108" t="n">
        <f aca="false">AD15-AD16-AD17</f>
        <v>455</v>
      </c>
      <c r="AE18" s="108" t="n">
        <f aca="false">AE15-AE16-AE17</f>
        <v>472</v>
      </c>
      <c r="AF18" s="108" t="n">
        <f aca="false">AF15-AF16-AF17</f>
        <v>489</v>
      </c>
      <c r="AG18" s="108" t="n">
        <f aca="false">AG15-AG16-AG17</f>
        <v>503</v>
      </c>
      <c r="AH18" s="108" t="n">
        <f aca="false">AH15-AH16-AH17</f>
        <v>517</v>
      </c>
      <c r="AI18" s="108" t="n">
        <f aca="false">AI15-AI16-AI17</f>
        <v>529</v>
      </c>
      <c r="AJ18" s="108" t="n">
        <f aca="false">AJ15-AJ16-AJ17</f>
        <v>539</v>
      </c>
      <c r="AK18" s="108" t="n">
        <f aca="false">AK15-AK16-AK17</f>
        <v>549</v>
      </c>
      <c r="AL18" s="108" t="n">
        <f aca="false">AL15-AL16-AL17</f>
        <v>788</v>
      </c>
      <c r="AM18" s="108" t="n">
        <f aca="false">AM15-AM16-AM17</f>
        <v>832</v>
      </c>
      <c r="AN18" s="108" t="n">
        <f aca="false">AN15-AN16-AN17</f>
        <v>870</v>
      </c>
      <c r="AO18" s="108" t="n">
        <f aca="false">AO15-AO16-AO17</f>
        <v>906</v>
      </c>
      <c r="AP18" s="108" t="n">
        <f aca="false">AP15-AP16-AP17</f>
        <v>938</v>
      </c>
      <c r="AQ18" s="108" t="n">
        <f aca="false">AQ15-AQ16-AQ17</f>
        <v>968</v>
      </c>
      <c r="AR18" s="108" t="n">
        <f aca="false">AR15-AR16-AR17</f>
        <v>995</v>
      </c>
      <c r="AS18" s="108" t="n">
        <f aca="false">AS15-AS16-AS17</f>
        <v>1020</v>
      </c>
      <c r="AT18" s="108" t="n">
        <f aca="false">AT15-AT16-AT17</f>
        <v>1042</v>
      </c>
      <c r="AU18" s="108" t="n">
        <f aca="false">AU15-AU16-AU17</f>
        <v>1063</v>
      </c>
      <c r="AV18" s="108" t="n">
        <f aca="false">AV15-AV16-AV17</f>
        <v>1081</v>
      </c>
      <c r="AW18" s="108" t="n">
        <f aca="false">AW15-AW16-AW17</f>
        <v>1098</v>
      </c>
      <c r="AX18" s="108" t="n">
        <f aca="false">AX15-AX16-AX17</f>
        <v>1507</v>
      </c>
      <c r="AY18" s="108" t="n">
        <f aca="false">AY15-AY16-AY17</f>
        <v>1583</v>
      </c>
      <c r="AZ18" s="108" t="n">
        <f aca="false">AZ15-AZ16-AZ17</f>
        <v>1653</v>
      </c>
      <c r="BA18" s="108" t="n">
        <f aca="false">BA15-BA16-BA17</f>
        <v>1716</v>
      </c>
      <c r="BB18" s="108" t="n">
        <f aca="false">BB15-BB16-BB17</f>
        <v>1776</v>
      </c>
      <c r="BC18" s="108" t="n">
        <f aca="false">BC15-BC16-BC17</f>
        <v>1829</v>
      </c>
      <c r="BD18" s="108" t="n">
        <f aca="false">BD15-BD16-BD17</f>
        <v>1878</v>
      </c>
      <c r="BE18" s="108" t="n">
        <f aca="false">BE15-BE16-BE17</f>
        <v>1923</v>
      </c>
      <c r="BF18" s="108" t="n">
        <f aca="false">BF15-BF16-BF17</f>
        <v>1964</v>
      </c>
      <c r="BG18" s="108" t="n">
        <f aca="false">BG15-BG16-BG17</f>
        <v>2001</v>
      </c>
      <c r="BH18" s="108" t="n">
        <f aca="false">BH15-BH16-BH17</f>
        <v>2035</v>
      </c>
      <c r="BI18" s="108" t="n">
        <f aca="false">BI15-BI16-BI17</f>
        <v>2067</v>
      </c>
      <c r="BJ18" s="109" t="n">
        <f aca="false">BI18</f>
        <v>2067</v>
      </c>
      <c r="BK18" s="29" t="s">
        <v>571</v>
      </c>
    </row>
    <row r="19" customFormat="false" ht="15" hidden="false" customHeight="false" outlineLevel="0" collapsed="false">
      <c r="A19" s="27" t="s">
        <v>573</v>
      </c>
      <c r="B19" s="110" t="n">
        <f aca="false">B16*Premissas!$B$29*(1+Premissas!$B$32)^(B$6-2026)</f>
        <v>0</v>
      </c>
      <c r="C19" s="110" t="n">
        <f aca="false">C16*Premissas!$B$29*(1+Premissas!$B$32)^(C$6-2026)</f>
        <v>0</v>
      </c>
      <c r="D19" s="110" t="n">
        <f aca="false">D16*Premissas!$B$29*(1+Premissas!$B$32)^(D$6-2026)</f>
        <v>0</v>
      </c>
      <c r="E19" s="110" t="n">
        <f aca="false">E16*Premissas!$B$29*(1+Premissas!$B$32)^(E$6-2026)</f>
        <v>0</v>
      </c>
      <c r="F19" s="110" t="n">
        <f aca="false">F16*Premissas!$B$29*(1+Premissas!$B$32)^(F$6-2026)</f>
        <v>0</v>
      </c>
      <c r="G19" s="110" t="n">
        <f aca="false">G16*Premissas!$B$29*(1+Premissas!$B$32)^(G$6-2026)</f>
        <v>0</v>
      </c>
      <c r="H19" s="110" t="n">
        <f aca="false">H16*Premissas!$B$29*(1+Premissas!$B$32)^(H$6-2026)</f>
        <v>0</v>
      </c>
      <c r="I19" s="110" t="n">
        <f aca="false">I16*Premissas!$B$29*(1+Premissas!$B$32)^(I$6-2026)</f>
        <v>0</v>
      </c>
      <c r="J19" s="110" t="n">
        <f aca="false">J16*Premissas!$B$29*(1+Premissas!$B$32)^(J$6-2026)</f>
        <v>0</v>
      </c>
      <c r="K19" s="110" t="n">
        <f aca="false">K16*Premissas!$B$29*(1+Premissas!$B$32)^(K$6-2026)</f>
        <v>815.9</v>
      </c>
      <c r="L19" s="110" t="n">
        <f aca="false">L16*Premissas!$B$29*(1+Premissas!$B$32)^(L$6-2026)</f>
        <v>3084.5</v>
      </c>
      <c r="M19" s="110" t="n">
        <f aca="false">M16*Premissas!$B$29*(1+Premissas!$B$32)^(M$6-2026)</f>
        <v>6586.9</v>
      </c>
      <c r="N19" s="110" t="n">
        <f aca="false">N16*Premissas!$B$29*(1+Premissas!$B$32)^(N$6-2026)</f>
        <v>13517.075</v>
      </c>
      <c r="O19" s="110" t="n">
        <f aca="false">O16*Premissas!$B$29*(1+Premissas!$B$32)^(O$6-2026)</f>
        <v>21419.365</v>
      </c>
      <c r="P19" s="110" t="n">
        <f aca="false">P16*Premissas!$B$29*(1+Premissas!$B$32)^(P$6-2026)</f>
        <v>30610.976</v>
      </c>
      <c r="Q19" s="110" t="n">
        <f aca="false">Q16*Premissas!$B$29*(1+Premissas!$B$32)^(Q$6-2026)</f>
        <v>35061.213</v>
      </c>
      <c r="R19" s="110" t="n">
        <f aca="false">R16*Premissas!$B$29*(1+Premissas!$B$32)^(R$6-2026)</f>
        <v>39053.949</v>
      </c>
      <c r="S19" s="110" t="n">
        <f aca="false">S16*Premissas!$B$29*(1+Premissas!$B$32)^(S$6-2026)</f>
        <v>42693.1615</v>
      </c>
      <c r="T19" s="110" t="n">
        <f aca="false">T16*Premissas!$B$29*(1+Premissas!$B$32)^(T$6-2026)</f>
        <v>45958.055</v>
      </c>
      <c r="U19" s="110" t="n">
        <f aca="false">U16*Premissas!$B$29*(1+Premissas!$B$32)^(U$6-2026)</f>
        <v>48931.8115</v>
      </c>
      <c r="V19" s="110" t="n">
        <f aca="false">V16*Premissas!$B$29*(1+Premissas!$B$32)^(V$6-2026)</f>
        <v>51614.431</v>
      </c>
      <c r="W19" s="110" t="n">
        <f aca="false">W16*Premissas!$B$29*(1+Premissas!$B$32)^(W$6-2026)</f>
        <v>54026.709</v>
      </c>
      <c r="X19" s="110" t="n">
        <f aca="false">X16*Premissas!$B$29*(1+Premissas!$B$32)^(X$6-2026)</f>
        <v>56231.032</v>
      </c>
      <c r="Y19" s="110" t="n">
        <f aca="false">Y16*Premissas!$B$29*(1+Premissas!$B$32)^(Y$6-2026)</f>
        <v>58206.6045</v>
      </c>
      <c r="Z19" s="110" t="n">
        <f aca="false">Z16*Premissas!$B$29*(1+Premissas!$B$32)^(Z$6-2026)</f>
        <v>67323.559655</v>
      </c>
      <c r="AA19" s="110" t="n">
        <f aca="false">AA16*Premissas!$B$29*(1+Premissas!$B$32)^(AA$6-2026)</f>
        <v>72126.1764025</v>
      </c>
      <c r="AB19" s="110" t="n">
        <f aca="false">AB16*Premissas!$B$29*(1+Premissas!$B$32)^(AB$6-2026)</f>
        <v>76494.1672</v>
      </c>
      <c r="AC19" s="110" t="n">
        <f aca="false">AC16*Premissas!$B$29*(1+Premissas!$B$32)^(AC$6-2026)</f>
        <v>80449.263345</v>
      </c>
      <c r="AD19" s="110" t="n">
        <f aca="false">AD16*Premissas!$B$29*(1+Premissas!$B$32)^(AD$6-2026)</f>
        <v>84034.9274325</v>
      </c>
      <c r="AE19" s="110" t="n">
        <f aca="false">AE16*Premissas!$B$29*(1+Premissas!$B$32)^(AE$6-2026)</f>
        <v>87294.6220575</v>
      </c>
      <c r="AF19" s="110" t="n">
        <f aca="false">AF16*Premissas!$B$29*(1+Premissas!$B$32)^(AF$6-2026)</f>
        <v>90250.0785175</v>
      </c>
      <c r="AG19" s="110" t="n">
        <f aca="false">AG16*Premissas!$B$29*(1+Premissas!$B$32)^(AG$6-2026)</f>
        <v>92944.7594075</v>
      </c>
      <c r="AH19" s="110" t="n">
        <f aca="false">AH16*Premissas!$B$29*(1+Premissas!$B$32)^(AH$6-2026)</f>
        <v>95378.6647275</v>
      </c>
      <c r="AI19" s="110" t="n">
        <f aca="false">AI16*Premissas!$B$29*(1+Premissas!$B$32)^(AI$6-2026)</f>
        <v>97595.2570725</v>
      </c>
      <c r="AJ19" s="110" t="n">
        <f aca="false">AJ16*Premissas!$B$29*(1+Premissas!$B$32)^(AJ$6-2026)</f>
        <v>99616.26774</v>
      </c>
      <c r="AK19" s="110" t="n">
        <f aca="false">AK16*Premissas!$B$29*(1+Premissas!$B$32)^(AK$6-2026)</f>
        <v>101441.69673</v>
      </c>
      <c r="AL19" s="110" t="n">
        <f aca="false">AL16*Premissas!$B$29*(1+Premissas!$B$32)^(AL$6-2026)</f>
        <v>114590.652908325</v>
      </c>
      <c r="AM19" s="110" t="n">
        <f aca="false">AM16*Premissas!$B$29*(1+Premissas!$B$32)^(AM$6-2026)</f>
        <v>120812.9753215</v>
      </c>
      <c r="AN19" s="110" t="n">
        <f aca="false">AN16*Premissas!$B$29*(1+Premissas!$B$32)^(AN$6-2026)</f>
        <v>126490.276793375</v>
      </c>
      <c r="AO19" s="110" t="n">
        <f aca="false">AO16*Premissas!$B$29*(1+Premissas!$B$32)^(AO$6-2026)</f>
        <v>131667.975735725</v>
      </c>
      <c r="AP19" s="110" t="n">
        <f aca="false">AP16*Premissas!$B$29*(1+Premissas!$B$32)^(AP$6-2026)</f>
        <v>136391.490560325</v>
      </c>
      <c r="AQ19" s="110" t="n">
        <f aca="false">AQ16*Premissas!$B$29*(1+Premissas!$B$32)^(AQ$6-2026)</f>
        <v>140683.530473062</v>
      </c>
      <c r="AR19" s="110" t="n">
        <f aca="false">AR16*Premissas!$B$29*(1+Premissas!$B$32)^(AR$6-2026)</f>
        <v>144612.2230916</v>
      </c>
      <c r="AS19" s="110" t="n">
        <f aca="false">AS16*Premissas!$B$29*(1+Premissas!$B$32)^(AS$6-2026)</f>
        <v>148177.568415937</v>
      </c>
      <c r="AT19" s="110" t="n">
        <f aca="false">AT16*Premissas!$B$29*(1+Premissas!$B$32)^(AT$6-2026)</f>
        <v>151447.694063737</v>
      </c>
      <c r="AU19" s="110" t="n">
        <f aca="false">AU16*Premissas!$B$29*(1+Premissas!$B$32)^(AU$6-2026)</f>
        <v>154399.890829112</v>
      </c>
      <c r="AV19" s="110" t="n">
        <f aca="false">AV16*Premissas!$B$29*(1+Premissas!$B$32)^(AV$6-2026)</f>
        <v>157102.286329725</v>
      </c>
      <c r="AW19" s="110" t="n">
        <f aca="false">AW16*Premissas!$B$29*(1+Premissas!$B$32)^(AW$6-2026)</f>
        <v>159577.589771462</v>
      </c>
      <c r="AX19" s="110" t="n">
        <f aca="false">AX16*Premissas!$B$29*(1+Premissas!$B$32)^(AX$6-2026)</f>
        <v>178742.796988159</v>
      </c>
      <c r="AY19" s="110" t="n">
        <f aca="false">AY16*Premissas!$B$29*(1+Premissas!$B$32)^(AY$6-2026)</f>
        <v>187831.816006543</v>
      </c>
      <c r="AZ19" s="110" t="n">
        <f aca="false">AZ16*Premissas!$B$29*(1+Premissas!$B$32)^(AZ$6-2026)</f>
        <v>196113.976939743</v>
      </c>
      <c r="BA19" s="110" t="n">
        <f aca="false">BA16*Premissas!$B$29*(1+Premissas!$B$32)^(BA$6-2026)</f>
        <v>203707.935388523</v>
      </c>
      <c r="BB19" s="110" t="n">
        <f aca="false">BB16*Premissas!$B$29*(1+Premissas!$B$32)^(BB$6-2026)</f>
        <v>210637.422473035</v>
      </c>
      <c r="BC19" s="110" t="n">
        <f aca="false">BC16*Premissas!$B$29*(1+Premissas!$B$32)^(BC$6-2026)</f>
        <v>216997.362673888</v>
      </c>
      <c r="BD19" s="110" t="n">
        <f aca="false">BD16*Premissas!$B$29*(1+Premissas!$B$32)^(BD$6-2026)</f>
        <v>222811.487111236</v>
      </c>
      <c r="BE19" s="110" t="n">
        <f aca="false">BE16*Premissas!$B$29*(1+Premissas!$B$32)^(BE$6-2026)</f>
        <v>228127.258025382</v>
      </c>
      <c r="BF19" s="110" t="n">
        <f aca="false">BF16*Premissas!$B$29*(1+Premissas!$B$32)^(BF$6-2026)</f>
        <v>232992.137656631</v>
      </c>
      <c r="BG19" s="110" t="n">
        <f aca="false">BG16*Premissas!$B$29*(1+Premissas!$B$32)^(BG$6-2026)</f>
        <v>237453.58824529</v>
      </c>
      <c r="BH19" s="110" t="n">
        <f aca="false">BH16*Premissas!$B$29*(1+Premissas!$B$32)^(BH$6-2026)</f>
        <v>241535.340911509</v>
      </c>
      <c r="BI19" s="110" t="n">
        <f aca="false">BI16*Premissas!$B$29*(1+Premissas!$B$32)^(BI$6-2026)</f>
        <v>245261.126775441</v>
      </c>
      <c r="BJ19" s="111" t="n">
        <f aca="false">SUM(B19:BI19)</f>
        <v>5840927.52627677</v>
      </c>
    </row>
    <row r="20" customFormat="false" ht="15" hidden="false" customHeight="false" outlineLevel="0" collapsed="false">
      <c r="A20" s="27" t="s">
        <v>574</v>
      </c>
      <c r="B20" s="110" t="n">
        <f aca="false">B17*Premissas!$B$30*(1+Premissas!$B$32)^(B$6-2026)</f>
        <v>0</v>
      </c>
      <c r="C20" s="110" t="n">
        <f aca="false">C17*Premissas!$B$30*(1+Premissas!$B$32)^(C$6-2026)</f>
        <v>0</v>
      </c>
      <c r="D20" s="110" t="n">
        <f aca="false">D17*Premissas!$B$30*(1+Premissas!$B$32)^(D$6-2026)</f>
        <v>0</v>
      </c>
      <c r="E20" s="110" t="n">
        <f aca="false">E17*Premissas!$B$30*(1+Premissas!$B$32)^(E$6-2026)</f>
        <v>0</v>
      </c>
      <c r="F20" s="110" t="n">
        <f aca="false">F17*Premissas!$B$30*(1+Premissas!$B$32)^(F$6-2026)</f>
        <v>0</v>
      </c>
      <c r="G20" s="110" t="n">
        <f aca="false">G17*Premissas!$B$30*(1+Premissas!$B$32)^(G$6-2026)</f>
        <v>0</v>
      </c>
      <c r="H20" s="110" t="n">
        <f aca="false">H17*Premissas!$B$30*(1+Premissas!$B$32)^(H$6-2026)</f>
        <v>0</v>
      </c>
      <c r="I20" s="110" t="n">
        <f aca="false">I17*Premissas!$B$30*(1+Premissas!$B$32)^(I$6-2026)</f>
        <v>0</v>
      </c>
      <c r="J20" s="110" t="n">
        <f aca="false">J17*Premissas!$B$30*(1+Premissas!$B$32)^(J$6-2026)</f>
        <v>0</v>
      </c>
      <c r="K20" s="110" t="n">
        <f aca="false">K17*Premissas!$B$30*(1+Premissas!$B$32)^(K$6-2026)</f>
        <v>438.9</v>
      </c>
      <c r="L20" s="110" t="n">
        <f aca="false">L17*Premissas!$B$30*(1+Premissas!$B$32)^(L$6-2026)</f>
        <v>1635.9</v>
      </c>
      <c r="M20" s="110" t="n">
        <f aca="false">M17*Premissas!$B$30*(1+Premissas!$B$32)^(M$6-2026)</f>
        <v>3511.2</v>
      </c>
      <c r="N20" s="110" t="n">
        <f aca="false">N17*Premissas!$B$30*(1+Premissas!$B$32)^(N$6-2026)</f>
        <v>8297.4045</v>
      </c>
      <c r="O20" s="110" t="n">
        <f aca="false">O17*Premissas!$B$30*(1+Premissas!$B$32)^(O$6-2026)</f>
        <v>13134.0825</v>
      </c>
      <c r="P20" s="110" t="n">
        <f aca="false">P17*Premissas!$B$30*(1+Premissas!$B$32)^(P$6-2026)</f>
        <v>18762.975</v>
      </c>
      <c r="Q20" s="110" t="n">
        <f aca="false">Q17*Premissas!$B$30*(1+Premissas!$B$32)^(Q$6-2026)</f>
        <v>21473.1825</v>
      </c>
      <c r="R20" s="110" t="n">
        <f aca="false">R17*Premissas!$B$30*(1+Premissas!$B$32)^(R$6-2026)</f>
        <v>23933.217</v>
      </c>
      <c r="S20" s="110" t="n">
        <f aca="false">S17*Premissas!$B$30*(1+Premissas!$B$32)^(S$6-2026)</f>
        <v>26143.0785</v>
      </c>
      <c r="T20" s="110" t="n">
        <f aca="false">T17*Premissas!$B$30*(1+Premissas!$B$32)^(T$6-2026)</f>
        <v>28144.4625</v>
      </c>
      <c r="U20" s="110" t="n">
        <f aca="false">U17*Premissas!$B$30*(1+Premissas!$B$32)^(U$6-2026)</f>
        <v>29979.0645</v>
      </c>
      <c r="V20" s="110" t="n">
        <f aca="false">V17*Premissas!$B$30*(1+Premissas!$B$32)^(V$6-2026)</f>
        <v>31605.189</v>
      </c>
      <c r="W20" s="110" t="n">
        <f aca="false">W17*Premissas!$B$30*(1+Premissas!$B$32)^(W$6-2026)</f>
        <v>33106.227</v>
      </c>
      <c r="X20" s="110" t="n">
        <f aca="false">X17*Premissas!$B$30*(1+Premissas!$B$32)^(X$6-2026)</f>
        <v>34440.483</v>
      </c>
      <c r="Y20" s="110" t="n">
        <f aca="false">Y17*Premissas!$B$30*(1+Premissas!$B$32)^(Y$6-2026)</f>
        <v>35649.6525</v>
      </c>
      <c r="Z20" s="110" t="n">
        <f aca="false">Z17*Premissas!$B$30*(1+Premissas!$B$32)^(Z$6-2026)</f>
        <v>47623.9746675</v>
      </c>
      <c r="AA20" s="110" t="n">
        <f aca="false">AA17*Premissas!$B$30*(1+Premissas!$B$32)^(AA$6-2026)</f>
        <v>51022.5748725</v>
      </c>
      <c r="AB20" s="110" t="n">
        <f aca="false">AB17*Premissas!$B$30*(1+Premissas!$B$32)^(AB$6-2026)</f>
        <v>54116.172495</v>
      </c>
      <c r="AC20" s="110" t="n">
        <f aca="false">AC17*Premissas!$B$30*(1+Premissas!$B$32)^(AC$6-2026)</f>
        <v>56948.3393325</v>
      </c>
      <c r="AD20" s="110" t="n">
        <f aca="false">AD17*Premissas!$B$30*(1+Premissas!$B$32)^(AD$6-2026)</f>
        <v>59475.5035875</v>
      </c>
      <c r="AE20" s="110" t="n">
        <f aca="false">AE17*Premissas!$B$30*(1+Premissas!$B$32)^(AE$6-2026)</f>
        <v>61784.808855</v>
      </c>
      <c r="AF20" s="110" t="n">
        <f aca="false">AF17*Premissas!$B$30*(1+Premissas!$B$32)^(AF$6-2026)</f>
        <v>63876.255135</v>
      </c>
      <c r="AG20" s="110" t="n">
        <f aca="false">AG17*Premissas!$B$30*(1+Premissas!$B$32)^(AG$6-2026)</f>
        <v>65793.414225</v>
      </c>
      <c r="AH20" s="110" t="n">
        <f aca="false">AH17*Premissas!$B$30*(1+Premissas!$B$32)^(AH$6-2026)</f>
        <v>67492.7143275</v>
      </c>
      <c r="AI20" s="110" t="n">
        <f aca="false">AI17*Premissas!$B$30*(1+Premissas!$B$32)^(AI$6-2026)</f>
        <v>69061.2990375</v>
      </c>
      <c r="AJ20" s="110" t="n">
        <f aca="false">AJ17*Premissas!$B$30*(1+Premissas!$B$32)^(AJ$6-2026)</f>
        <v>70499.168355</v>
      </c>
      <c r="AK20" s="110" t="n">
        <f aca="false">AK17*Premissas!$B$30*(1+Premissas!$B$32)^(AK$6-2026)</f>
        <v>71806.32228</v>
      </c>
      <c r="AL20" s="110" t="n">
        <f aca="false">AL17*Premissas!$B$30*(1+Premissas!$B$32)^(AL$6-2026)</f>
        <v>93341.683194375</v>
      </c>
      <c r="AM20" s="110" t="n">
        <f aca="false">AM17*Premissas!$B$30*(1+Premissas!$B$32)^(AM$6-2026)</f>
        <v>98395.7938453875</v>
      </c>
      <c r="AN20" s="110" t="n">
        <f aca="false">AN17*Premissas!$B$30*(1+Premissas!$B$32)^(AN$6-2026)</f>
        <v>103040.111740912</v>
      </c>
      <c r="AO20" s="110" t="n">
        <f aca="false">AO17*Premissas!$B$30*(1+Premissas!$B$32)^(AO$6-2026)</f>
        <v>107274.63688095</v>
      </c>
      <c r="AP20" s="110" t="n">
        <f aca="false">AP17*Premissas!$B$30*(1+Premissas!$B$32)^(AP$6-2026)</f>
        <v>111099.3692655</v>
      </c>
      <c r="AQ20" s="110" t="n">
        <f aca="false">AQ17*Premissas!$B$30*(1+Premissas!$B$32)^(AQ$6-2026)</f>
        <v>114605.373951337</v>
      </c>
      <c r="AR20" s="110" t="n">
        <f aca="false">AR17*Premissas!$B$30*(1+Premissas!$B$32)^(AR$6-2026)</f>
        <v>117792.650938462</v>
      </c>
      <c r="AS20" s="110" t="n">
        <f aca="false">AS17*Premissas!$B$30*(1+Premissas!$B$32)^(AS$6-2026)</f>
        <v>120706.732755262</v>
      </c>
      <c r="AT20" s="110" t="n">
        <f aca="false">AT17*Premissas!$B$30*(1+Premissas!$B$32)^(AT$6-2026)</f>
        <v>123347.619401737</v>
      </c>
      <c r="AU20" s="110" t="n">
        <f aca="false">AU17*Premissas!$B$30*(1+Premissas!$B$32)^(AU$6-2026)</f>
        <v>125760.843406275</v>
      </c>
      <c r="AV20" s="110" t="n">
        <f aca="false">AV17*Premissas!$B$30*(1+Premissas!$B$32)^(AV$6-2026)</f>
        <v>127991.937297262</v>
      </c>
      <c r="AW20" s="110" t="n">
        <f aca="false">AW17*Premissas!$B$30*(1+Premissas!$B$32)^(AW$6-2026)</f>
        <v>129995.368546312</v>
      </c>
      <c r="AX20" s="110" t="n">
        <f aca="false">AX17*Premissas!$B$30*(1+Premissas!$B$32)^(AX$6-2026)</f>
        <v>167248.944959755</v>
      </c>
      <c r="AY20" s="110" t="n">
        <f aca="false">AY17*Premissas!$B$30*(1+Premissas!$B$32)^(AY$6-2026)</f>
        <v>175718.450565114</v>
      </c>
      <c r="AZ20" s="110" t="n">
        <f aca="false">AZ17*Premissas!$B$30*(1+Premissas!$B$32)^(AZ$6-2026)</f>
        <v>183474.233787999</v>
      </c>
      <c r="BA20" s="110" t="n">
        <f aca="false">BA17*Premissas!$B$30*(1+Premissas!$B$32)^(BA$6-2026)</f>
        <v>190611.45761274</v>
      </c>
      <c r="BB20" s="110" t="n">
        <f aca="false">BB17*Premissas!$B$30*(1+Premissas!$B$32)^(BB$6-2026)</f>
        <v>197082.540547171</v>
      </c>
      <c r="BC20" s="110" t="n">
        <f aca="false">BC17*Premissas!$B$30*(1+Premissas!$B$32)^(BC$6-2026)</f>
        <v>203030.227067788</v>
      </c>
      <c r="BD20" s="110" t="n">
        <f aca="false">BD17*Premissas!$B$30*(1+Premissas!$B$32)^(BD$6-2026)</f>
        <v>208454.517174591</v>
      </c>
      <c r="BE20" s="110" t="n">
        <f aca="false">BE17*Premissas!$B$30*(1+Premissas!$B$32)^(BE$6-2026)</f>
        <v>213450.57385191</v>
      </c>
      <c r="BF20" s="110" t="n">
        <f aca="false">BF17*Premissas!$B$30*(1+Premissas!$B$32)^(BF$6-2026)</f>
        <v>218018.397099744</v>
      </c>
      <c r="BG20" s="110" t="n">
        <f aca="false">BG17*Premissas!$B$30*(1+Premissas!$B$32)^(BG$6-2026)</f>
        <v>222205.568410258</v>
      </c>
      <c r="BH20" s="110" t="n">
        <f aca="false">BH17*Premissas!$B$30*(1+Premissas!$B$32)^(BH$6-2026)</f>
        <v>226012.087783453</v>
      </c>
      <c r="BI20" s="110" t="n">
        <f aca="false">BI17*Premissas!$B$30*(1+Premissas!$B$32)^(BI$6-2026)</f>
        <v>229485.536711493</v>
      </c>
      <c r="BJ20" s="111" t="n">
        <f aca="false">SUM(B20:BI20)</f>
        <v>4857900.22246579</v>
      </c>
    </row>
    <row r="21" customFormat="false" ht="15" hidden="false" customHeight="false" outlineLevel="0" collapsed="false">
      <c r="A21" s="27" t="s">
        <v>575</v>
      </c>
      <c r="B21" s="110" t="n">
        <f aca="false">B18*Premissas!$B$31*(1+Premissas!$B$32)^(B$6-2026)</f>
        <v>0</v>
      </c>
      <c r="C21" s="110" t="n">
        <f aca="false">C18*Premissas!$B$31*(1+Premissas!$B$32)^(C$6-2026)</f>
        <v>0</v>
      </c>
      <c r="D21" s="110" t="n">
        <f aca="false">D18*Premissas!$B$31*(1+Premissas!$B$32)^(D$6-2026)</f>
        <v>0</v>
      </c>
      <c r="E21" s="110" t="n">
        <f aca="false">E18*Premissas!$B$31*(1+Premissas!$B$32)^(E$6-2026)</f>
        <v>0</v>
      </c>
      <c r="F21" s="110" t="n">
        <f aca="false">F18*Premissas!$B$31*(1+Premissas!$B$32)^(F$6-2026)</f>
        <v>0</v>
      </c>
      <c r="G21" s="110" t="n">
        <f aca="false">G18*Premissas!$B$31*(1+Premissas!$B$32)^(G$6-2026)</f>
        <v>0</v>
      </c>
      <c r="H21" s="110" t="n">
        <f aca="false">H18*Premissas!$B$31*(1+Premissas!$B$32)^(H$6-2026)</f>
        <v>0</v>
      </c>
      <c r="I21" s="110" t="n">
        <f aca="false">I18*Premissas!$B$31*(1+Premissas!$B$32)^(I$6-2026)</f>
        <v>0</v>
      </c>
      <c r="J21" s="110" t="n">
        <f aca="false">J18*Premissas!$B$31*(1+Premissas!$B$32)^(J$6-2026)</f>
        <v>0</v>
      </c>
      <c r="K21" s="110" t="n">
        <f aca="false">K18*Premissas!$B$31*(1+Premissas!$B$32)^(K$6-2026)</f>
        <v>159.8</v>
      </c>
      <c r="L21" s="110" t="n">
        <f aca="false">L18*Premissas!$B$31*(1+Premissas!$B$32)^(L$6-2026)</f>
        <v>799</v>
      </c>
      <c r="M21" s="110" t="n">
        <f aca="false">M18*Premissas!$B$31*(1+Premissas!$B$32)^(M$6-2026)</f>
        <v>1757.8</v>
      </c>
      <c r="N21" s="110" t="n">
        <f aca="false">N18*Premissas!$B$31*(1+Premissas!$B$32)^(N$6-2026)</f>
        <v>4508.757</v>
      </c>
      <c r="O21" s="110" t="n">
        <f aca="false">O18*Premissas!$B$31*(1+Premissas!$B$32)^(O$6-2026)</f>
        <v>7180.613</v>
      </c>
      <c r="P21" s="110" t="n">
        <f aca="false">P18*Premissas!$B$31*(1+Premissas!$B$32)^(P$6-2026)</f>
        <v>10269.9465</v>
      </c>
      <c r="Q21" s="110" t="n">
        <f aca="false">Q18*Premissas!$B$31*(1+Premissas!$B$32)^(Q$6-2026)</f>
        <v>11689.37</v>
      </c>
      <c r="R21" s="110" t="n">
        <f aca="false">R18*Premissas!$B$31*(1+Premissas!$B$32)^(R$6-2026)</f>
        <v>13108.7935</v>
      </c>
      <c r="S21" s="110" t="n">
        <f aca="false">S18*Premissas!$B$31*(1+Premissas!$B$32)^(S$6-2026)</f>
        <v>14277.7305</v>
      </c>
      <c r="T21" s="110" t="n">
        <f aca="false">T18*Premissas!$B$31*(1+Premissas!$B$32)^(T$6-2026)</f>
        <v>15446.6675</v>
      </c>
      <c r="U21" s="110" t="n">
        <f aca="false">U18*Premissas!$B$31*(1+Premissas!$B$32)^(U$6-2026)</f>
        <v>16365.118</v>
      </c>
      <c r="V21" s="110" t="n">
        <f aca="false">V18*Premissas!$B$31*(1+Premissas!$B$32)^(V$6-2026)</f>
        <v>17283.5685</v>
      </c>
      <c r="W21" s="110" t="n">
        <f aca="false">W18*Premissas!$B$31*(1+Premissas!$B$32)^(W$6-2026)</f>
        <v>18118.5235</v>
      </c>
      <c r="X21" s="110" t="n">
        <f aca="false">X18*Premissas!$B$31*(1+Premissas!$B$32)^(X$6-2026)</f>
        <v>18786.4875</v>
      </c>
      <c r="Y21" s="110" t="n">
        <f aca="false">Y18*Premissas!$B$31*(1+Premissas!$B$32)^(Y$6-2026)</f>
        <v>19454.4515</v>
      </c>
      <c r="Z21" s="110" t="n">
        <f aca="false">Z18*Premissas!$B$31*(1+Premissas!$B$32)^(Z$6-2026)</f>
        <v>31847.2710875</v>
      </c>
      <c r="AA21" s="110" t="n">
        <f aca="false">AA18*Premissas!$B$31*(1+Premissas!$B$32)^(AA$6-2026)</f>
        <v>34115.8438225</v>
      </c>
      <c r="AB21" s="110" t="n">
        <f aca="false">AB18*Premissas!$B$31*(1+Premissas!$B$32)^(AB$6-2026)</f>
        <v>36122.658165</v>
      </c>
      <c r="AC21" s="110" t="n">
        <f aca="false">AC18*Premissas!$B$31*(1+Premissas!$B$32)^(AC$6-2026)</f>
        <v>37954.9669125</v>
      </c>
      <c r="AD21" s="110" t="n">
        <f aca="false">AD18*Premissas!$B$31*(1+Premissas!$B$32)^(AD$6-2026)</f>
        <v>39700.0228625</v>
      </c>
      <c r="AE21" s="110" t="n">
        <f aca="false">AE18*Premissas!$B$31*(1+Premissas!$B$32)^(AE$6-2026)</f>
        <v>41183.32042</v>
      </c>
      <c r="AF21" s="110" t="n">
        <f aca="false">AF18*Premissas!$B$31*(1+Premissas!$B$32)^(AF$6-2026)</f>
        <v>42666.6179775</v>
      </c>
      <c r="AG21" s="110" t="n">
        <f aca="false">AG18*Premissas!$B$31*(1+Premissas!$B$32)^(AG$6-2026)</f>
        <v>43888.1571425</v>
      </c>
      <c r="AH21" s="110" t="n">
        <f aca="false">AH18*Premissas!$B$31*(1+Premissas!$B$32)^(AH$6-2026)</f>
        <v>45109.6963075</v>
      </c>
      <c r="AI21" s="110" t="n">
        <f aca="false">AI18*Premissas!$B$31*(1+Premissas!$B$32)^(AI$6-2026)</f>
        <v>46156.7298775</v>
      </c>
      <c r="AJ21" s="110" t="n">
        <f aca="false">AJ18*Premissas!$B$31*(1+Premissas!$B$32)^(AJ$6-2026)</f>
        <v>47029.2578525</v>
      </c>
      <c r="AK21" s="110" t="n">
        <f aca="false">AK18*Premissas!$B$31*(1+Premissas!$B$32)^(AK$6-2026)</f>
        <v>47901.7858275</v>
      </c>
      <c r="AL21" s="110" t="n">
        <f aca="false">AL18*Premissas!$B$31*(1+Premissas!$B$32)^(AL$6-2026)</f>
        <v>71849.18862935</v>
      </c>
      <c r="AM21" s="110" t="n">
        <f aca="false">AM18*Premissas!$B$31*(1+Premissas!$B$32)^(AM$6-2026)</f>
        <v>75861.0722584</v>
      </c>
      <c r="AN21" s="110" t="n">
        <f aca="false">AN18*Premissas!$B$31*(1+Premissas!$B$32)^(AN$6-2026)</f>
        <v>79325.880847125</v>
      </c>
      <c r="AO21" s="110" t="n">
        <f aca="false">AO18*Premissas!$B$31*(1+Premissas!$B$32)^(AO$6-2026)</f>
        <v>82608.331089075</v>
      </c>
      <c r="AP21" s="110" t="n">
        <f aca="false">AP18*Premissas!$B$31*(1+Premissas!$B$32)^(AP$6-2026)</f>
        <v>85526.064637475</v>
      </c>
      <c r="AQ21" s="110" t="n">
        <f aca="false">AQ18*Premissas!$B$31*(1+Premissas!$B$32)^(AQ$6-2026)</f>
        <v>88261.4398391</v>
      </c>
      <c r="AR21" s="110" t="n">
        <f aca="false">AR18*Premissas!$B$31*(1+Premissas!$B$32)^(AR$6-2026)</f>
        <v>90723.2775205625</v>
      </c>
      <c r="AS21" s="110" t="n">
        <f aca="false">AS18*Premissas!$B$31*(1+Premissas!$B$32)^(AS$6-2026)</f>
        <v>93002.75685525</v>
      </c>
      <c r="AT21" s="110" t="n">
        <f aca="false">AT18*Premissas!$B$31*(1+Premissas!$B$32)^(AT$6-2026)</f>
        <v>95008.698669775</v>
      </c>
      <c r="AU21" s="110" t="n">
        <f aca="false">AU18*Premissas!$B$31*(1+Premissas!$B$32)^(AU$6-2026)</f>
        <v>96923.4613109125</v>
      </c>
      <c r="AV21" s="110" t="n">
        <f aca="false">AV18*Premissas!$B$31*(1+Premissas!$B$32)^(AV$6-2026)</f>
        <v>98564.6864318875</v>
      </c>
      <c r="AW21" s="110" t="n">
        <f aca="false">AW18*Premissas!$B$31*(1+Premissas!$B$32)^(AW$6-2026)</f>
        <v>100114.732379475</v>
      </c>
      <c r="AX21" s="110" t="n">
        <f aca="false">AX18*Premissas!$B$31*(1+Premissas!$B$32)^(AX$6-2026)</f>
        <v>143590.329938236</v>
      </c>
      <c r="AY21" s="110" t="n">
        <f aca="false">AY18*Premissas!$B$31*(1+Premissas!$B$32)^(AY$6-2026)</f>
        <v>150831.779888671</v>
      </c>
      <c r="AZ21" s="110" t="n">
        <f aca="false">AZ18*Premissas!$B$31*(1+Premissas!$B$32)^(AZ$6-2026)</f>
        <v>157501.536421967</v>
      </c>
      <c r="BA21" s="110" t="n">
        <f aca="false">BA18*Premissas!$B$31*(1+Premissas!$B$32)^(BA$6-2026)</f>
        <v>163504.317301933</v>
      </c>
      <c r="BB21" s="110" t="n">
        <f aca="false">BB18*Premissas!$B$31*(1+Premissas!$B$32)^(BB$6-2026)</f>
        <v>169221.251473329</v>
      </c>
      <c r="BC21" s="110" t="n">
        <f aca="false">BC18*Premissas!$B$31*(1+Premissas!$B$32)^(BC$6-2026)</f>
        <v>174271.209991396</v>
      </c>
      <c r="BD21" s="110" t="n">
        <f aca="false">BD18*Premissas!$B$31*(1+Premissas!$B$32)^(BD$6-2026)</f>
        <v>178940.039564703</v>
      </c>
      <c r="BE21" s="110" t="n">
        <f aca="false">BE18*Premissas!$B$31*(1+Premissas!$B$32)^(BE$6-2026)</f>
        <v>183227.74019325</v>
      </c>
      <c r="BF21" s="110" t="n">
        <f aca="false">BF18*Premissas!$B$31*(1+Premissas!$B$32)^(BF$6-2026)</f>
        <v>187134.311877037</v>
      </c>
      <c r="BG21" s="110" t="n">
        <f aca="false">BG18*Premissas!$B$31*(1+Premissas!$B$32)^(BG$6-2026)</f>
        <v>190659.754616065</v>
      </c>
      <c r="BH21" s="110" t="n">
        <f aca="false">BH18*Premissas!$B$31*(1+Premissas!$B$32)^(BH$6-2026)</f>
        <v>193899.350646523</v>
      </c>
      <c r="BI21" s="110" t="n">
        <f aca="false">BI18*Premissas!$B$31*(1+Premissas!$B$32)^(BI$6-2026)</f>
        <v>196948.382204601</v>
      </c>
      <c r="BJ21" s="111" t="n">
        <f aca="false">SUM(B21:BI21)</f>
        <v>3810382.5498411</v>
      </c>
    </row>
    <row r="22" customFormat="false" ht="15" hidden="false" customHeight="false" outlineLevel="0" collapsed="false">
      <c r="A22" s="51" t="s">
        <v>576</v>
      </c>
      <c r="B22" s="144" t="n">
        <f aca="false">SUM(B19:B21)</f>
        <v>0</v>
      </c>
      <c r="C22" s="144" t="n">
        <f aca="false">SUM(C19:C21)</f>
        <v>0</v>
      </c>
      <c r="D22" s="144" t="n">
        <f aca="false">SUM(D19:D21)</f>
        <v>0</v>
      </c>
      <c r="E22" s="144" t="n">
        <f aca="false">SUM(E19:E21)</f>
        <v>0</v>
      </c>
      <c r="F22" s="144" t="n">
        <f aca="false">SUM(F19:F21)</f>
        <v>0</v>
      </c>
      <c r="G22" s="144" t="n">
        <f aca="false">SUM(G19:G21)</f>
        <v>0</v>
      </c>
      <c r="H22" s="144" t="n">
        <f aca="false">SUM(H19:H21)</f>
        <v>0</v>
      </c>
      <c r="I22" s="144" t="n">
        <f aca="false">SUM(I19:I21)</f>
        <v>0</v>
      </c>
      <c r="J22" s="144" t="n">
        <f aca="false">SUM(J19:J21)</f>
        <v>0</v>
      </c>
      <c r="K22" s="144" t="n">
        <f aca="false">SUM(K19:K21)</f>
        <v>1414.6</v>
      </c>
      <c r="L22" s="144" t="n">
        <f aca="false">SUM(L19:L21)</f>
        <v>5519.4</v>
      </c>
      <c r="M22" s="144" t="n">
        <f aca="false">SUM(M19:M21)</f>
        <v>11855.9</v>
      </c>
      <c r="N22" s="144" t="n">
        <f aca="false">SUM(N19:N21)</f>
        <v>26323.2365</v>
      </c>
      <c r="O22" s="144" t="n">
        <f aca="false">SUM(O19:O21)</f>
        <v>41734.0605</v>
      </c>
      <c r="P22" s="144" t="n">
        <f aca="false">SUM(P19:P21)</f>
        <v>59643.8975</v>
      </c>
      <c r="Q22" s="144" t="n">
        <f aca="false">SUM(Q19:Q21)</f>
        <v>68223.7655</v>
      </c>
      <c r="R22" s="144" t="n">
        <f aca="false">SUM(R19:R21)</f>
        <v>76095.9595</v>
      </c>
      <c r="S22" s="144" t="n">
        <f aca="false">SUM(S19:S21)</f>
        <v>83113.9705</v>
      </c>
      <c r="T22" s="144" t="n">
        <f aca="false">SUM(T19:T21)</f>
        <v>89549.185</v>
      </c>
      <c r="U22" s="144" t="n">
        <f aca="false">SUM(U19:U21)</f>
        <v>95275.994</v>
      </c>
      <c r="V22" s="144" t="n">
        <f aca="false">SUM(V19:V21)</f>
        <v>100503.1885</v>
      </c>
      <c r="W22" s="144" t="n">
        <f aca="false">SUM(W19:W21)</f>
        <v>105251.4595</v>
      </c>
      <c r="X22" s="144" t="n">
        <f aca="false">SUM(X19:X21)</f>
        <v>109458.0025</v>
      </c>
      <c r="Y22" s="144" t="n">
        <f aca="false">SUM(Y19:Y21)</f>
        <v>113310.7085</v>
      </c>
      <c r="Z22" s="144" t="n">
        <f aca="false">SUM(Z19:Z21)</f>
        <v>146794.80541</v>
      </c>
      <c r="AA22" s="144" t="n">
        <f aca="false">SUM(AA19:AA21)</f>
        <v>157264.5950975</v>
      </c>
      <c r="AB22" s="144" t="n">
        <f aca="false">SUM(AB19:AB21)</f>
        <v>166732.99786</v>
      </c>
      <c r="AC22" s="144" t="n">
        <f aca="false">SUM(AC19:AC21)</f>
        <v>175352.56959</v>
      </c>
      <c r="AD22" s="144" t="n">
        <f aca="false">SUM(AD19:AD21)</f>
        <v>183210.4538825</v>
      </c>
      <c r="AE22" s="144" t="n">
        <f aca="false">SUM(AE19:AE21)</f>
        <v>190262.7513325</v>
      </c>
      <c r="AF22" s="144" t="n">
        <f aca="false">SUM(AF19:AF21)</f>
        <v>196792.95163</v>
      </c>
      <c r="AG22" s="144" t="n">
        <f aca="false">SUM(AG19:AG21)</f>
        <v>202626.330775</v>
      </c>
      <c r="AH22" s="144" t="n">
        <f aca="false">SUM(AH19:AH21)</f>
        <v>207981.0753625</v>
      </c>
      <c r="AI22" s="144" t="n">
        <f aca="false">SUM(AI19:AI21)</f>
        <v>212813.2859875</v>
      </c>
      <c r="AJ22" s="144" t="n">
        <f aca="false">SUM(AJ19:AJ21)</f>
        <v>217144.6939475</v>
      </c>
      <c r="AK22" s="144" t="n">
        <f aca="false">SUM(AK19:AK21)</f>
        <v>221149.8048375</v>
      </c>
      <c r="AL22" s="144" t="n">
        <f aca="false">SUM(AL19:AL21)</f>
        <v>279781.52473205</v>
      </c>
      <c r="AM22" s="144" t="n">
        <f aca="false">SUM(AM19:AM21)</f>
        <v>295069.841425287</v>
      </c>
      <c r="AN22" s="144" t="n">
        <f aca="false">SUM(AN19:AN21)</f>
        <v>308856.269381412</v>
      </c>
      <c r="AO22" s="144" t="n">
        <f aca="false">SUM(AO19:AO21)</f>
        <v>321550.94370575</v>
      </c>
      <c r="AP22" s="144" t="n">
        <f aca="false">SUM(AP19:AP21)</f>
        <v>333016.9244633</v>
      </c>
      <c r="AQ22" s="144" t="n">
        <f aca="false">SUM(AQ19:AQ21)</f>
        <v>343550.3442635</v>
      </c>
      <c r="AR22" s="144" t="n">
        <f aca="false">SUM(AR19:AR21)</f>
        <v>353128.151550625</v>
      </c>
      <c r="AS22" s="144" t="n">
        <f aca="false">SUM(AS19:AS21)</f>
        <v>361887.05802645</v>
      </c>
      <c r="AT22" s="144" t="n">
        <f aca="false">SUM(AT19:AT21)</f>
        <v>369804.01213525</v>
      </c>
      <c r="AU22" s="144" t="n">
        <f aca="false">SUM(AU19:AU21)</f>
        <v>377084.1955463</v>
      </c>
      <c r="AV22" s="144" t="n">
        <f aca="false">SUM(AV19:AV21)</f>
        <v>383658.910058875</v>
      </c>
      <c r="AW22" s="144" t="n">
        <f aca="false">SUM(AW19:AW21)</f>
        <v>389687.69069725</v>
      </c>
      <c r="AX22" s="144" t="n">
        <f aca="false">SUM(AX19:AX21)</f>
        <v>489582.07188615</v>
      </c>
      <c r="AY22" s="144" t="n">
        <f aca="false">SUM(AY19:AY21)</f>
        <v>514382.046460328</v>
      </c>
      <c r="AZ22" s="144" t="n">
        <f aca="false">SUM(AZ19:AZ21)</f>
        <v>537089.747149709</v>
      </c>
      <c r="BA22" s="144" t="n">
        <f aca="false">SUM(BA19:BA21)</f>
        <v>557823.710303196</v>
      </c>
      <c r="BB22" s="144" t="n">
        <f aca="false">SUM(BB19:BB21)</f>
        <v>576941.214493535</v>
      </c>
      <c r="BC22" s="144" t="n">
        <f aca="false">SUM(BC19:BC21)</f>
        <v>594298.799733072</v>
      </c>
      <c r="BD22" s="144" t="n">
        <f aca="false">SUM(BD19:BD21)</f>
        <v>610206.043850529</v>
      </c>
      <c r="BE22" s="144" t="n">
        <f aca="false">SUM(BE19:BE21)</f>
        <v>624805.572070541</v>
      </c>
      <c r="BF22" s="144" t="n">
        <f aca="false">SUM(BF19:BF21)</f>
        <v>638144.846633412</v>
      </c>
      <c r="BG22" s="144" t="n">
        <f aca="false">SUM(BG19:BG21)</f>
        <v>650318.911271613</v>
      </c>
      <c r="BH22" s="144" t="n">
        <f aca="false">SUM(BH19:BH21)</f>
        <v>661446.779341485</v>
      </c>
      <c r="BI22" s="144" t="n">
        <f aca="false">SUM(BI19:BI21)</f>
        <v>671695.045691536</v>
      </c>
      <c r="BJ22" s="111" t="n">
        <f aca="false">SUM(B22:BI22)</f>
        <v>14509210.2985837</v>
      </c>
    </row>
    <row r="23" customFormat="false" ht="15" hidden="false" customHeight="false" outlineLevel="0" collapsed="false">
      <c r="A23" s="27" t="s">
        <v>577</v>
      </c>
      <c r="B23" s="110" t="n">
        <f aca="false">B13*INDEX(Premissas!$C$68:$G$68,B$7)*Premissas!$B$67*Premissas!$B$66</f>
        <v>0</v>
      </c>
      <c r="C23" s="110" t="n">
        <f aca="false">C13*INDEX(Premissas!$C$68:$G$68,C$7)*Premissas!$B$67*Premissas!$B$66</f>
        <v>0</v>
      </c>
      <c r="D23" s="110" t="n">
        <f aca="false">D13*INDEX(Premissas!$C$68:$G$68,D$7)*Premissas!$B$67*Premissas!$B$66</f>
        <v>0</v>
      </c>
      <c r="E23" s="110" t="n">
        <f aca="false">E13*INDEX(Premissas!$C$68:$G$68,E$7)*Premissas!$B$67*Premissas!$B$66</f>
        <v>0</v>
      </c>
      <c r="F23" s="110" t="n">
        <f aca="false">F13*INDEX(Premissas!$C$68:$G$68,F$7)*Premissas!$B$67*Premissas!$B$66</f>
        <v>0</v>
      </c>
      <c r="G23" s="110" t="n">
        <f aca="false">G13*INDEX(Premissas!$C$68:$G$68,G$7)*Premissas!$B$67*Premissas!$B$66</f>
        <v>0</v>
      </c>
      <c r="H23" s="110" t="n">
        <f aca="false">H13*INDEX(Premissas!$C$68:$G$68,H$7)*Premissas!$B$67*Premissas!$B$66</f>
        <v>0</v>
      </c>
      <c r="I23" s="110" t="n">
        <f aca="false">I13*INDEX(Premissas!$C$68:$G$68,I$7)*Premissas!$B$67*Premissas!$B$66</f>
        <v>0</v>
      </c>
      <c r="J23" s="110" t="n">
        <f aca="false">J13*INDEX(Premissas!$C$68:$G$68,J$7)*Premissas!$B$67*Premissas!$B$66</f>
        <v>0</v>
      </c>
      <c r="K23" s="110" t="n">
        <f aca="false">K13*INDEX(Premissas!$C$68:$G$68,K$7)*Premissas!$B$67*Premissas!$B$66</f>
        <v>0</v>
      </c>
      <c r="L23" s="110" t="n">
        <f aca="false">L13*INDEX(Premissas!$C$68:$G$68,L$7)*Premissas!$B$67*Premissas!$B$66</f>
        <v>0</v>
      </c>
      <c r="M23" s="110" t="n">
        <f aca="false">M13*INDEX(Premissas!$C$68:$G$68,M$7)*Premissas!$B$67*Premissas!$B$66</f>
        <v>0</v>
      </c>
      <c r="N23" s="110" t="n">
        <f aca="false">N13*INDEX(Premissas!$C$68:$G$68,N$7)*Premissas!$B$67*Premissas!$B$66</f>
        <v>2194.986276</v>
      </c>
      <c r="O23" s="110" t="n">
        <f aca="false">O13*INDEX(Premissas!$C$68:$G$68,O$7)*Premissas!$B$67*Premissas!$B$66</f>
        <v>2782.477593504</v>
      </c>
      <c r="P23" s="110" t="n">
        <f aca="false">P13*INDEX(Premissas!$C$68:$G$68,P$7)*Premissas!$B$67*Premissas!$B$66</f>
        <v>3313.56974452762</v>
      </c>
      <c r="Q23" s="110" t="n">
        <f aca="false">Q13*INDEX(Premissas!$C$68:$G$68,Q$7)*Premissas!$B$67*Premissas!$B$66</f>
        <v>3793.67704905296</v>
      </c>
      <c r="R23" s="110" t="n">
        <f aca="false">R13*INDEX(Premissas!$C$68:$G$68,R$7)*Premissas!$B$67*Premissas!$B$66</f>
        <v>4227.69405234388</v>
      </c>
      <c r="S23" s="110" t="n">
        <f aca="false">S13*INDEX(Premissas!$C$68:$G$68,S$7)*Premissas!$B$67*Premissas!$B$66</f>
        <v>4620.04542331887</v>
      </c>
      <c r="T23" s="110" t="n">
        <f aca="false">T13*INDEX(Premissas!$C$68:$G$68,T$7)*Premissas!$B$67*Premissas!$B$66</f>
        <v>4974.73106268026</v>
      </c>
      <c r="U23" s="110" t="n">
        <f aca="false">U13*INDEX(Premissas!$C$68:$G$68,U$7)*Premissas!$B$67*Premissas!$B$66</f>
        <v>5295.36688066295</v>
      </c>
      <c r="V23" s="110" t="n">
        <f aca="false">V13*INDEX(Premissas!$C$68:$G$68,V$7)*Premissas!$B$67*Premissas!$B$66</f>
        <v>5585.22166011931</v>
      </c>
      <c r="W23" s="110" t="n">
        <f aca="false">W13*INDEX(Premissas!$C$68:$G$68,W$7)*Premissas!$B$67*Premissas!$B$66</f>
        <v>5847.25038074785</v>
      </c>
      <c r="X23" s="110" t="n">
        <f aca="false">X13*INDEX(Premissas!$C$68:$G$68,X$7)*Premissas!$B$67*Premissas!$B$66</f>
        <v>6084.12434419606</v>
      </c>
      <c r="Y23" s="110" t="n">
        <f aca="false">Y13*INDEX(Premissas!$C$68:$G$68,Y$7)*Premissas!$B$67*Premissas!$B$66</f>
        <v>6298.25840715324</v>
      </c>
      <c r="Z23" s="110" t="n">
        <f aca="false">Z13*INDEX(Premissas!$C$68:$G$68,Z$7)*Premissas!$B$67*Premissas!$B$66</f>
        <v>11392.1748539167</v>
      </c>
      <c r="AA23" s="110" t="n">
        <f aca="false">AA13*INDEX(Premissas!$C$68:$G$68,AA$7)*Premissas!$B$67*Premissas!$B$66</f>
        <v>12204.7620193797</v>
      </c>
      <c r="AB23" s="110" t="n">
        <f aca="false">AB13*INDEX(Premissas!$C$68:$G$68,AB$7)*Premissas!$B$67*Premissas!$B$66</f>
        <v>12942.4611516737</v>
      </c>
      <c r="AC23" s="110" t="n">
        <f aca="false">AC13*INDEX(Premissas!$C$68:$G$68,AC$7)*Premissas!$B$67*Premissas!$B$66</f>
        <v>13612.1739319354</v>
      </c>
      <c r="AD23" s="110" t="n">
        <f aca="false">AD13*INDEX(Premissas!$C$68:$G$68,AD$7)*Premissas!$B$67*Premissas!$B$66</f>
        <v>14220.1659823683</v>
      </c>
      <c r="AE23" s="110" t="n">
        <f aca="false">AE13*INDEX(Premissas!$C$68:$G$68,AE$7)*Premissas!$B$67*Premissas!$B$66</f>
        <v>14772.1254854332</v>
      </c>
      <c r="AF23" s="110" t="n">
        <f aca="false">AF13*INDEX(Premissas!$C$68:$G$68,AF$7)*Premissas!$B$67*Premissas!$B$66</f>
        <v>15273.2164006957</v>
      </c>
      <c r="AG23" s="110" t="n">
        <f aca="false">AG13*INDEX(Premissas!$C$68:$G$68,AG$7)*Premissas!$B$67*Premissas!$B$66</f>
        <v>15728.1267772076</v>
      </c>
      <c r="AH23" s="110" t="n">
        <f aca="false">AH13*INDEX(Premissas!$C$68:$G$68,AH$7)*Premissas!$B$67*Premissas!$B$66</f>
        <v>16141.1126134201</v>
      </c>
      <c r="AI23" s="110" t="n">
        <f aca="false">AI13*INDEX(Premissas!$C$68:$G$68,AI$7)*Premissas!$B$67*Premissas!$B$66</f>
        <v>16516.0376749673</v>
      </c>
      <c r="AJ23" s="110" t="n">
        <f aca="false">AJ13*INDEX(Premissas!$C$68:$G$68,AJ$7)*Premissas!$B$67*Premissas!$B$66</f>
        <v>16856.4096428423</v>
      </c>
      <c r="AK23" s="110" t="n">
        <f aca="false">AK13*INDEX(Premissas!$C$68:$G$68,AK$7)*Premissas!$B$67*Premissas!$B$66</f>
        <v>17165.412930158</v>
      </c>
      <c r="AL23" s="110" t="n">
        <f aca="false">AL13*INDEX(Premissas!$C$68:$G$68,AL$7)*Premissas!$B$67*Premissas!$B$66</f>
        <v>29206.7408843846</v>
      </c>
      <c r="AM23" s="110" t="n">
        <f aca="false">AM13*INDEX(Premissas!$C$68:$G$68,AM$7)*Premissas!$B$67*Premissas!$B$66</f>
        <v>30794.6929740759</v>
      </c>
      <c r="AN23" s="110" t="n">
        <f aca="false">AN13*INDEX(Premissas!$C$68:$G$68,AN$7)*Premissas!$B$67*Premissas!$B$66</f>
        <v>32242.1532257647</v>
      </c>
      <c r="AO23" s="110" t="n">
        <f aca="false">AO13*INDEX(Premissas!$C$68:$G$68,AO$7)*Premissas!$B$67*Premissas!$B$66</f>
        <v>33561.5514581297</v>
      </c>
      <c r="AP23" s="110" t="n">
        <f aca="false">AP13*INDEX(Premissas!$C$68:$G$68,AP$7)*Premissas!$B$67*Premissas!$B$66</f>
        <v>34764.2177790437</v>
      </c>
      <c r="AQ23" s="110" t="n">
        <f aca="false">AQ13*INDEX(Premissas!$C$68:$G$68,AQ$7)*Premissas!$B$67*Premissas!$B$66</f>
        <v>35860.4798809477</v>
      </c>
      <c r="AR23" s="110" t="n">
        <f aca="false">AR13*INDEX(Premissas!$C$68:$G$68,AR$7)*Premissas!$B$67*Premissas!$B$66</f>
        <v>36859.7517281527</v>
      </c>
      <c r="AS23" s="110" t="n">
        <f aca="false">AS13*INDEX(Premissas!$C$68:$G$68,AS$7)*Premissas!$B$67*Premissas!$B$66</f>
        <v>37770.6143976568</v>
      </c>
      <c r="AT23" s="110" t="n">
        <f aca="false">AT13*INDEX(Premissas!$C$68:$G$68,AT$7)*Premissas!$B$67*Premissas!$B$66</f>
        <v>38600.8897676843</v>
      </c>
      <c r="AU23" s="110" t="n">
        <f aca="false">AU13*INDEX(Premissas!$C$68:$G$68,AU$7)*Premissas!$B$67*Premissas!$B$66</f>
        <v>39357.7076867341</v>
      </c>
      <c r="AV23" s="110" t="n">
        <f aca="false">AV13*INDEX(Premissas!$C$68:$G$68,AV$7)*Premissas!$B$67*Premissas!$B$66</f>
        <v>40047.567199941</v>
      </c>
      <c r="AW23" s="110" t="n">
        <f aca="false">AW13*INDEX(Premissas!$C$68:$G$68,AW$7)*Premissas!$B$67*Premissas!$B$66</f>
        <v>40676.3923585203</v>
      </c>
      <c r="AX23" s="110" t="n">
        <f aca="false">AX13*INDEX(Premissas!$C$68:$G$68,AX$7)*Premissas!$B$67*Premissas!$B$66</f>
        <v>53827.9070077855</v>
      </c>
      <c r="AY23" s="110" t="n">
        <f aca="false">AY13*INDEX(Premissas!$C$68:$G$68,AY$7)*Premissas!$B$67*Premissas!$B$66</f>
        <v>56557.0130428792</v>
      </c>
      <c r="AZ23" s="110" t="n">
        <f aca="false">AZ13*INDEX(Premissas!$C$68:$G$68,AZ$7)*Premissas!$B$67*Premissas!$B$66</f>
        <v>59054.3233956948</v>
      </c>
      <c r="BA23" s="110" t="n">
        <f aca="false">BA13*INDEX(Premissas!$C$68:$G$68,BA$7)*Premissas!$B$67*Premissas!$B$66</f>
        <v>61339.5255527687</v>
      </c>
      <c r="BB23" s="110" t="n">
        <f aca="false">BB13*INDEX(Premissas!$C$68:$G$68,BB$7)*Premissas!$B$67*Premissas!$B$66</f>
        <v>63430.6348507411</v>
      </c>
      <c r="BC23" s="110" t="n">
        <f aca="false">BC13*INDEX(Premissas!$C$68:$G$68,BC$7)*Premissas!$B$67*Premissas!$B$66</f>
        <v>65344.1364998318</v>
      </c>
      <c r="BD23" s="110" t="n">
        <f aca="false">BD13*INDEX(Premissas!$C$68:$G$68,BD$7)*Premissas!$B$67*Premissas!$B$66</f>
        <v>67095.1155446015</v>
      </c>
      <c r="BE23" s="110" t="n">
        <f aca="false">BE13*INDEX(Premissas!$C$68:$G$68,BE$7)*Premissas!$B$67*Premissas!$B$66</f>
        <v>68697.3757865405</v>
      </c>
      <c r="BF23" s="110" t="n">
        <f aca="false">BF13*INDEX(Premissas!$C$68:$G$68,BF$7)*Premissas!$B$67*Premissas!$B$66</f>
        <v>70163.548606008</v>
      </c>
      <c r="BG23" s="110" t="n">
        <f aca="false">BG13*INDEX(Premissas!$C$68:$G$68,BG$7)*Premissas!$B$67*Premissas!$B$66</f>
        <v>71505.1925414174</v>
      </c>
      <c r="BH23" s="110" t="n">
        <f aca="false">BH13*INDEX(Premissas!$C$68:$G$68,BH$7)*Premissas!$B$67*Premissas!$B$66</f>
        <v>72732.8844106984</v>
      </c>
      <c r="BI23" s="110" t="n">
        <f aca="false">BI13*INDEX(Premissas!$C$68:$G$68,BI$7)*Premissas!$B$67*Premissas!$B$66</f>
        <v>73856.3026933879</v>
      </c>
      <c r="BJ23" s="111" t="n">
        <f aca="false">SUM(B23:BI23)</f>
        <v>1445188.3016117</v>
      </c>
    </row>
    <row r="24" customFormat="false" ht="15" hidden="false" customHeight="false" outlineLevel="0" collapsed="false">
      <c r="A24" s="27" t="s">
        <v>578</v>
      </c>
      <c r="B24" s="110" t="n">
        <f aca="false">Aportes!B100</f>
        <v>0</v>
      </c>
      <c r="C24" s="110" t="n">
        <f aca="false">Aportes!C100</f>
        <v>0</v>
      </c>
      <c r="D24" s="110" t="n">
        <f aca="false">Aportes!D100</f>
        <v>0</v>
      </c>
      <c r="E24" s="110" t="n">
        <f aca="false">Aportes!E100</f>
        <v>0</v>
      </c>
      <c r="F24" s="110" t="n">
        <f aca="false">Aportes!F100</f>
        <v>0</v>
      </c>
      <c r="G24" s="110" t="n">
        <f aca="false">Aportes!G100</f>
        <v>0</v>
      </c>
      <c r="H24" s="110" t="n">
        <f aca="false">Aportes!H100</f>
        <v>0</v>
      </c>
      <c r="I24" s="110" t="n">
        <f aca="false">Aportes!I100</f>
        <v>0</v>
      </c>
      <c r="J24" s="110" t="n">
        <f aca="false">Aportes!J100</f>
        <v>0</v>
      </c>
      <c r="K24" s="110" t="n">
        <f aca="false">Aportes!K100</f>
        <v>0</v>
      </c>
      <c r="L24" s="110" t="n">
        <f aca="false">Aportes!L100</f>
        <v>0</v>
      </c>
      <c r="M24" s="110" t="n">
        <f aca="false">Aportes!M100</f>
        <v>0</v>
      </c>
      <c r="N24" s="110" t="n">
        <f aca="false">Aportes!N100</f>
        <v>0</v>
      </c>
      <c r="O24" s="110" t="n">
        <f aca="false">Aportes!O100</f>
        <v>0</v>
      </c>
      <c r="P24" s="110" t="n">
        <f aca="false">Aportes!P100</f>
        <v>0</v>
      </c>
      <c r="Q24" s="110" t="n">
        <f aca="false">Aportes!Q100</f>
        <v>0</v>
      </c>
      <c r="R24" s="110" t="n">
        <f aca="false">Aportes!R100</f>
        <v>0</v>
      </c>
      <c r="S24" s="110" t="n">
        <f aca="false">Aportes!S100</f>
        <v>0</v>
      </c>
      <c r="T24" s="110" t="n">
        <f aca="false">Aportes!T100</f>
        <v>0</v>
      </c>
      <c r="U24" s="110" t="n">
        <f aca="false">Aportes!U100</f>
        <v>0</v>
      </c>
      <c r="V24" s="110" t="n">
        <f aca="false">Aportes!V100</f>
        <v>0</v>
      </c>
      <c r="W24" s="110" t="n">
        <f aca="false">Aportes!W100</f>
        <v>0</v>
      </c>
      <c r="X24" s="110" t="n">
        <f aca="false">Aportes!X100</f>
        <v>0</v>
      </c>
      <c r="Y24" s="110" t="n">
        <f aca="false">Aportes!Y100</f>
        <v>0</v>
      </c>
      <c r="Z24" s="110" t="n">
        <f aca="false">Aportes!Z100</f>
        <v>0</v>
      </c>
      <c r="AA24" s="110" t="n">
        <f aca="false">Aportes!AA100</f>
        <v>0</v>
      </c>
      <c r="AB24" s="110" t="n">
        <f aca="false">Aportes!AB100</f>
        <v>0</v>
      </c>
      <c r="AC24" s="110" t="n">
        <f aca="false">Aportes!AC100</f>
        <v>0</v>
      </c>
      <c r="AD24" s="110" t="n">
        <f aca="false">Aportes!AD100</f>
        <v>0</v>
      </c>
      <c r="AE24" s="110" t="n">
        <f aca="false">Aportes!AE100</f>
        <v>0</v>
      </c>
      <c r="AF24" s="110" t="n">
        <f aca="false">Aportes!AF100</f>
        <v>0</v>
      </c>
      <c r="AG24" s="110" t="n">
        <f aca="false">Aportes!AG100</f>
        <v>0</v>
      </c>
      <c r="AH24" s="110" t="n">
        <f aca="false">Aportes!AH100</f>
        <v>0</v>
      </c>
      <c r="AI24" s="110" t="n">
        <f aca="false">Aportes!AI100</f>
        <v>0</v>
      </c>
      <c r="AJ24" s="110" t="n">
        <f aca="false">Aportes!AJ100</f>
        <v>0</v>
      </c>
      <c r="AK24" s="110" t="n">
        <f aca="false">Aportes!AK100</f>
        <v>0</v>
      </c>
      <c r="AL24" s="110" t="n">
        <f aca="false">Aportes!AL100</f>
        <v>0</v>
      </c>
      <c r="AM24" s="110" t="n">
        <f aca="false">Aportes!AM100</f>
        <v>0</v>
      </c>
      <c r="AN24" s="110" t="n">
        <f aca="false">Aportes!AN100</f>
        <v>0</v>
      </c>
      <c r="AO24" s="110" t="n">
        <f aca="false">Aportes!AO100</f>
        <v>0</v>
      </c>
      <c r="AP24" s="110" t="n">
        <f aca="false">Aportes!AP100</f>
        <v>0</v>
      </c>
      <c r="AQ24" s="110" t="n">
        <f aca="false">Aportes!AQ100</f>
        <v>0</v>
      </c>
      <c r="AR24" s="110" t="n">
        <f aca="false">Aportes!AR100</f>
        <v>0</v>
      </c>
      <c r="AS24" s="110" t="n">
        <f aca="false">Aportes!AS100</f>
        <v>0</v>
      </c>
      <c r="AT24" s="110" t="n">
        <f aca="false">Aportes!AT100</f>
        <v>0</v>
      </c>
      <c r="AU24" s="110" t="n">
        <f aca="false">Aportes!AU100</f>
        <v>0</v>
      </c>
      <c r="AV24" s="110" t="n">
        <f aca="false">Aportes!AV100</f>
        <v>0</v>
      </c>
      <c r="AW24" s="110" t="n">
        <f aca="false">Aportes!AW100</f>
        <v>0</v>
      </c>
      <c r="AX24" s="110" t="n">
        <f aca="false">Aportes!AX100</f>
        <v>0</v>
      </c>
      <c r="AY24" s="110" t="n">
        <f aca="false">Aportes!AY100</f>
        <v>0</v>
      </c>
      <c r="AZ24" s="110" t="n">
        <f aca="false">Aportes!AZ100</f>
        <v>0</v>
      </c>
      <c r="BA24" s="110" t="n">
        <f aca="false">Aportes!BA100</f>
        <v>0</v>
      </c>
      <c r="BB24" s="110" t="n">
        <f aca="false">Aportes!BB100</f>
        <v>0</v>
      </c>
      <c r="BC24" s="110" t="n">
        <f aca="false">Aportes!BC100</f>
        <v>0</v>
      </c>
      <c r="BD24" s="110" t="n">
        <f aca="false">Aportes!BD100</f>
        <v>0</v>
      </c>
      <c r="BE24" s="110" t="n">
        <f aca="false">Aportes!BE100</f>
        <v>0</v>
      </c>
      <c r="BF24" s="110" t="n">
        <f aca="false">Aportes!BF100</f>
        <v>0</v>
      </c>
      <c r="BG24" s="110" t="n">
        <f aca="false">Aportes!BG100</f>
        <v>0</v>
      </c>
      <c r="BH24" s="110" t="n">
        <f aca="false">Aportes!BH100</f>
        <v>0</v>
      </c>
      <c r="BI24" s="110" t="n">
        <f aca="false">Aportes!BI100</f>
        <v>0</v>
      </c>
      <c r="BJ24" s="111" t="n">
        <f aca="false">SUM(B24:BI24)</f>
        <v>0</v>
      </c>
    </row>
    <row r="25" customFormat="false" ht="15" hidden="false" customHeight="false" outlineLevel="0" collapsed="false">
      <c r="A25" s="51" t="s">
        <v>524</v>
      </c>
      <c r="B25" s="111" t="n">
        <f aca="false">SUM(B22:B24)</f>
        <v>0</v>
      </c>
      <c r="C25" s="111" t="n">
        <f aca="false">SUM(C22:C24)</f>
        <v>0</v>
      </c>
      <c r="D25" s="111" t="n">
        <f aca="false">SUM(D22:D24)</f>
        <v>0</v>
      </c>
      <c r="E25" s="111" t="n">
        <f aca="false">SUM(E22:E24)</f>
        <v>0</v>
      </c>
      <c r="F25" s="111" t="n">
        <f aca="false">SUM(F22:F24)</f>
        <v>0</v>
      </c>
      <c r="G25" s="111" t="n">
        <f aca="false">SUM(G22:G24)</f>
        <v>0</v>
      </c>
      <c r="H25" s="111" t="n">
        <f aca="false">SUM(H22:H24)</f>
        <v>0</v>
      </c>
      <c r="I25" s="111" t="n">
        <f aca="false">SUM(I22:I24)</f>
        <v>0</v>
      </c>
      <c r="J25" s="111" t="n">
        <f aca="false">SUM(J22:J24)</f>
        <v>0</v>
      </c>
      <c r="K25" s="111" t="n">
        <f aca="false">SUM(K22:K24)</f>
        <v>1414.6</v>
      </c>
      <c r="L25" s="111" t="n">
        <f aca="false">SUM(L22:L24)</f>
        <v>5519.4</v>
      </c>
      <c r="M25" s="111" t="n">
        <f aca="false">SUM(M22:M24)</f>
        <v>11855.9</v>
      </c>
      <c r="N25" s="111" t="n">
        <f aca="false">SUM(N22:N24)</f>
        <v>28518.222776</v>
      </c>
      <c r="O25" s="111" t="n">
        <f aca="false">SUM(O22:O24)</f>
        <v>44516.538093504</v>
      </c>
      <c r="P25" s="111" t="n">
        <f aca="false">SUM(P22:P24)</f>
        <v>62957.4672445276</v>
      </c>
      <c r="Q25" s="111" t="n">
        <f aca="false">SUM(Q22:Q24)</f>
        <v>72017.4425490529</v>
      </c>
      <c r="R25" s="111" t="n">
        <f aca="false">SUM(R22:R24)</f>
        <v>80323.6535523439</v>
      </c>
      <c r="S25" s="111" t="n">
        <f aca="false">SUM(S22:S24)</f>
        <v>87734.0159233189</v>
      </c>
      <c r="T25" s="111" t="n">
        <f aca="false">SUM(T22:T24)</f>
        <v>94523.9160626803</v>
      </c>
      <c r="U25" s="111" t="n">
        <f aca="false">SUM(U22:U24)</f>
        <v>100571.360880663</v>
      </c>
      <c r="V25" s="111" t="n">
        <f aca="false">SUM(V22:V24)</f>
        <v>106088.410160119</v>
      </c>
      <c r="W25" s="111" t="n">
        <f aca="false">SUM(W22:W24)</f>
        <v>111098.709880748</v>
      </c>
      <c r="X25" s="111" t="n">
        <f aca="false">SUM(X22:X24)</f>
        <v>115542.126844196</v>
      </c>
      <c r="Y25" s="111" t="n">
        <f aca="false">SUM(Y22:Y24)</f>
        <v>119608.966907153</v>
      </c>
      <c r="Z25" s="111" t="n">
        <f aca="false">SUM(Z22:Z24)</f>
        <v>158186.980263917</v>
      </c>
      <c r="AA25" s="111" t="n">
        <f aca="false">SUM(AA22:AA24)</f>
        <v>169469.35711688</v>
      </c>
      <c r="AB25" s="111" t="n">
        <f aca="false">SUM(AB22:AB24)</f>
        <v>179675.459011674</v>
      </c>
      <c r="AC25" s="111" t="n">
        <f aca="false">SUM(AC22:AC24)</f>
        <v>188964.743521935</v>
      </c>
      <c r="AD25" s="111" t="n">
        <f aca="false">SUM(AD22:AD24)</f>
        <v>197430.619864868</v>
      </c>
      <c r="AE25" s="111" t="n">
        <f aca="false">SUM(AE22:AE24)</f>
        <v>205034.876817933</v>
      </c>
      <c r="AF25" s="111" t="n">
        <f aca="false">SUM(AF22:AF24)</f>
        <v>212066.168030696</v>
      </c>
      <c r="AG25" s="111" t="n">
        <f aca="false">SUM(AG22:AG24)</f>
        <v>218354.457552208</v>
      </c>
      <c r="AH25" s="111" t="n">
        <f aca="false">SUM(AH22:AH24)</f>
        <v>224122.18797592</v>
      </c>
      <c r="AI25" s="111" t="n">
        <f aca="false">SUM(AI22:AI24)</f>
        <v>229329.323662467</v>
      </c>
      <c r="AJ25" s="111" t="n">
        <f aca="false">SUM(AJ22:AJ24)</f>
        <v>234001.103590342</v>
      </c>
      <c r="AK25" s="111" t="n">
        <f aca="false">SUM(AK22:AK24)</f>
        <v>238315.217767658</v>
      </c>
      <c r="AL25" s="111" t="n">
        <f aca="false">SUM(AL22:AL24)</f>
        <v>308988.265616435</v>
      </c>
      <c r="AM25" s="111" t="n">
        <f aca="false">SUM(AM22:AM24)</f>
        <v>325864.534399363</v>
      </c>
      <c r="AN25" s="111" t="n">
        <f aca="false">SUM(AN22:AN24)</f>
        <v>341098.422607177</v>
      </c>
      <c r="AO25" s="111" t="n">
        <f aca="false">SUM(AO22:AO24)</f>
        <v>355112.49516388</v>
      </c>
      <c r="AP25" s="111" t="n">
        <f aca="false">SUM(AP22:AP24)</f>
        <v>367781.142242344</v>
      </c>
      <c r="AQ25" s="111" t="n">
        <f aca="false">SUM(AQ22:AQ24)</f>
        <v>379410.824144448</v>
      </c>
      <c r="AR25" s="111" t="n">
        <f aca="false">SUM(AR22:AR24)</f>
        <v>389987.903278778</v>
      </c>
      <c r="AS25" s="111" t="n">
        <f aca="false">SUM(AS22:AS24)</f>
        <v>399657.672424107</v>
      </c>
      <c r="AT25" s="111" t="n">
        <f aca="false">SUM(AT22:AT24)</f>
        <v>408404.901902934</v>
      </c>
      <c r="AU25" s="111" t="n">
        <f aca="false">SUM(AU22:AU24)</f>
        <v>416441.903233034</v>
      </c>
      <c r="AV25" s="111" t="n">
        <f aca="false">SUM(AV22:AV24)</f>
        <v>423706.477258816</v>
      </c>
      <c r="AW25" s="111" t="n">
        <f aca="false">SUM(AW22:AW24)</f>
        <v>430364.08305577</v>
      </c>
      <c r="AX25" s="111" t="n">
        <f aca="false">SUM(AX22:AX24)</f>
        <v>543409.978893936</v>
      </c>
      <c r="AY25" s="111" t="n">
        <f aca="false">SUM(AY22:AY24)</f>
        <v>570939.059503207</v>
      </c>
      <c r="AZ25" s="111" t="n">
        <f aca="false">SUM(AZ22:AZ24)</f>
        <v>596144.070545404</v>
      </c>
      <c r="BA25" s="111" t="n">
        <f aca="false">SUM(BA22:BA24)</f>
        <v>619163.235855965</v>
      </c>
      <c r="BB25" s="111" t="n">
        <f aca="false">SUM(BB22:BB24)</f>
        <v>640371.849344276</v>
      </c>
      <c r="BC25" s="111" t="n">
        <f aca="false">SUM(BC22:BC24)</f>
        <v>659642.936232904</v>
      </c>
      <c r="BD25" s="111" t="n">
        <f aca="false">SUM(BD22:BD24)</f>
        <v>677301.159395131</v>
      </c>
      <c r="BE25" s="111" t="n">
        <f aca="false">SUM(BE22:BE24)</f>
        <v>693502.947857082</v>
      </c>
      <c r="BF25" s="111" t="n">
        <f aca="false">SUM(BF22:BF24)</f>
        <v>708308.39523942</v>
      </c>
      <c r="BG25" s="111" t="n">
        <f aca="false">SUM(BG22:BG24)</f>
        <v>721824.10381303</v>
      </c>
      <c r="BH25" s="111" t="n">
        <f aca="false">SUM(BH22:BH24)</f>
        <v>734179.663752183</v>
      </c>
      <c r="BI25" s="111" t="n">
        <f aca="false">SUM(BI22:BI24)</f>
        <v>745551.348384924</v>
      </c>
      <c r="BJ25" s="111" t="n">
        <f aca="false">SUM(B25:BI25)</f>
        <v>15954398.6001954</v>
      </c>
    </row>
    <row r="26" customFormat="false" ht="15" hidden="false" customHeight="false" outlineLevel="0" collapsed="false">
      <c r="A26" s="27" t="s">
        <v>579</v>
      </c>
      <c r="B26" s="110" t="n">
        <f aca="false">B25*12</f>
        <v>0</v>
      </c>
      <c r="C26" s="110" t="n">
        <f aca="false">SUM($B25:B25)/1*12</f>
        <v>0</v>
      </c>
      <c r="D26" s="110" t="n">
        <f aca="false">SUM($B25:C25)/2*12</f>
        <v>0</v>
      </c>
      <c r="E26" s="110" t="n">
        <f aca="false">SUM($B25:D25)/3*12</f>
        <v>0</v>
      </c>
      <c r="F26" s="110" t="n">
        <f aca="false">SUM($B25:E25)/4*12</f>
        <v>0</v>
      </c>
      <c r="G26" s="110" t="n">
        <f aca="false">SUM($B25:F25)/5*12</f>
        <v>0</v>
      </c>
      <c r="H26" s="110" t="n">
        <f aca="false">SUM($B25:G25)/6*12</f>
        <v>0</v>
      </c>
      <c r="I26" s="110" t="n">
        <f aca="false">SUM($B25:H25)/7*12</f>
        <v>0</v>
      </c>
      <c r="J26" s="110" t="n">
        <f aca="false">SUM($B25:I25)/8*12</f>
        <v>0</v>
      </c>
      <c r="K26" s="110" t="n">
        <f aca="false">SUM($B25:J25)/9*12</f>
        <v>0</v>
      </c>
      <c r="L26" s="110" t="n">
        <f aca="false">SUM($B25:K25)/10*12</f>
        <v>1697.52</v>
      </c>
      <c r="M26" s="110" t="n">
        <f aca="false">SUM($B25:L25)/11*12</f>
        <v>7564.36363636364</v>
      </c>
      <c r="N26" s="110" t="n">
        <f aca="false">SUM(B25:M25)</f>
        <v>18789.9</v>
      </c>
      <c r="O26" s="110" t="n">
        <f aca="false">SUM(C25:N25)</f>
        <v>47308.122776</v>
      </c>
      <c r="P26" s="110" t="n">
        <f aca="false">SUM(D25:O25)</f>
        <v>91824.660869504</v>
      </c>
      <c r="Q26" s="110" t="n">
        <f aca="false">SUM(E25:P25)</f>
        <v>154782.128114032</v>
      </c>
      <c r="R26" s="110" t="n">
        <f aca="false">SUM(F25:Q25)</f>
        <v>226799.570663085</v>
      </c>
      <c r="S26" s="110" t="n">
        <f aca="false">SUM(G25:R25)</f>
        <v>307123.224215428</v>
      </c>
      <c r="T26" s="110" t="n">
        <f aca="false">SUM(H25:S25)</f>
        <v>394857.240138747</v>
      </c>
      <c r="U26" s="110" t="n">
        <f aca="false">SUM(I25:T25)</f>
        <v>489381.156201428</v>
      </c>
      <c r="V26" s="110" t="n">
        <f aca="false">SUM(J25:U25)</f>
        <v>589952.517082091</v>
      </c>
      <c r="W26" s="110" t="n">
        <f aca="false">SUM(K25:V25)</f>
        <v>696040.92724221</v>
      </c>
      <c r="X26" s="110" t="n">
        <f aca="false">SUM(L25:W25)</f>
        <v>805725.037122958</v>
      </c>
      <c r="Y26" s="110" t="n">
        <f aca="false">SUM(M25:X25)</f>
        <v>915747.763967154</v>
      </c>
      <c r="Z26" s="110" t="n">
        <f aca="false">SUM(N25:Y25)</f>
        <v>1023500.83087431</v>
      </c>
      <c r="AA26" s="110" t="n">
        <f aca="false">SUM(O25:Z25)</f>
        <v>1153169.58836222</v>
      </c>
      <c r="AB26" s="110" t="n">
        <f aca="false">SUM(P25:AA25)</f>
        <v>1278122.4073856</v>
      </c>
      <c r="AC26" s="110" t="n">
        <f aca="false">SUM(Q25:AB25)</f>
        <v>1394840.39915275</v>
      </c>
      <c r="AD26" s="110" t="n">
        <f aca="false">SUM(R25:AC25)</f>
        <v>1511787.70012563</v>
      </c>
      <c r="AE26" s="110" t="n">
        <f aca="false">SUM(S25:AD25)</f>
        <v>1628894.66643815</v>
      </c>
      <c r="AF26" s="110" t="n">
        <f aca="false">SUM(T25:AE25)</f>
        <v>1746195.52733277</v>
      </c>
      <c r="AG26" s="110" t="n">
        <f aca="false">SUM(U25:AF25)</f>
        <v>1863737.77930078</v>
      </c>
      <c r="AH26" s="110" t="n">
        <f aca="false">SUM(V25:AG25)</f>
        <v>1981520.87597233</v>
      </c>
      <c r="AI26" s="110" t="n">
        <f aca="false">SUM(W25:AH25)</f>
        <v>2099554.65378813</v>
      </c>
      <c r="AJ26" s="110" t="n">
        <f aca="false">SUM(X25:AI25)</f>
        <v>2217785.26756985</v>
      </c>
      <c r="AK26" s="110" t="n">
        <f aca="false">SUM(Y25:AJ25)</f>
        <v>2336244.24431599</v>
      </c>
      <c r="AL26" s="110" t="n">
        <f aca="false">SUM(Z25:AK25)</f>
        <v>2454950.4951765</v>
      </c>
      <c r="AM26" s="110" t="n">
        <f aca="false">SUM(AA25:AL25)</f>
        <v>2605751.78052902</v>
      </c>
      <c r="AN26" s="110" t="n">
        <f aca="false">SUM(AB25:AM25)</f>
        <v>2762146.9578115</v>
      </c>
      <c r="AO26" s="110" t="n">
        <f aca="false">SUM(AC25:AN25)</f>
        <v>2923569.921407</v>
      </c>
      <c r="AP26" s="110" t="n">
        <f aca="false">SUM(AD25:AO25)</f>
        <v>3089717.67304895</v>
      </c>
      <c r="AQ26" s="110" t="n">
        <f aca="false">SUM(AE25:AP25)</f>
        <v>3260068.19542642</v>
      </c>
      <c r="AR26" s="110" t="n">
        <f aca="false">SUM(AF25:AQ25)</f>
        <v>3434444.14275294</v>
      </c>
      <c r="AS26" s="110" t="n">
        <f aca="false">SUM(AG25:AR25)</f>
        <v>3612365.87800102</v>
      </c>
      <c r="AT26" s="110" t="n">
        <f aca="false">SUM(AH25:AS25)</f>
        <v>3793669.09287292</v>
      </c>
      <c r="AU26" s="110" t="n">
        <f aca="false">SUM(AI25:AT25)</f>
        <v>3977951.80679993</v>
      </c>
      <c r="AV26" s="110" t="n">
        <f aca="false">SUM(AJ25:AU25)</f>
        <v>4165064.3863705</v>
      </c>
      <c r="AW26" s="110" t="n">
        <f aca="false">SUM(AK25:AV25)</f>
        <v>4354769.76003897</v>
      </c>
      <c r="AX26" s="110" t="n">
        <f aca="false">SUM(AL25:AW25)</f>
        <v>4546818.62532708</v>
      </c>
      <c r="AY26" s="110" t="n">
        <f aca="false">SUM(AM25:AX25)</f>
        <v>4781240.33860459</v>
      </c>
      <c r="AZ26" s="110" t="n">
        <f aca="false">SUM(AN25:AY25)</f>
        <v>5026314.86370843</v>
      </c>
      <c r="BA26" s="110" t="n">
        <f aca="false">SUM(AO25:AZ25)</f>
        <v>5281360.51164666</v>
      </c>
      <c r="BB26" s="110" t="n">
        <f aca="false">SUM(AP25:BA25)</f>
        <v>5545411.25233874</v>
      </c>
      <c r="BC26" s="110" t="n">
        <f aca="false">SUM(AQ25:BB25)</f>
        <v>5818001.95944067</v>
      </c>
      <c r="BD26" s="110" t="n">
        <f aca="false">SUM(AR25:BC25)</f>
        <v>6098234.07152913</v>
      </c>
      <c r="BE26" s="110" t="n">
        <f aca="false">SUM(AS25:BD25)</f>
        <v>6385547.32764548</v>
      </c>
      <c r="BF26" s="110" t="n">
        <f aca="false">SUM(AT25:BE25)</f>
        <v>6679392.60307846</v>
      </c>
      <c r="BG26" s="110" t="n">
        <f aca="false">SUM(AU25:BF25)</f>
        <v>6979296.09641494</v>
      </c>
      <c r="BH26" s="110" t="n">
        <f aca="false">SUM(AV25:BG25)</f>
        <v>7284678.29699494</v>
      </c>
      <c r="BI26" s="110" t="n">
        <f aca="false">SUM(AW25:BH25)</f>
        <v>7595151.48348831</v>
      </c>
      <c r="BJ26" s="111" t="n">
        <f aca="false">BI26</f>
        <v>7595151.48348831</v>
      </c>
      <c r="BK26" s="29" t="s">
        <v>571</v>
      </c>
    </row>
    <row r="27" customFormat="false" ht="15" hidden="false" customHeight="false" outlineLevel="0" collapsed="false">
      <c r="A27" s="27" t="s">
        <v>527</v>
      </c>
      <c r="B27" s="168" t="n">
        <f aca="false">IF(Premissas!$B$23=3,Premissas!$B$24,IF(B26&gt;Premissas!$B$25,Premissas!$B$24,IFERROR(MAX(Tributos!$C$24,(INDEX(Tributos!$C$24:$C$29,MATCH(B26,Tributos!$B$24:$B$29,1))*B26-INDEX(Tributos!$D$24:$D$29,MATCH(B26,Tributos!$B$24:$B$29,1)))/B26),Tributos!$C$24)))</f>
        <v>0.155</v>
      </c>
      <c r="C27" s="168" t="n">
        <f aca="false">IF(Premissas!$B$23=3,Premissas!$B$24,IF(C26&gt;Premissas!$B$25,Premissas!$B$24,IFERROR(MAX(Tributos!$C$24,(INDEX(Tributos!$C$24:$C$29,MATCH(C26,Tributos!$B$24:$B$29,1))*C26-INDEX(Tributos!$D$24:$D$29,MATCH(C26,Tributos!$B$24:$B$29,1)))/C26),Tributos!$C$24)))</f>
        <v>0.155</v>
      </c>
      <c r="D27" s="168" t="n">
        <f aca="false">IF(Premissas!$B$23=3,Premissas!$B$24,IF(D26&gt;Premissas!$B$25,Premissas!$B$24,IFERROR(MAX(Tributos!$C$24,(INDEX(Tributos!$C$24:$C$29,MATCH(D26,Tributos!$B$24:$B$29,1))*D26-INDEX(Tributos!$D$24:$D$29,MATCH(D26,Tributos!$B$24:$B$29,1)))/D26),Tributos!$C$24)))</f>
        <v>0.155</v>
      </c>
      <c r="E27" s="168" t="n">
        <f aca="false">IF(Premissas!$B$23=3,Premissas!$B$24,IF(E26&gt;Premissas!$B$25,Premissas!$B$24,IFERROR(MAX(Tributos!$C$24,(INDEX(Tributos!$C$24:$C$29,MATCH(E26,Tributos!$B$24:$B$29,1))*E26-INDEX(Tributos!$D$24:$D$29,MATCH(E26,Tributos!$B$24:$B$29,1)))/E26),Tributos!$C$24)))</f>
        <v>0.155</v>
      </c>
      <c r="F27" s="168" t="n">
        <f aca="false">IF(Premissas!$B$23=3,Premissas!$B$24,IF(F26&gt;Premissas!$B$25,Premissas!$B$24,IFERROR(MAX(Tributos!$C$24,(INDEX(Tributos!$C$24:$C$29,MATCH(F26,Tributos!$B$24:$B$29,1))*F26-INDEX(Tributos!$D$24:$D$29,MATCH(F26,Tributos!$B$24:$B$29,1)))/F26),Tributos!$C$24)))</f>
        <v>0.155</v>
      </c>
      <c r="G27" s="168" t="n">
        <f aca="false">IF(Premissas!$B$23=3,Premissas!$B$24,IF(G26&gt;Premissas!$B$25,Premissas!$B$24,IFERROR(MAX(Tributos!$C$24,(INDEX(Tributos!$C$24:$C$29,MATCH(G26,Tributos!$B$24:$B$29,1))*G26-INDEX(Tributos!$D$24:$D$29,MATCH(G26,Tributos!$B$24:$B$29,1)))/G26),Tributos!$C$24)))</f>
        <v>0.155</v>
      </c>
      <c r="H27" s="168" t="n">
        <f aca="false">IF(Premissas!$B$23=3,Premissas!$B$24,IF(H26&gt;Premissas!$B$25,Premissas!$B$24,IFERROR(MAX(Tributos!$C$24,(INDEX(Tributos!$C$24:$C$29,MATCH(H26,Tributos!$B$24:$B$29,1))*H26-INDEX(Tributos!$D$24:$D$29,MATCH(H26,Tributos!$B$24:$B$29,1)))/H26),Tributos!$C$24)))</f>
        <v>0.155</v>
      </c>
      <c r="I27" s="168" t="n">
        <f aca="false">IF(Premissas!$B$23=3,Premissas!$B$24,IF(I26&gt;Premissas!$B$25,Premissas!$B$24,IFERROR(MAX(Tributos!$C$24,(INDEX(Tributos!$C$24:$C$29,MATCH(I26,Tributos!$B$24:$B$29,1))*I26-INDEX(Tributos!$D$24:$D$29,MATCH(I26,Tributos!$B$24:$B$29,1)))/I26),Tributos!$C$24)))</f>
        <v>0.155</v>
      </c>
      <c r="J27" s="168" t="n">
        <f aca="false">IF(Premissas!$B$23=3,Premissas!$B$24,IF(J26&gt;Premissas!$B$25,Premissas!$B$24,IFERROR(MAX(Tributos!$C$24,(INDEX(Tributos!$C$24:$C$29,MATCH(J26,Tributos!$B$24:$B$29,1))*J26-INDEX(Tributos!$D$24:$D$29,MATCH(J26,Tributos!$B$24:$B$29,1)))/J26),Tributos!$C$24)))</f>
        <v>0.155</v>
      </c>
      <c r="K27" s="168" t="n">
        <f aca="false">IF(Premissas!$B$23=3,Premissas!$B$24,IF(K26&gt;Premissas!$B$25,Premissas!$B$24,IFERROR(MAX(Tributos!$C$24,(INDEX(Tributos!$C$24:$C$29,MATCH(K26,Tributos!$B$24:$B$29,1))*K26-INDEX(Tributos!$D$24:$D$29,MATCH(K26,Tributos!$B$24:$B$29,1)))/K26),Tributos!$C$24)))</f>
        <v>0.155</v>
      </c>
      <c r="L27" s="168" t="n">
        <f aca="false">IF(Premissas!$B$23=3,Premissas!$B$24,IF(L26&gt;Premissas!$B$25,Premissas!$B$24,IFERROR(MAX(Tributos!$C$24,(INDEX(Tributos!$C$24:$C$29,MATCH(L26,Tributos!$B$24:$B$29,1))*L26-INDEX(Tributos!$D$24:$D$29,MATCH(L26,Tributos!$B$24:$B$29,1)))/L26),Tributos!$C$24)))</f>
        <v>0.155</v>
      </c>
      <c r="M27" s="168" t="n">
        <f aca="false">IF(Premissas!$B$23=3,Premissas!$B$24,IF(M26&gt;Premissas!$B$25,Premissas!$B$24,IFERROR(MAX(Tributos!$C$24,(INDEX(Tributos!$C$24:$C$29,MATCH(M26,Tributos!$B$24:$B$29,1))*M26-INDEX(Tributos!$D$24:$D$29,MATCH(M26,Tributos!$B$24:$B$29,1)))/M26),Tributos!$C$24)))</f>
        <v>0.155</v>
      </c>
      <c r="N27" s="168" t="n">
        <f aca="false">IF(Premissas!$B$23=3,Premissas!$B$24,IF(N26&gt;Premissas!$B$25,Premissas!$B$24,IFERROR(MAX(Tributos!$C$24,(INDEX(Tributos!$C$24:$C$29,MATCH(N26,Tributos!$B$24:$B$29,1))*N26-INDEX(Tributos!$D$24:$D$29,MATCH(N26,Tributos!$B$24:$B$29,1)))/N26),Tributos!$C$24)))</f>
        <v>0.155</v>
      </c>
      <c r="O27" s="168" t="n">
        <f aca="false">IF(Premissas!$B$23=3,Premissas!$B$24,IF(O26&gt;Premissas!$B$25,Premissas!$B$24,IFERROR(MAX(Tributos!$C$24,(INDEX(Tributos!$C$24:$C$29,MATCH(O26,Tributos!$B$24:$B$29,1))*O26-INDEX(Tributos!$D$24:$D$29,MATCH(O26,Tributos!$B$24:$B$29,1)))/O26),Tributos!$C$24)))</f>
        <v>0.155</v>
      </c>
      <c r="P27" s="168" t="n">
        <f aca="false">IF(Premissas!$B$23=3,Premissas!$B$24,IF(P26&gt;Premissas!$B$25,Premissas!$B$24,IFERROR(MAX(Tributos!$C$24,(INDEX(Tributos!$C$24:$C$29,MATCH(P26,Tributos!$B$24:$B$29,1))*P26-INDEX(Tributos!$D$24:$D$29,MATCH(P26,Tributos!$B$24:$B$29,1)))/P26),Tributos!$C$24)))</f>
        <v>0.155</v>
      </c>
      <c r="Q27" s="168" t="n">
        <f aca="false">IF(Premissas!$B$23=3,Premissas!$B$24,IF(Q26&gt;Premissas!$B$25,Premissas!$B$24,IFERROR(MAX(Tributos!$C$24,(INDEX(Tributos!$C$24:$C$29,MATCH(Q26,Tributos!$B$24:$B$29,1))*Q26-INDEX(Tributos!$D$24:$D$29,MATCH(Q26,Tributos!$B$24:$B$29,1)))/Q26),Tributos!$C$24)))</f>
        <v>0.155</v>
      </c>
      <c r="R27" s="168" t="n">
        <f aca="false">IF(Premissas!$B$23=3,Premissas!$B$24,IF(R26&gt;Premissas!$B$25,Premissas!$B$24,IFERROR(MAX(Tributos!$C$24,(INDEX(Tributos!$C$24:$C$29,MATCH(R26,Tributos!$B$24:$B$29,1))*R26-INDEX(Tributos!$D$24:$D$29,MATCH(R26,Tributos!$B$24:$B$29,1)))/R26),Tributos!$C$24)))</f>
        <v>0.16015869259874</v>
      </c>
      <c r="S27" s="168" t="n">
        <f aca="false">IF(Premissas!$B$23=3,Premissas!$B$24,IF(S26&gt;Premissas!$B$25,Premissas!$B$24,IFERROR(MAX(Tributos!$C$24,(INDEX(Tributos!$C$24:$C$29,MATCH(S26,Tributos!$B$24:$B$29,1))*S26-INDEX(Tributos!$D$24:$D$29,MATCH(S26,Tributos!$B$24:$B$29,1)))/S26),Tributos!$C$24)))</f>
        <v>0.165347900630128</v>
      </c>
      <c r="T27" s="168" t="n">
        <f aca="false">IF(Premissas!$B$23=3,Premissas!$B$24,IF(T26&gt;Premissas!$B$25,Premissas!$B$24,IFERROR(MAX(Tributos!$C$24,(INDEX(Tributos!$C$24:$C$29,MATCH(T26,Tributos!$B$24:$B$29,1))*T26-INDEX(Tributos!$D$24:$D$29,MATCH(T26,Tributos!$B$24:$B$29,1)))/T26),Tributos!$C$24)))</f>
        <v>0.169927647276972</v>
      </c>
      <c r="U27" s="168" t="n">
        <f aca="false">IF(Premissas!$B$23=3,Premissas!$B$24,IF(U26&gt;Premissas!$B$25,Premissas!$B$24,IFERROR(MAX(Tributos!$C$24,(INDEX(Tributos!$C$24:$C$29,MATCH(U26,Tributos!$B$24:$B$29,1))*U26-INDEX(Tributos!$D$24:$D$29,MATCH(U26,Tributos!$B$24:$B$29,1)))/U26),Tributos!$C$24)))</f>
        <v>0.174770369425656</v>
      </c>
      <c r="V27" s="168" t="n">
        <f aca="false">IF(Premissas!$B$23=3,Premissas!$B$24,IF(V26&gt;Premissas!$B$25,Premissas!$B$24,IFERROR(MAX(Tributos!$C$24,(INDEX(Tributos!$C$24:$C$29,MATCH(V26,Tributos!$B$24:$B$29,1))*V26-INDEX(Tributos!$D$24:$D$29,MATCH(V26,Tributos!$B$24:$B$29,1)))/V26),Tributos!$C$24)))</f>
        <v>0.178218988455265</v>
      </c>
      <c r="W27" s="168" t="n">
        <f aca="false">IF(Premissas!$B$23=3,Premissas!$B$24,IF(W26&gt;Premissas!$B$25,Premissas!$B$24,IFERROR(MAX(Tributos!$C$24,(INDEX(Tributos!$C$24:$C$29,MATCH(W26,Tributos!$B$24:$B$29,1))*W26-INDEX(Tributos!$D$24:$D$29,MATCH(W26,Tributos!$B$24:$B$29,1)))/W26),Tributos!$C$24)))</f>
        <v>0.180776698449005</v>
      </c>
      <c r="X27" s="168" t="n">
        <f aca="false">IF(Premissas!$B$23=3,Premissas!$B$24,IF(X26&gt;Premissas!$B$25,Premissas!$B$24,IFERROR(MAX(Tributos!$C$24,(INDEX(Tributos!$C$24:$C$29,MATCH(X26,Tributos!$B$24:$B$29,1))*X26-INDEX(Tributos!$D$24:$D$29,MATCH(X26,Tributos!$B$24:$B$29,1)))/X26),Tributos!$C$24)))</f>
        <v>0.183776878944882</v>
      </c>
      <c r="Y27" s="168" t="n">
        <f aca="false">IF(Premissas!$B$23=3,Premissas!$B$24,IF(Y26&gt;Premissas!$B$25,Premissas!$B$24,IFERROR(MAX(Tributos!$C$24,(INDEX(Tributos!$C$24:$C$29,MATCH(Y26,Tributos!$B$24:$B$29,1))*Y26-INDEX(Tributos!$D$24:$D$29,MATCH(Y26,Tributos!$B$24:$B$29,1)))/Y26),Tributos!$C$24)))</f>
        <v>0.186326735731333</v>
      </c>
      <c r="Z27" s="168" t="n">
        <f aca="false">IF(Premissas!$B$23=3,Premissas!$B$24,IF(Z26&gt;Premissas!$B$25,Premissas!$B$24,IFERROR(MAX(Tributos!$C$24,(INDEX(Tributos!$C$24:$C$29,MATCH(Z26,Tributos!$B$24:$B$29,1))*Z26-INDEX(Tributos!$D$24:$D$29,MATCH(Z26,Tributos!$B$24:$B$29,1)))/Z26),Tributos!$C$24)))</f>
        <v>0.188292636914234</v>
      </c>
      <c r="AA27" s="168" t="n">
        <f aca="false">IF(Premissas!$B$23=3,Premissas!$B$24,IF(AA26&gt;Premissas!$B$25,Premissas!$B$24,IFERROR(MAX(Tributos!$C$24,(INDEX(Tributos!$C$24:$C$29,MATCH(AA26,Tributos!$B$24:$B$29,1))*AA26-INDEX(Tributos!$D$24:$D$29,MATCH(AA26,Tributos!$B$24:$B$29,1)))/AA26),Tributos!$C$24)))</f>
        <v>0.190171305094608</v>
      </c>
      <c r="AB27" s="168" t="n">
        <f aca="false">IF(Premissas!$B$23=3,Premissas!$B$24,IF(AB26&gt;Premissas!$B$25,Premissas!$B$24,IFERROR(MAX(Tributos!$C$24,(INDEX(Tributos!$C$24:$C$29,MATCH(AB26,Tributos!$B$24:$B$29,1))*AB26-INDEX(Tributos!$D$24:$D$29,MATCH(AB26,Tributos!$B$24:$B$29,1)))/AB26),Tributos!$C$24)))</f>
        <v>0.191620999756214</v>
      </c>
      <c r="AC27" s="168" t="n">
        <f aca="false">IF(Premissas!$B$23=3,Premissas!$B$24,IF(AC26&gt;Premissas!$B$25,Premissas!$B$24,IFERROR(MAX(Tributos!$C$24,(INDEX(Tributos!$C$24:$C$29,MATCH(AC26,Tributos!$B$24:$B$29,1))*AC26-INDEX(Tributos!$D$24:$D$29,MATCH(AC26,Tributos!$B$24:$B$29,1)))/AC26),Tributos!$C$24)))</f>
        <v>0.19274053288793</v>
      </c>
      <c r="AD27" s="168" t="n">
        <f aca="false">IF(Premissas!$B$23=3,Premissas!$B$24,IF(AD26&gt;Premissas!$B$25,Premissas!$B$24,IFERROR(MAX(Tributos!$C$24,(INDEX(Tributos!$C$24:$C$29,MATCH(AD26,Tributos!$B$24:$B$29,1))*AD26-INDEX(Tributos!$D$24:$D$29,MATCH(AD26,Tributos!$B$24:$B$29,1)))/AD26),Tributos!$C$24)))</f>
        <v>0.193688887997581</v>
      </c>
      <c r="AE27" s="168" t="n">
        <f aca="false">IF(Premissas!$B$23=3,Premissas!$B$24,IF(AE26&gt;Premissas!$B$25,Premissas!$B$24,IFERROR(MAX(Tributos!$C$24,(INDEX(Tributos!$C$24:$C$29,MATCH(AE26,Tributos!$B$24:$B$29,1))*AE26-INDEX(Tributos!$D$24:$D$29,MATCH(AE26,Tributos!$B$24:$B$29,1)))/AE26),Tributos!$C$24)))</f>
        <v>0.194502083620059</v>
      </c>
      <c r="AF27" s="168" t="n">
        <f aca="false">IF(Premissas!$B$23=3,Premissas!$B$24,IF(AF26&gt;Premissas!$B$25,Premissas!$B$24,IFERROR(MAX(Tributos!$C$24,(INDEX(Tributos!$C$24:$C$29,MATCH(AF26,Tributos!$B$24:$B$29,1))*AF26-INDEX(Tributos!$D$24:$D$29,MATCH(AF26,Tributos!$B$24:$B$29,1)))/AF26),Tributos!$C$24)))</f>
        <v>0.195207282213052</v>
      </c>
      <c r="AG27" s="168" t="n">
        <f aca="false">IF(Premissas!$B$23=3,Premissas!$B$24,IF(AG26&gt;Premissas!$B$25,Premissas!$B$24,IFERROR(MAX(Tributos!$C$24,(INDEX(Tributos!$C$24:$C$29,MATCH(AG26,Tributos!$B$24:$B$29,1))*AG26-INDEX(Tributos!$D$24:$D$29,MATCH(AG26,Tributos!$B$24:$B$29,1)))/AG26),Tributos!$C$24)))</f>
        <v>0.196679862001135</v>
      </c>
      <c r="AH27" s="168" t="n">
        <f aca="false">IF(Premissas!$B$23=3,Premissas!$B$24,IF(AH26&gt;Premissas!$B$25,Premissas!$B$24,IFERROR(MAX(Tributos!$C$24,(INDEX(Tributos!$C$24:$C$29,MATCH(AH26,Tributos!$B$24:$B$29,1))*AH26-INDEX(Tributos!$D$24:$D$29,MATCH(AH26,Tributos!$B$24:$B$29,1)))/AH26),Tributos!$C$24)))</f>
        <v>0.19866043615638</v>
      </c>
      <c r="AI27" s="168" t="n">
        <f aca="false">IF(Premissas!$B$23=3,Premissas!$B$24,IF(AI26&gt;Premissas!$B$25,Premissas!$B$24,IFERROR(MAX(Tributos!$C$24,(INDEX(Tributos!$C$24:$C$29,MATCH(AI26,Tributos!$B$24:$B$29,1))*AI26-INDEX(Tributos!$D$24:$D$29,MATCH(AI26,Tributos!$B$24:$B$29,1)))/AI26),Tributos!$C$24)))</f>
        <v>0.200422298896599</v>
      </c>
      <c r="AJ27" s="168" t="n">
        <f aca="false">IF(Premissas!$B$23=3,Premissas!$B$24,IF(AJ26&gt;Premissas!$B$25,Premissas!$B$24,IFERROR(MAX(Tributos!$C$24,(INDEX(Tributos!$C$24:$C$29,MATCH(AJ26,Tributos!$B$24:$B$29,1))*AJ26-INDEX(Tributos!$D$24:$D$29,MATCH(AJ26,Tributos!$B$24:$B$29,1)))/AJ26),Tributos!$C$24)))</f>
        <v>0.201999092559558</v>
      </c>
      <c r="AK27" s="168" t="n">
        <f aca="false">IF(Premissas!$B$23=3,Premissas!$B$24,IF(AK26&gt;Premissas!$B$25,Premissas!$B$24,IFERROR(MAX(Tributos!$C$24,(INDEX(Tributos!$C$24:$C$29,MATCH(AK26,Tributos!$B$24:$B$29,1))*AK26-INDEX(Tributos!$D$24:$D$29,MATCH(AK26,Tributos!$B$24:$B$29,1)))/AK26),Tributos!$C$24)))</f>
        <v>0.203418875123572</v>
      </c>
      <c r="AL27" s="168" t="n">
        <f aca="false">IF(Premissas!$B$23=3,Premissas!$B$24,IF(AL26&gt;Premissas!$B$25,Premissas!$B$24,IFERROR(MAX(Tributos!$C$24,(INDEX(Tributos!$C$24:$C$29,MATCH(AL26,Tributos!$B$24:$B$29,1))*AL26-INDEX(Tributos!$D$24:$D$29,MATCH(AL26,Tributos!$B$24:$B$29,1)))/AL26),Tributos!$C$24)))</f>
        <v>0.204704174229984</v>
      </c>
      <c r="AM27" s="168" t="n">
        <f aca="false">IF(Premissas!$B$23=3,Premissas!$B$24,IF(AM26&gt;Premissas!$B$25,Premissas!$B$24,IFERROR(MAX(Tributos!$C$24,(INDEX(Tributos!$C$24:$C$29,MATCH(AM26,Tributos!$B$24:$B$29,1))*AM26-INDEX(Tributos!$D$24:$D$29,MATCH(AM26,Tributos!$B$24:$B$29,1)))/AM26),Tributos!$C$24)))</f>
        <v>0.206168106085917</v>
      </c>
      <c r="AN27" s="168" t="n">
        <f aca="false">IF(Premissas!$B$23=3,Premissas!$B$24,IF(AN26&gt;Premissas!$B$25,Premissas!$B$24,IFERROR(MAX(Tributos!$C$24,(INDEX(Tributos!$C$24:$C$29,MATCH(AN26,Tributos!$B$24:$B$29,1))*AN26-INDEX(Tributos!$D$24:$D$29,MATCH(AN26,Tributos!$B$24:$B$29,1)))/AN26),Tributos!$C$24)))</f>
        <v>0.207517488769242</v>
      </c>
      <c r="AO27" s="168" t="n">
        <f aca="false">IF(Premissas!$B$23=3,Premissas!$B$24,IF(AO26&gt;Premissas!$B$25,Premissas!$B$24,IFERROR(MAX(Tributos!$C$24,(INDEX(Tributos!$C$24:$C$29,MATCH(AO26,Tributos!$B$24:$B$29,1))*AO26-INDEX(Tributos!$D$24:$D$29,MATCH(AO26,Tributos!$B$24:$B$29,1)))/AO26),Tributos!$C$24)))</f>
        <v>0.208758845634137</v>
      </c>
      <c r="AP27" s="168" t="n">
        <f aca="false">IF(Premissas!$B$23=3,Premissas!$B$24,IF(AP26&gt;Premissas!$B$25,Premissas!$B$24,IFERROR(MAX(Tributos!$C$24,(INDEX(Tributos!$C$24:$C$29,MATCH(AP26,Tributos!$B$24:$B$29,1))*AP26-INDEX(Tributos!$D$24:$D$29,MATCH(AP26,Tributos!$B$24:$B$29,1)))/AP26),Tributos!$C$24)))</f>
        <v>0.209901076223991</v>
      </c>
      <c r="AQ27" s="168" t="n">
        <f aca="false">IF(Premissas!$B$23=3,Premissas!$B$24,IF(AQ26&gt;Premissas!$B$25,Premissas!$B$24,IFERROR(MAX(Tributos!$C$24,(INDEX(Tributos!$C$24:$C$29,MATCH(AQ26,Tributos!$B$24:$B$29,1))*AQ26-INDEX(Tributos!$D$24:$D$29,MATCH(AQ26,Tributos!$B$24:$B$29,1)))/AQ26),Tributos!$C$24)))</f>
        <v>0.210951318721762</v>
      </c>
      <c r="AR27" s="168" t="n">
        <f aca="false">IF(Premissas!$B$23=3,Premissas!$B$24,IF(AR26&gt;Premissas!$B$25,Premissas!$B$24,IFERROR(MAX(Tributos!$C$24,(INDEX(Tributos!$C$24:$C$29,MATCH(AR26,Tributos!$B$24:$B$29,1))*AR26-INDEX(Tributos!$D$24:$D$29,MATCH(AR26,Tributos!$B$24:$B$29,1)))/AR26),Tributos!$C$24)))</f>
        <v>0.211918471397755</v>
      </c>
      <c r="AS27" s="168" t="n">
        <f aca="false">IF(Premissas!$B$23=3,Premissas!$B$24,IF(AS26&gt;Premissas!$B$25,Premissas!$B$24,IFERROR(MAX(Tributos!$C$24,(INDEX(Tributos!$C$24:$C$29,MATCH(AS26,Tributos!$B$24:$B$29,1))*AS26-INDEX(Tributos!$D$24:$D$29,MATCH(AS26,Tributos!$B$24:$B$29,1)))/AS26),Tributos!$C$24)))</f>
        <v>0.155513481126441</v>
      </c>
      <c r="AT27" s="168" t="n">
        <f aca="false">IF(Premissas!$B$23=3,Premissas!$B$24,IF(AT26&gt;Premissas!$B$25,Premissas!$B$24,IFERROR(MAX(Tributos!$C$24,(INDEX(Tributos!$C$24:$C$29,MATCH(AT26,Tributos!$B$24:$B$29,1))*AT26-INDEX(Tributos!$D$24:$D$29,MATCH(AT26,Tributos!$B$24:$B$29,1)))/AT26),Tributos!$C$24)))</f>
        <v>0.162657590374847</v>
      </c>
      <c r="AU27" s="168" t="n">
        <f aca="false">IF(Premissas!$B$23=3,Premissas!$B$24,IF(AU26&gt;Premissas!$B$25,Premissas!$B$24,IFERROR(MAX(Tributos!$C$24,(INDEX(Tributos!$C$24:$C$29,MATCH(AU26,Tributos!$B$24:$B$29,1))*AU26-INDEX(Tributos!$D$24:$D$29,MATCH(AU26,Tributos!$B$24:$B$29,1)))/AU26),Tributos!$C$24)))</f>
        <v>0.16925174908431</v>
      </c>
      <c r="AV27" s="168" t="n">
        <f aca="false">IF(Premissas!$B$23=3,Premissas!$B$24,IF(AV26&gt;Premissas!$B$25,Premissas!$B$24,IFERROR(MAX(Tributos!$C$24,(INDEX(Tributos!$C$24:$C$29,MATCH(AV26,Tributos!$B$24:$B$29,1))*AV26-INDEX(Tributos!$D$24:$D$29,MATCH(AV26,Tributos!$B$24:$B$29,1)))/AV26),Tributos!$C$24)))</f>
        <v>0.175350143501488</v>
      </c>
      <c r="AW27" s="168" t="n">
        <f aca="false">IF(Premissas!$B$23=3,Premissas!$B$24,IF(AW26&gt;Premissas!$B$25,Premissas!$B$24,IFERROR(MAX(Tributos!$C$24,(INDEX(Tributos!$C$24:$C$29,MATCH(AW26,Tributos!$B$24:$B$29,1))*AW26-INDEX(Tributos!$D$24:$D$29,MATCH(AW26,Tributos!$B$24:$B$29,1)))/AW26),Tributos!$C$24)))</f>
        <v>0.180998036691803</v>
      </c>
      <c r="AX27" s="168" t="n">
        <f aca="false">IF(Premissas!$B$23=3,Premissas!$B$24,IF(AX26&gt;Premissas!$B$25,Premissas!$B$24,IFERROR(MAX(Tributos!$C$24,(INDEX(Tributos!$C$24:$C$29,MATCH(AX26,Tributos!$B$24:$B$29,1))*AX26-INDEX(Tributos!$D$24:$D$29,MATCH(AX26,Tributos!$B$24:$B$29,1)))/AX26),Tributos!$C$24)))</f>
        <v>0.186235640895802</v>
      </c>
      <c r="AY27" s="168" t="n">
        <f aca="false">IF(Premissas!$B$23=3,Premissas!$B$24,IF(AY26&gt;Premissas!$B$25,Premissas!$B$24,IFERROR(MAX(Tributos!$C$24,(INDEX(Tributos!$C$24:$C$29,MATCH(AY26,Tributos!$B$24:$B$29,1))*AY26-INDEX(Tributos!$D$24:$D$29,MATCH(AY26,Tributos!$B$24:$B$29,1)))/AY26),Tributos!$C$24)))</f>
        <v>0.192058595310521</v>
      </c>
      <c r="AZ27" s="168" t="n">
        <f aca="false">IF(Premissas!$B$23=3,Premissas!$B$24,IF(AZ26&gt;Premissas!$B$25,Premissas!$B$24,IFERROR(MAX(Tributos!$C$24,(INDEX(Tributos!$C$24:$C$29,MATCH(AZ26,Tributos!$B$24:$B$29,1))*AZ26-INDEX(Tributos!$D$24:$D$29,MATCH(AZ26,Tributos!$B$24:$B$29,1)))/AZ26),Tributos!$C$24)))</f>
        <v>0.1633</v>
      </c>
      <c r="BA27" s="168" t="n">
        <f aca="false">IF(Premissas!$B$23=3,Premissas!$B$24,IF(BA26&gt;Premissas!$B$25,Premissas!$B$24,IFERROR(MAX(Tributos!$C$24,(INDEX(Tributos!$C$24:$C$29,MATCH(BA26,Tributos!$B$24:$B$29,1))*BA26-INDEX(Tributos!$D$24:$D$29,MATCH(BA26,Tributos!$B$24:$B$29,1)))/BA26),Tributos!$C$24)))</f>
        <v>0.1633</v>
      </c>
      <c r="BB27" s="168" t="n">
        <f aca="false">IF(Premissas!$B$23=3,Premissas!$B$24,IF(BB26&gt;Premissas!$B$25,Premissas!$B$24,IFERROR(MAX(Tributos!$C$24,(INDEX(Tributos!$C$24:$C$29,MATCH(BB26,Tributos!$B$24:$B$29,1))*BB26-INDEX(Tributos!$D$24:$D$29,MATCH(BB26,Tributos!$B$24:$B$29,1)))/BB26),Tributos!$C$24)))</f>
        <v>0.1633</v>
      </c>
      <c r="BC27" s="168" t="n">
        <f aca="false">IF(Premissas!$B$23=3,Premissas!$B$24,IF(BC26&gt;Premissas!$B$25,Premissas!$B$24,IFERROR(MAX(Tributos!$C$24,(INDEX(Tributos!$C$24:$C$29,MATCH(BC26,Tributos!$B$24:$B$29,1))*BC26-INDEX(Tributos!$D$24:$D$29,MATCH(BC26,Tributos!$B$24:$B$29,1)))/BC26),Tributos!$C$24)))</f>
        <v>0.1633</v>
      </c>
      <c r="BD27" s="168" t="n">
        <f aca="false">IF(Premissas!$B$23=3,Premissas!$B$24,IF(BD26&gt;Premissas!$B$25,Premissas!$B$24,IFERROR(MAX(Tributos!$C$24,(INDEX(Tributos!$C$24:$C$29,MATCH(BD26,Tributos!$B$24:$B$29,1))*BD26-INDEX(Tributos!$D$24:$D$29,MATCH(BD26,Tributos!$B$24:$B$29,1)))/BD26),Tributos!$C$24)))</f>
        <v>0.1633</v>
      </c>
      <c r="BE27" s="168" t="n">
        <f aca="false">IF(Premissas!$B$23=3,Premissas!$B$24,IF(BE26&gt;Premissas!$B$25,Premissas!$B$24,IFERROR(MAX(Tributos!$C$24,(INDEX(Tributos!$C$24:$C$29,MATCH(BE26,Tributos!$B$24:$B$29,1))*BE26-INDEX(Tributos!$D$24:$D$29,MATCH(BE26,Tributos!$B$24:$B$29,1)))/BE26),Tributos!$C$24)))</f>
        <v>0.1633</v>
      </c>
      <c r="BF27" s="168" t="n">
        <f aca="false">IF(Premissas!$B$23=3,Premissas!$B$24,IF(BF26&gt;Premissas!$B$25,Premissas!$B$24,IFERROR(MAX(Tributos!$C$24,(INDEX(Tributos!$C$24:$C$29,MATCH(BF26,Tributos!$B$24:$B$29,1))*BF26-INDEX(Tributos!$D$24:$D$29,MATCH(BF26,Tributos!$B$24:$B$29,1)))/BF26),Tributos!$C$24)))</f>
        <v>0.1633</v>
      </c>
      <c r="BG27" s="168" t="n">
        <f aca="false">IF(Premissas!$B$23=3,Premissas!$B$24,IF(BG26&gt;Premissas!$B$25,Premissas!$B$24,IFERROR(MAX(Tributos!$C$24,(INDEX(Tributos!$C$24:$C$29,MATCH(BG26,Tributos!$B$24:$B$29,1))*BG26-INDEX(Tributos!$D$24:$D$29,MATCH(BG26,Tributos!$B$24:$B$29,1)))/BG26),Tributos!$C$24)))</f>
        <v>0.1633</v>
      </c>
      <c r="BH27" s="168" t="n">
        <f aca="false">IF(Premissas!$B$23=3,Premissas!$B$24,IF(BH26&gt;Premissas!$B$25,Premissas!$B$24,IFERROR(MAX(Tributos!$C$24,(INDEX(Tributos!$C$24:$C$29,MATCH(BH26,Tributos!$B$24:$B$29,1))*BH26-INDEX(Tributos!$D$24:$D$29,MATCH(BH26,Tributos!$B$24:$B$29,1)))/BH26),Tributos!$C$24)))</f>
        <v>0.1633</v>
      </c>
      <c r="BI27" s="168" t="n">
        <f aca="false">IF(Premissas!$B$23=3,Premissas!$B$24,IF(BI26&gt;Premissas!$B$25,Premissas!$B$24,IFERROR(MAX(Tributos!$C$24,(INDEX(Tributos!$C$24:$C$29,MATCH(BI26,Tributos!$B$24:$B$29,1))*BI26-INDEX(Tributos!$D$24:$D$29,MATCH(BI26,Tributos!$B$24:$B$29,1)))/BI26),Tributos!$C$24)))</f>
        <v>0.1633</v>
      </c>
      <c r="BJ27" s="169" t="n">
        <f aca="false">IFERROR(-BJ28/BJ25,0)</f>
        <v>0.178469010405671</v>
      </c>
      <c r="BK27" s="29" t="s">
        <v>580</v>
      </c>
    </row>
    <row r="28" customFormat="false" ht="15" hidden="false" customHeight="false" outlineLevel="0" collapsed="false">
      <c r="A28" s="27" t="s">
        <v>456</v>
      </c>
      <c r="B28" s="110" t="n">
        <f aca="false">-B25*B27</f>
        <v>-0</v>
      </c>
      <c r="C28" s="110" t="n">
        <f aca="false">-C25*C27</f>
        <v>-0</v>
      </c>
      <c r="D28" s="110" t="n">
        <f aca="false">-D25*D27</f>
        <v>-0</v>
      </c>
      <c r="E28" s="110" t="n">
        <f aca="false">-E25*E27</f>
        <v>-0</v>
      </c>
      <c r="F28" s="110" t="n">
        <f aca="false">-F25*F27</f>
        <v>-0</v>
      </c>
      <c r="G28" s="110" t="n">
        <f aca="false">-G25*G27</f>
        <v>-0</v>
      </c>
      <c r="H28" s="110" t="n">
        <f aca="false">-H25*H27</f>
        <v>-0</v>
      </c>
      <c r="I28" s="110" t="n">
        <f aca="false">-I25*I27</f>
        <v>-0</v>
      </c>
      <c r="J28" s="110" t="n">
        <f aca="false">-J25*J27</f>
        <v>-0</v>
      </c>
      <c r="K28" s="110" t="n">
        <f aca="false">-K25*K27</f>
        <v>-219.263</v>
      </c>
      <c r="L28" s="110" t="n">
        <f aca="false">-L25*L27</f>
        <v>-855.507</v>
      </c>
      <c r="M28" s="110" t="n">
        <f aca="false">-M25*M27</f>
        <v>-1837.6645</v>
      </c>
      <c r="N28" s="110" t="n">
        <f aca="false">-N25*N27</f>
        <v>-4420.32453028</v>
      </c>
      <c r="O28" s="110" t="n">
        <f aca="false">-O25*O27</f>
        <v>-6900.06340449312</v>
      </c>
      <c r="P28" s="110" t="n">
        <f aca="false">-P25*P27</f>
        <v>-9758.40742290178</v>
      </c>
      <c r="Q28" s="110" t="n">
        <f aca="false">-Q25*Q27</f>
        <v>-11162.7035951032</v>
      </c>
      <c r="R28" s="110" t="n">
        <f aca="false">-R25*R27</f>
        <v>-12864.5313376976</v>
      </c>
      <c r="S28" s="110" t="n">
        <f aca="false">-S25*S27</f>
        <v>-14506.635346771</v>
      </c>
      <c r="T28" s="110" t="n">
        <f aca="false">-T25*T27</f>
        <v>-16062.2266679373</v>
      </c>
      <c r="U28" s="110" t="n">
        <f aca="false">-U25*U27</f>
        <v>-17576.8938947545</v>
      </c>
      <c r="V28" s="110" t="n">
        <f aca="false">-V25*V27</f>
        <v>-18906.9691455637</v>
      </c>
      <c r="W28" s="110" t="n">
        <f aca="false">-W25*W27</f>
        <v>-20084.0579741855</v>
      </c>
      <c r="X28" s="110" t="n">
        <f aca="false">-X25*X27</f>
        <v>-21233.97145808</v>
      </c>
      <c r="Y28" s="110" t="n">
        <f aca="false">-Y25*Y27</f>
        <v>-22286.3483680068</v>
      </c>
      <c r="Z28" s="110" t="n">
        <f aca="false">-Z25*Z27</f>
        <v>-29785.4436393928</v>
      </c>
      <c r="AA28" s="110" t="n">
        <f aca="false">-AA25*AA27</f>
        <v>-32228.2088164612</v>
      </c>
      <c r="AB28" s="110" t="n">
        <f aca="false">-AB25*AB27</f>
        <v>-34429.5910874736</v>
      </c>
      <c r="AC28" s="110" t="n">
        <f aca="false">-AC25*AC27</f>
        <v>-36421.1653634488</v>
      </c>
      <c r="AD28" s="110" t="n">
        <f aca="false">-AD25*AD27</f>
        <v>-38240.1172182995</v>
      </c>
      <c r="AE28" s="110" t="n">
        <f aca="false">-AE25*AE27</f>
        <v>-39879.7107558701</v>
      </c>
      <c r="AF28" s="110" t="n">
        <f aca="false">-AF25*AF27</f>
        <v>-41396.8603106086</v>
      </c>
      <c r="AG28" s="110" t="n">
        <f aca="false">-AG25*AG27</f>
        <v>-42945.9245787009</v>
      </c>
      <c r="AH28" s="110" t="n">
        <f aca="false">-AH25*AH27</f>
        <v>-44524.2116156185</v>
      </c>
      <c r="AI28" s="110" t="n">
        <f aca="false">-AI25*AI27</f>
        <v>-45962.7102528339</v>
      </c>
      <c r="AJ28" s="110" t="n">
        <f aca="false">-AJ25*AJ27</f>
        <v>-47268.0105831842</v>
      </c>
      <c r="AK28" s="110" t="n">
        <f aca="false">-AK25*AK27</f>
        <v>-48477.813523126</v>
      </c>
      <c r="AL28" s="110" t="n">
        <f aca="false">-AL25*AL27</f>
        <v>-63251.1877597671</v>
      </c>
      <c r="AM28" s="110" t="n">
        <f aca="false">-AM25*AM27</f>
        <v>-67182.873897686</v>
      </c>
      <c r="AN28" s="110" t="n">
        <f aca="false">-AN25*AN27</f>
        <v>-70783.8880825912</v>
      </c>
      <c r="AO28" s="110" t="n">
        <f aca="false">-AO25*AO27</f>
        <v>-74132.8745606696</v>
      </c>
      <c r="AP28" s="110" t="n">
        <f aca="false">-AP25*AP27</f>
        <v>-77197.6575715565</v>
      </c>
      <c r="AQ28" s="110" t="n">
        <f aca="false">-AQ25*AQ27</f>
        <v>-80037.2136905816</v>
      </c>
      <c r="AR28" s="110" t="n">
        <f aca="false">-AR25*AR27</f>
        <v>-82645.6403264541</v>
      </c>
      <c r="AS28" s="110" t="n">
        <f aca="false">-AS25*AS27</f>
        <v>-62152.1558975636</v>
      </c>
      <c r="AT28" s="110" t="n">
        <f aca="false">-AT25*AT27</f>
        <v>-66430.157240807</v>
      </c>
      <c r="AU28" s="110" t="n">
        <f aca="false">-AU25*AU27</f>
        <v>-70483.5205141899</v>
      </c>
      <c r="AV28" s="110" t="n">
        <f aca="false">-AV25*AV27</f>
        <v>-74296.9915898431</v>
      </c>
      <c r="AW28" s="110" t="n">
        <f aca="false">-AW25*AW27</f>
        <v>-77895.0540957623</v>
      </c>
      <c r="AX28" s="110" t="n">
        <f aca="false">-AX25*AX27</f>
        <v>-101202.305688487</v>
      </c>
      <c r="AY28" s="110" t="n">
        <f aca="false">-AY25*AY27</f>
        <v>-109653.753776096</v>
      </c>
      <c r="AZ28" s="110" t="n">
        <f aca="false">-AZ25*AZ27</f>
        <v>-97350.3267200644</v>
      </c>
      <c r="BA28" s="110" t="n">
        <f aca="false">-BA25*BA27</f>
        <v>-101109.356415279</v>
      </c>
      <c r="BB28" s="110" t="n">
        <f aca="false">-BB25*BB27</f>
        <v>-104572.72299792</v>
      </c>
      <c r="BC28" s="110" t="n">
        <f aca="false">-BC25*BC27</f>
        <v>-107719.691486833</v>
      </c>
      <c r="BD28" s="110" t="n">
        <f aca="false">-BD25*BD27</f>
        <v>-110603.279329225</v>
      </c>
      <c r="BE28" s="110" t="n">
        <f aca="false">-BE25*BE27</f>
        <v>-113249.031385061</v>
      </c>
      <c r="BF28" s="110" t="n">
        <f aca="false">-BF25*BF27</f>
        <v>-115666.760942597</v>
      </c>
      <c r="BG28" s="110" t="n">
        <f aca="false">-BG25*BG27</f>
        <v>-117873.876152668</v>
      </c>
      <c r="BH28" s="110" t="n">
        <f aca="false">-BH25*BH27</f>
        <v>-119891.539090731</v>
      </c>
      <c r="BI28" s="110" t="n">
        <f aca="false">-BI25*BI27</f>
        <v>-121748.535191258</v>
      </c>
      <c r="BJ28" s="111" t="n">
        <f aca="false">SUM(B28:BI28)</f>
        <v>-2847365.72979449</v>
      </c>
    </row>
    <row r="29" customFormat="false" ht="15" hidden="false" customHeight="false" outlineLevel="0" collapsed="false">
      <c r="A29" s="27" t="s">
        <v>424</v>
      </c>
      <c r="B29" s="110" t="n">
        <f aca="false">-B22*Premissas!$B$62*INDEX(Premissas!$C$63:$G$63,B$7)</f>
        <v>-0</v>
      </c>
      <c r="C29" s="110" t="n">
        <f aca="false">-C22*Premissas!$B$62*INDEX(Premissas!$C$63:$G$63,C$7)</f>
        <v>-0</v>
      </c>
      <c r="D29" s="110" t="n">
        <f aca="false">-D22*Premissas!$B$62*INDEX(Premissas!$C$63:$G$63,D$7)</f>
        <v>-0</v>
      </c>
      <c r="E29" s="110" t="n">
        <f aca="false">-E22*Premissas!$B$62*INDEX(Premissas!$C$63:$G$63,E$7)</f>
        <v>-0</v>
      </c>
      <c r="F29" s="110" t="n">
        <f aca="false">-F22*Premissas!$B$62*INDEX(Premissas!$C$63:$G$63,F$7)</f>
        <v>-0</v>
      </c>
      <c r="G29" s="110" t="n">
        <f aca="false">-G22*Premissas!$B$62*INDEX(Premissas!$C$63:$G$63,G$7)</f>
        <v>-0</v>
      </c>
      <c r="H29" s="110" t="n">
        <f aca="false">-H22*Premissas!$B$62*INDEX(Premissas!$C$63:$G$63,H$7)</f>
        <v>-0</v>
      </c>
      <c r="I29" s="110" t="n">
        <f aca="false">-I22*Premissas!$B$62*INDEX(Premissas!$C$63:$G$63,I$7)</f>
        <v>-0</v>
      </c>
      <c r="J29" s="110" t="n">
        <f aca="false">-J22*Premissas!$B$62*INDEX(Premissas!$C$63:$G$63,J$7)</f>
        <v>-0</v>
      </c>
      <c r="K29" s="110" t="n">
        <f aca="false">-K22*Premissas!$B$62*INDEX(Premissas!$C$63:$G$63,K$7)</f>
        <v>-180.3615</v>
      </c>
      <c r="L29" s="110" t="n">
        <f aca="false">-L22*Premissas!$B$62*INDEX(Premissas!$C$63:$G$63,L$7)</f>
        <v>-703.7235</v>
      </c>
      <c r="M29" s="110" t="n">
        <f aca="false">-M22*Premissas!$B$62*INDEX(Premissas!$C$63:$G$63,M$7)</f>
        <v>-1511.62725</v>
      </c>
      <c r="N29" s="110" t="n">
        <f aca="false">-N22*Premissas!$B$62*INDEX(Premissas!$C$63:$G$63,N$7)</f>
        <v>-3158.78838</v>
      </c>
      <c r="O29" s="110" t="n">
        <f aca="false">-O22*Premissas!$B$62*INDEX(Premissas!$C$63:$G$63,O$7)</f>
        <v>-5008.08726</v>
      </c>
      <c r="P29" s="110" t="n">
        <f aca="false">-P22*Premissas!$B$62*INDEX(Premissas!$C$63:$G$63,P$7)</f>
        <v>-7157.2677</v>
      </c>
      <c r="Q29" s="110" t="n">
        <f aca="false">-Q22*Premissas!$B$62*INDEX(Premissas!$C$63:$G$63,Q$7)</f>
        <v>-8186.85186</v>
      </c>
      <c r="R29" s="110" t="n">
        <f aca="false">-R22*Premissas!$B$62*INDEX(Premissas!$C$63:$G$63,R$7)</f>
        <v>-9131.51514</v>
      </c>
      <c r="S29" s="110" t="n">
        <f aca="false">-S22*Premissas!$B$62*INDEX(Premissas!$C$63:$G$63,S$7)</f>
        <v>-9973.67646</v>
      </c>
      <c r="T29" s="110" t="n">
        <f aca="false">-T22*Premissas!$B$62*INDEX(Premissas!$C$63:$G$63,T$7)</f>
        <v>-10745.9022</v>
      </c>
      <c r="U29" s="110" t="n">
        <f aca="false">-U22*Premissas!$B$62*INDEX(Premissas!$C$63:$G$63,U$7)</f>
        <v>-11433.11928</v>
      </c>
      <c r="V29" s="110" t="n">
        <f aca="false">-V22*Premissas!$B$62*INDEX(Premissas!$C$63:$G$63,V$7)</f>
        <v>-12060.38262</v>
      </c>
      <c r="W29" s="110" t="n">
        <f aca="false">-W22*Premissas!$B$62*INDEX(Premissas!$C$63:$G$63,W$7)</f>
        <v>-12630.17514</v>
      </c>
      <c r="X29" s="110" t="n">
        <f aca="false">-X22*Premissas!$B$62*INDEX(Premissas!$C$63:$G$63,X$7)</f>
        <v>-13134.9603</v>
      </c>
      <c r="Y29" s="110" t="n">
        <f aca="false">-Y22*Premissas!$B$62*INDEX(Premissas!$C$63:$G$63,Y$7)</f>
        <v>-13597.28502</v>
      </c>
      <c r="Z29" s="110" t="n">
        <f aca="false">-Z22*Premissas!$B$62*INDEX(Premissas!$C$63:$G$63,Z$7)</f>
        <v>-16514.415608625</v>
      </c>
      <c r="AA29" s="110" t="n">
        <f aca="false">-AA22*Premissas!$B$62*INDEX(Premissas!$C$63:$G$63,AA$7)</f>
        <v>-17692.2669484687</v>
      </c>
      <c r="AB29" s="110" t="n">
        <f aca="false">-AB22*Premissas!$B$62*INDEX(Premissas!$C$63:$G$63,AB$7)</f>
        <v>-18757.46225925</v>
      </c>
      <c r="AC29" s="110" t="n">
        <f aca="false">-AC22*Premissas!$B$62*INDEX(Premissas!$C$63:$G$63,AC$7)</f>
        <v>-19727.164078875</v>
      </c>
      <c r="AD29" s="110" t="n">
        <f aca="false">-AD22*Premissas!$B$62*INDEX(Premissas!$C$63:$G$63,AD$7)</f>
        <v>-20611.1760617812</v>
      </c>
      <c r="AE29" s="110" t="n">
        <f aca="false">-AE22*Premissas!$B$62*INDEX(Premissas!$C$63:$G$63,AE$7)</f>
        <v>-21404.5595249062</v>
      </c>
      <c r="AF29" s="110" t="n">
        <f aca="false">-AF22*Premissas!$B$62*INDEX(Premissas!$C$63:$G$63,AF$7)</f>
        <v>-22139.207058375</v>
      </c>
      <c r="AG29" s="110" t="n">
        <f aca="false">-AG22*Premissas!$B$62*INDEX(Premissas!$C$63:$G$63,AG$7)</f>
        <v>-22795.4622121875</v>
      </c>
      <c r="AH29" s="110" t="n">
        <f aca="false">-AH22*Premissas!$B$62*INDEX(Premissas!$C$63:$G$63,AH$7)</f>
        <v>-23397.8709782812</v>
      </c>
      <c r="AI29" s="110" t="n">
        <f aca="false">-AI22*Premissas!$B$62*INDEX(Premissas!$C$63:$G$63,AI$7)</f>
        <v>-23941.4946735938</v>
      </c>
      <c r="AJ29" s="110" t="n">
        <f aca="false">-AJ22*Premissas!$B$62*INDEX(Premissas!$C$63:$G$63,AJ$7)</f>
        <v>-24428.7780690937</v>
      </c>
      <c r="AK29" s="110" t="n">
        <f aca="false">-AK22*Premissas!$B$62*INDEX(Premissas!$C$63:$G$63,AK$7)</f>
        <v>-24879.3530442187</v>
      </c>
      <c r="AL29" s="110" t="n">
        <f aca="false">-AL22*Premissas!$B$62*INDEX(Premissas!$C$63:$G$63,AL$7)</f>
        <v>-30216.4046710614</v>
      </c>
      <c r="AM29" s="110" t="n">
        <f aca="false">-AM22*Premissas!$B$62*INDEX(Premissas!$C$63:$G$63,AM$7)</f>
        <v>-31867.542873931</v>
      </c>
      <c r="AN29" s="110" t="n">
        <f aca="false">-AN22*Premissas!$B$62*INDEX(Premissas!$C$63:$G$63,AN$7)</f>
        <v>-33356.4770931925</v>
      </c>
      <c r="AO29" s="110" t="n">
        <f aca="false">-AO22*Premissas!$B$62*INDEX(Premissas!$C$63:$G$63,AO$7)</f>
        <v>-34727.501920221</v>
      </c>
      <c r="AP29" s="110" t="n">
        <f aca="false">-AP22*Premissas!$B$62*INDEX(Premissas!$C$63:$G$63,AP$7)</f>
        <v>-35965.8278420364</v>
      </c>
      <c r="AQ29" s="110" t="n">
        <f aca="false">-AQ22*Premissas!$B$62*INDEX(Premissas!$C$63:$G$63,AQ$7)</f>
        <v>-37103.437180458</v>
      </c>
      <c r="AR29" s="110" t="n">
        <f aca="false">-AR22*Premissas!$B$62*INDEX(Premissas!$C$63:$G$63,AR$7)</f>
        <v>-38137.8403674675</v>
      </c>
      <c r="AS29" s="110" t="n">
        <f aca="false">-AS22*Premissas!$B$62*INDEX(Premissas!$C$63:$G$63,AS$7)</f>
        <v>-39083.8022668566</v>
      </c>
      <c r="AT29" s="110" t="n">
        <f aca="false">-AT22*Premissas!$B$62*INDEX(Premissas!$C$63:$G$63,AT$7)</f>
        <v>-39938.833310607</v>
      </c>
      <c r="AU29" s="110" t="n">
        <f aca="false">-AU22*Premissas!$B$62*INDEX(Premissas!$C$63:$G$63,AU$7)</f>
        <v>-40725.0931190004</v>
      </c>
      <c r="AV29" s="110" t="n">
        <f aca="false">-AV22*Premissas!$B$62*INDEX(Premissas!$C$63:$G$63,AV$7)</f>
        <v>-41435.1622863585</v>
      </c>
      <c r="AW29" s="110" t="n">
        <f aca="false">-AW22*Premissas!$B$62*INDEX(Premissas!$C$63:$G$63,AW$7)</f>
        <v>-42086.270595303</v>
      </c>
      <c r="AX29" s="110" t="n">
        <f aca="false">-AX22*Premissas!$B$62*INDEX(Premissas!$C$63:$G$63,AX$7)</f>
        <v>-51406.1175480458</v>
      </c>
      <c r="AY29" s="110" t="n">
        <f aca="false">-AY22*Premissas!$B$62*INDEX(Premissas!$C$63:$G$63,AY$7)</f>
        <v>-54010.1148783344</v>
      </c>
      <c r="AZ29" s="110" t="n">
        <f aca="false">-AZ22*Premissas!$B$62*INDEX(Premissas!$C$63:$G$63,AZ$7)</f>
        <v>-56394.4234507195</v>
      </c>
      <c r="BA29" s="110" t="n">
        <f aca="false">-BA22*Premissas!$B$62*INDEX(Premissas!$C$63:$G$63,BA$7)</f>
        <v>-58571.4895818355</v>
      </c>
      <c r="BB29" s="110" t="n">
        <f aca="false">-BB22*Premissas!$B$62*INDEX(Premissas!$C$63:$G$63,BB$7)</f>
        <v>-60578.8275218212</v>
      </c>
      <c r="BC29" s="110" t="n">
        <f aca="false">-BC22*Premissas!$B$62*INDEX(Premissas!$C$63:$G$63,BC$7)</f>
        <v>-62401.3739719726</v>
      </c>
      <c r="BD29" s="110" t="n">
        <f aca="false">-BD22*Premissas!$B$62*INDEX(Premissas!$C$63:$G$63,BD$7)</f>
        <v>-64071.6346043056</v>
      </c>
      <c r="BE29" s="110" t="n">
        <f aca="false">-BE22*Premissas!$B$62*INDEX(Premissas!$C$63:$G$63,BE$7)</f>
        <v>-65604.5850674068</v>
      </c>
      <c r="BF29" s="110" t="n">
        <f aca="false">-BF22*Premissas!$B$62*INDEX(Premissas!$C$63:$G$63,BF$7)</f>
        <v>-67005.2088965083</v>
      </c>
      <c r="BG29" s="110" t="n">
        <f aca="false">-BG22*Premissas!$B$62*INDEX(Premissas!$C$63:$G$63,BG$7)</f>
        <v>-68283.4856835193</v>
      </c>
      <c r="BH29" s="110" t="n">
        <f aca="false">-BH22*Premissas!$B$62*INDEX(Premissas!$C$63:$G$63,BH$7)</f>
        <v>-69451.9118308559</v>
      </c>
      <c r="BI29" s="110" t="n">
        <f aca="false">-BI22*Premissas!$B$62*INDEX(Premissas!$C$63:$G$63,BI$7)</f>
        <v>-70527.9797976113</v>
      </c>
      <c r="BJ29" s="111" t="n">
        <f aca="false">SUM(B29:BI29)</f>
        <v>-1567854.28048709</v>
      </c>
    </row>
    <row r="30" customFormat="false" ht="15" hidden="false" customHeight="false" outlineLevel="0" collapsed="false">
      <c r="A30" s="27" t="s">
        <v>426</v>
      </c>
      <c r="B30" s="110" t="n">
        <f aca="false">-(B22*(1-INDEX(Premissas!$C$63:$G$63,B$7))+B23)*Premissas!$B$64</f>
        <v>-0</v>
      </c>
      <c r="C30" s="110" t="n">
        <f aca="false">-(C22*(1-INDEX(Premissas!$C$63:$G$63,C$7))+C23)*Premissas!$B$64</f>
        <v>-0</v>
      </c>
      <c r="D30" s="110" t="n">
        <f aca="false">-(D22*(1-INDEX(Premissas!$C$63:$G$63,D$7))+D23)*Premissas!$B$64</f>
        <v>-0</v>
      </c>
      <c r="E30" s="110" t="n">
        <f aca="false">-(E22*(1-INDEX(Premissas!$C$63:$G$63,E$7))+E23)*Premissas!$B$64</f>
        <v>-0</v>
      </c>
      <c r="F30" s="110" t="n">
        <f aca="false">-(F22*(1-INDEX(Premissas!$C$63:$G$63,F$7))+F23)*Premissas!$B$64</f>
        <v>-0</v>
      </c>
      <c r="G30" s="110" t="n">
        <f aca="false">-(G22*(1-INDEX(Premissas!$C$63:$G$63,G$7))+G23)*Premissas!$B$64</f>
        <v>-0</v>
      </c>
      <c r="H30" s="110" t="n">
        <f aca="false">-(H22*(1-INDEX(Premissas!$C$63:$G$63,H$7))+H23)*Premissas!$B$64</f>
        <v>-0</v>
      </c>
      <c r="I30" s="110" t="n">
        <f aca="false">-(I22*(1-INDEX(Premissas!$C$63:$G$63,I$7))+I23)*Premissas!$B$64</f>
        <v>-0</v>
      </c>
      <c r="J30" s="110" t="n">
        <f aca="false">-(J22*(1-INDEX(Premissas!$C$63:$G$63,J$7))+J23)*Premissas!$B$64</f>
        <v>-0</v>
      </c>
      <c r="K30" s="110" t="n">
        <f aca="false">-(K22*(1-INDEX(Premissas!$C$63:$G$63,K$7))+K23)*Premissas!$B$64</f>
        <v>-9.54855</v>
      </c>
      <c r="L30" s="110" t="n">
        <f aca="false">-(L22*(1-INDEX(Premissas!$C$63:$G$63,L$7))+L23)*Premissas!$B$64</f>
        <v>-37.25595</v>
      </c>
      <c r="M30" s="110" t="n">
        <f aca="false">-(M22*(1-INDEX(Premissas!$C$63:$G$63,M$7))+M23)*Premissas!$B$64</f>
        <v>-80.027325</v>
      </c>
      <c r="N30" s="110" t="n">
        <f aca="false">-(N22*(1-INDEX(Premissas!$C$63:$G$63,N$7))+N23)*Premissas!$B$64</f>
        <v>-335.68351092</v>
      </c>
      <c r="O30" s="110" t="n">
        <f aca="false">-(O22*(1-INDEX(Premissas!$C$63:$G$63,O$7))+O23)*Premissas!$B$64</f>
        <v>-500.81803620768</v>
      </c>
      <c r="P30" s="110" t="n">
        <f aca="false">-(P22*(1-INDEX(Premissas!$C$63:$G$63,P$7))+P23)*Premissas!$B$64</f>
        <v>-685.905716003743</v>
      </c>
      <c r="Q30" s="110" t="n">
        <f aca="false">-(Q22*(1-INDEX(Premissas!$C$63:$G$63,Q$7))+Q23)*Premissas!$B$64</f>
        <v>-784.729356707383</v>
      </c>
      <c r="R30" s="110" t="n">
        <f aca="false">-(R22*(1-INDEX(Premissas!$C$63:$G$63,R$7))+R23)*Premissas!$B$64</f>
        <v>-875.109867855475</v>
      </c>
      <c r="S30" s="110" t="n">
        <f aca="false">-(S22*(1-INDEX(Premissas!$C$63:$G$63,S$7))+S23)*Premissas!$B$64</f>
        <v>-955.927778549349</v>
      </c>
      <c r="T30" s="110" t="n">
        <f aca="false">-(T22*(1-INDEX(Premissas!$C$63:$G$63,T$7))+T23)*Premissas!$B$64</f>
        <v>-1029.80556282061</v>
      </c>
      <c r="U30" s="110" t="n">
        <f aca="false">-(U22*(1-INDEX(Premissas!$C$63:$G$63,U$7))+U23)*Premissas!$B$64</f>
        <v>-1095.77545562983</v>
      </c>
      <c r="V30" s="110" t="n">
        <f aca="false">-(V22*(1-INDEX(Premissas!$C$63:$G$63,V$7))+V23)*Premissas!$B$64</f>
        <v>-1155.86367120537</v>
      </c>
      <c r="W30" s="110" t="n">
        <f aca="false">-(W22*(1-INDEX(Premissas!$C$63:$G$63,W$7))+W23)*Premissas!$B$64</f>
        <v>-1210.38940263365</v>
      </c>
      <c r="X30" s="110" t="n">
        <f aca="false">-(X22*(1-INDEX(Premissas!$C$63:$G$63,X$7))+X23)*Premissas!$B$64</f>
        <v>-1258.90761798882</v>
      </c>
      <c r="Y30" s="110" t="n">
        <f aca="false">-(Y22*(1-INDEX(Premissas!$C$63:$G$63,Y$7))+Y23)*Premissas!$B$64</f>
        <v>-1303.2180048219</v>
      </c>
      <c r="Z30" s="110" t="n">
        <f aca="false">-(Z22*(1-INDEX(Premissas!$C$63:$G$63,Z$7))+Z23)*Premissas!$B$64</f>
        <v>-2164.08942928875</v>
      </c>
      <c r="AA30" s="110" t="n">
        <f aca="false">-(AA22*(1-INDEX(Premissas!$C$63:$G$63,AA$7))+AA23)*Premissas!$B$64</f>
        <v>-2318.44098571896</v>
      </c>
      <c r="AB30" s="110" t="n">
        <f aca="false">-(AB22*(1-INDEX(Premissas!$C$63:$G$63,AB$7))+AB23)*Premissas!$B$64</f>
        <v>-2458.15697775031</v>
      </c>
      <c r="AC30" s="110" t="n">
        <f aca="false">-(AC22*(1-INDEX(Premissas!$C$63:$G$63,AC$7))+AC23)*Premissas!$B$64</f>
        <v>-2585.26423482459</v>
      </c>
      <c r="AD30" s="110" t="n">
        <f aca="false">-(AD22*(1-INDEX(Premissas!$C$63:$G$63,AD$7))+AD23)*Premissas!$B$64</f>
        <v>-2701.0250753847</v>
      </c>
      <c r="AE30" s="110" t="n">
        <f aca="false">-(AE22*(1-INDEX(Premissas!$C$63:$G$63,AE$7))+AE23)*Premissas!$B$64</f>
        <v>-2805.20159933512</v>
      </c>
      <c r="AF30" s="110" t="n">
        <f aca="false">-(AF22*(1-INDEX(Premissas!$C$63:$G$63,AF$7))+AF23)*Premissas!$B$64</f>
        <v>-2901.21544386881</v>
      </c>
      <c r="AG30" s="110" t="n">
        <f aca="false">-(AG22*(1-INDEX(Premissas!$C$63:$G$63,AG$7))+AG23)*Premissas!$B$64</f>
        <v>-2987.31192619309</v>
      </c>
      <c r="AH30" s="110" t="n">
        <f aca="false">-(AH22*(1-INDEX(Premissas!$C$63:$G$63,AH$7))+AH23)*Premissas!$B$64</f>
        <v>-3066.13716543203</v>
      </c>
      <c r="AI30" s="110" t="n">
        <f aca="false">-(AI22*(1-INDEX(Premissas!$C$63:$G$63,AI$7))+AI23)*Premissas!$B$64</f>
        <v>-3137.3711627329</v>
      </c>
      <c r="AJ30" s="110" t="n">
        <f aca="false">-(AJ22*(1-INDEX(Premissas!$C$63:$G$63,AJ$7))+AJ23)*Premissas!$B$64</f>
        <v>-3201.41624083728</v>
      </c>
      <c r="AK30" s="110" t="n">
        <f aca="false">-(AK22*(1-INDEX(Premissas!$C$63:$G$63,AK$7))+AK23)*Premissas!$B$64</f>
        <v>-3260.37888627898</v>
      </c>
      <c r="AL30" s="110" t="n">
        <f aca="false">-(AL22*(1-INDEX(Premissas!$C$63:$G$63,AL$7))+AL23)*Premissas!$B$64</f>
        <v>-4839.55055142114</v>
      </c>
      <c r="AM30" s="110" t="n">
        <f aca="false">-(AM22*(1-INDEX(Premissas!$C$63:$G$63,AM$7))+AM23)*Premissas!$B$64</f>
        <v>-5103.64118579204</v>
      </c>
      <c r="AN30" s="110" t="n">
        <f aca="false">-(AN22*(1-INDEX(Premissas!$C$63:$G$63,AN$7))+AN23)*Premissas!$B$64</f>
        <v>-5342.48588936521</v>
      </c>
      <c r="AO30" s="110" t="n">
        <f aca="false">-(AO22*(1-INDEX(Premissas!$C$63:$G$63,AO$7))+AO23)*Premissas!$B$64</f>
        <v>-5561.81170630828</v>
      </c>
      <c r="AP30" s="110" t="n">
        <f aca="false">-(AP22*(1-INDEX(Premissas!$C$63:$G$63,AP$7))+AP23)*Premissas!$B$64</f>
        <v>-5760.40304829455</v>
      </c>
      <c r="AQ30" s="110" t="n">
        <f aca="false">-(AQ22*(1-INDEX(Premissas!$C$63:$G$63,AQ$7))+AQ23)*Premissas!$B$64</f>
        <v>-5942.45593236275</v>
      </c>
      <c r="AR30" s="110" t="n">
        <f aca="false">-(AR22*(1-INDEX(Premissas!$C$63:$G$63,AR$7))+AR23)*Premissas!$B$64</f>
        <v>-6108.10353730474</v>
      </c>
      <c r="AS30" s="110" t="n">
        <f aca="false">-(AS22*(1-INDEX(Premissas!$C$63:$G$63,AS$7))+AS23)*Premissas!$B$64</f>
        <v>-6259.45457902782</v>
      </c>
      <c r="AT30" s="110" t="n">
        <f aca="false">-(AT22*(1-INDEX(Premissas!$C$63:$G$63,AT$7))+AT23)*Premissas!$B$64</f>
        <v>-6396.57059244994</v>
      </c>
      <c r="AU30" s="110" t="n">
        <f aca="false">-(AU22*(1-INDEX(Premissas!$C$63:$G$63,AU$7))+AU23)*Premissas!$B$64</f>
        <v>-6522.35770978641</v>
      </c>
      <c r="AV30" s="110" t="n">
        <f aca="false">-(AV22*(1-INDEX(Premissas!$C$63:$G$63,AV$7))+AV23)*Premissas!$B$64</f>
        <v>-6636.24279073917</v>
      </c>
      <c r="AW30" s="110" t="n">
        <f aca="false">-(AW22*(1-INDEX(Premissas!$C$63:$G$63,AW$7))+AW23)*Premissas!$B$64</f>
        <v>-6740.50255891876</v>
      </c>
      <c r="AX30" s="110" t="n">
        <f aca="false">-(AX22*(1-INDEX(Premissas!$C$63:$G$63,AX$7))+AX23)*Premissas!$B$64</f>
        <v>-9031.61378581338</v>
      </c>
      <c r="AY30" s="110" t="n">
        <f aca="false">-(AY22*(1-INDEX(Premissas!$C$63:$G$63,AY$7))+AY23)*Premissas!$B$64</f>
        <v>-9489.22321414399</v>
      </c>
      <c r="AZ30" s="110" t="n">
        <f aca="false">-(AZ22*(1-INDEX(Premissas!$C$63:$G$63,AZ$7))+AZ23)*Premissas!$B$64</f>
        <v>-9908.15613932734</v>
      </c>
      <c r="BA30" s="110" t="n">
        <f aca="false">-(BA22*(1-INDEX(Premissas!$C$63:$G$63,BA$7))+BA23)*Premissas!$B$64</f>
        <v>-10290.8987389677</v>
      </c>
      <c r="BB30" s="110" t="n">
        <f aca="false">-(BB22*(1-INDEX(Premissas!$C$63:$G$63,BB$7))+BB23)*Premissas!$B$64</f>
        <v>-10643.0849639461</v>
      </c>
      <c r="BC30" s="110" t="n">
        <f aca="false">-(BC22*(1-INDEX(Premissas!$C$63:$G$63,BC$7))+BC23)*Premissas!$B$64</f>
        <v>-10963.5199388889</v>
      </c>
      <c r="BD30" s="110" t="n">
        <f aca="false">-(BD22*(1-INDEX(Premissas!$C$63:$G$63,BD$7))+BD23)*Premissas!$B$64</f>
        <v>-11257.0617914892</v>
      </c>
      <c r="BE30" s="110" t="n">
        <f aca="false">-(BE22*(1-INDEX(Premissas!$C$63:$G$63,BE$7))+BE23)*Premissas!$B$64</f>
        <v>-11526.2571333466</v>
      </c>
      <c r="BF30" s="110" t="n">
        <f aca="false">-(BF22*(1-INDEX(Premissas!$C$63:$G$63,BF$7))+BF23)*Premissas!$B$64</f>
        <v>-11772.3151168214</v>
      </c>
      <c r="BG30" s="110" t="n">
        <f aca="false">-(BG22*(1-INDEX(Premissas!$C$63:$G$63,BG$7))+BG23)*Premissas!$B$64</f>
        <v>-11997.0389665306</v>
      </c>
      <c r="BH30" s="110" t="n">
        <f aca="false">-(BH22*(1-INDEX(Premissas!$C$63:$G$63,BH$7))+BH23)*Premissas!$B$64</f>
        <v>-12202.5113195915</v>
      </c>
      <c r="BI30" s="110" t="n">
        <f aca="false">-(BI22*(1-INDEX(Premissas!$C$63:$G$63,BI$7))+BI23)*Premissas!$B$64</f>
        <v>-12391.4167380382</v>
      </c>
      <c r="BJ30" s="111" t="n">
        <f aca="false">SUM(B30:BI30)</f>
        <v>-247591.652862665</v>
      </c>
    </row>
    <row r="31" customFormat="false" ht="15" hidden="false" customHeight="false" outlineLevel="0" collapsed="false">
      <c r="A31" s="51" t="s">
        <v>526</v>
      </c>
      <c r="B31" s="111" t="n">
        <f aca="false">B25+SUM(B28:B30)</f>
        <v>0</v>
      </c>
      <c r="C31" s="111" t="n">
        <f aca="false">C25+SUM(C28:C30)</f>
        <v>0</v>
      </c>
      <c r="D31" s="111" t="n">
        <f aca="false">D25+SUM(D28:D30)</f>
        <v>0</v>
      </c>
      <c r="E31" s="111" t="n">
        <f aca="false">E25+SUM(E28:E30)</f>
        <v>0</v>
      </c>
      <c r="F31" s="111" t="n">
        <f aca="false">F25+SUM(F28:F30)</f>
        <v>0</v>
      </c>
      <c r="G31" s="111" t="n">
        <f aca="false">G25+SUM(G28:G30)</f>
        <v>0</v>
      </c>
      <c r="H31" s="111" t="n">
        <f aca="false">H25+SUM(H28:H30)</f>
        <v>0</v>
      </c>
      <c r="I31" s="111" t="n">
        <f aca="false">I25+SUM(I28:I30)</f>
        <v>0</v>
      </c>
      <c r="J31" s="111" t="n">
        <f aca="false">J25+SUM(J28:J30)</f>
        <v>0</v>
      </c>
      <c r="K31" s="111" t="n">
        <f aca="false">K25+SUM(K28:K30)</f>
        <v>1005.42695</v>
      </c>
      <c r="L31" s="111" t="n">
        <f aca="false">L25+SUM(L28:L30)</f>
        <v>3922.91355</v>
      </c>
      <c r="M31" s="111" t="n">
        <f aca="false">M25+SUM(M28:M30)</f>
        <v>8426.580925</v>
      </c>
      <c r="N31" s="111" t="n">
        <f aca="false">N25+SUM(N28:N30)</f>
        <v>20603.4263548</v>
      </c>
      <c r="O31" s="111" t="n">
        <f aca="false">O25+SUM(O28:O30)</f>
        <v>32107.5693928032</v>
      </c>
      <c r="P31" s="111" t="n">
        <f aca="false">P25+SUM(P28:P30)</f>
        <v>45355.8864056221</v>
      </c>
      <c r="Q31" s="111" t="n">
        <f aca="false">Q25+SUM(Q28:Q30)</f>
        <v>51883.1577372424</v>
      </c>
      <c r="R31" s="111" t="n">
        <f aca="false">R25+SUM(R28:R30)</f>
        <v>57452.4972067909</v>
      </c>
      <c r="S31" s="111" t="n">
        <f aca="false">S25+SUM(S28:S30)</f>
        <v>62297.7763379985</v>
      </c>
      <c r="T31" s="111" t="n">
        <f aca="false">T25+SUM(T28:T30)</f>
        <v>66685.9816319224</v>
      </c>
      <c r="U31" s="111" t="n">
        <f aca="false">U25+SUM(U28:U30)</f>
        <v>70465.5722502786</v>
      </c>
      <c r="V31" s="111" t="n">
        <f aca="false">V25+SUM(V28:V30)</f>
        <v>73965.1947233502</v>
      </c>
      <c r="W31" s="111" t="n">
        <f aca="false">W25+SUM(W28:W30)</f>
        <v>77174.0873639287</v>
      </c>
      <c r="X31" s="111" t="n">
        <f aca="false">X25+SUM(X28:X30)</f>
        <v>79914.2874681272</v>
      </c>
      <c r="Y31" s="111" t="n">
        <f aca="false">Y25+SUM(Y28:Y30)</f>
        <v>82422.1155143245</v>
      </c>
      <c r="Z31" s="111" t="n">
        <f aca="false">Z25+SUM(Z28:Z30)</f>
        <v>109723.03158661</v>
      </c>
      <c r="AA31" s="111" t="n">
        <f aca="false">AA25+SUM(AA28:AA30)</f>
        <v>117230.440366231</v>
      </c>
      <c r="AB31" s="111" t="n">
        <f aca="false">AB25+SUM(AB28:AB30)</f>
        <v>124030.2486872</v>
      </c>
      <c r="AC31" s="111" t="n">
        <f aca="false">AC25+SUM(AC28:AC30)</f>
        <v>130231.149844787</v>
      </c>
      <c r="AD31" s="111" t="n">
        <f aca="false">AD25+SUM(AD28:AD30)</f>
        <v>135878.301509403</v>
      </c>
      <c r="AE31" s="111" t="n">
        <f aca="false">AE25+SUM(AE28:AE30)</f>
        <v>140945.404937822</v>
      </c>
      <c r="AF31" s="111" t="n">
        <f aca="false">AF25+SUM(AF28:AF30)</f>
        <v>145628.885217843</v>
      </c>
      <c r="AG31" s="111" t="n">
        <f aca="false">AG25+SUM(AG28:AG30)</f>
        <v>149625.758835126</v>
      </c>
      <c r="AH31" s="111" t="n">
        <f aca="false">AH25+SUM(AH28:AH30)</f>
        <v>153133.968216588</v>
      </c>
      <c r="AI31" s="111" t="n">
        <f aca="false">AI25+SUM(AI28:AI30)</f>
        <v>156287.747573307</v>
      </c>
      <c r="AJ31" s="111" t="n">
        <f aca="false">AJ25+SUM(AJ28:AJ30)</f>
        <v>159102.898697227</v>
      </c>
      <c r="AK31" s="111" t="n">
        <f aca="false">AK25+SUM(AK28:AK30)</f>
        <v>161697.672314034</v>
      </c>
      <c r="AL31" s="111" t="n">
        <f aca="false">AL25+SUM(AL28:AL30)</f>
        <v>210681.122634185</v>
      </c>
      <c r="AM31" s="111" t="n">
        <f aca="false">AM25+SUM(AM28:AM30)</f>
        <v>221710.476441954</v>
      </c>
      <c r="AN31" s="111" t="n">
        <f aca="false">AN25+SUM(AN28:AN30)</f>
        <v>231615.571542028</v>
      </c>
      <c r="AO31" s="111" t="n">
        <f aca="false">AO25+SUM(AO28:AO30)</f>
        <v>240690.306976681</v>
      </c>
      <c r="AP31" s="111" t="n">
        <f aca="false">AP25+SUM(AP28:AP30)</f>
        <v>248857.253780456</v>
      </c>
      <c r="AQ31" s="111" t="n">
        <f aca="false">AQ25+SUM(AQ28:AQ30)</f>
        <v>256327.717341045</v>
      </c>
      <c r="AR31" s="111" t="n">
        <f aca="false">AR25+SUM(AR28:AR30)</f>
        <v>263096.319047551</v>
      </c>
      <c r="AS31" s="111" t="n">
        <f aca="false">AS25+SUM(AS28:AS30)</f>
        <v>292162.259680659</v>
      </c>
      <c r="AT31" s="111" t="n">
        <f aca="false">AT25+SUM(AT28:AT30)</f>
        <v>295639.34075907</v>
      </c>
      <c r="AU31" s="111" t="n">
        <f aca="false">AU25+SUM(AU28:AU30)</f>
        <v>298710.931890057</v>
      </c>
      <c r="AV31" s="111" t="n">
        <f aca="false">AV25+SUM(AV28:AV30)</f>
        <v>301338.080591875</v>
      </c>
      <c r="AW31" s="111" t="n">
        <f aca="false">AW25+SUM(AW28:AW30)</f>
        <v>303642.255805786</v>
      </c>
      <c r="AX31" s="111" t="n">
        <f aca="false">AX25+SUM(AX28:AX30)</f>
        <v>381769.94187159</v>
      </c>
      <c r="AY31" s="111" t="n">
        <f aca="false">AY25+SUM(AY28:AY30)</f>
        <v>397785.967634633</v>
      </c>
      <c r="AZ31" s="111" t="n">
        <f aca="false">AZ25+SUM(AZ28:AZ30)</f>
        <v>432491.164235293</v>
      </c>
      <c r="BA31" s="111" t="n">
        <f aca="false">BA25+SUM(BA28:BA30)</f>
        <v>449191.491119882</v>
      </c>
      <c r="BB31" s="111" t="n">
        <f aca="false">BB25+SUM(BB28:BB30)</f>
        <v>464577.213860589</v>
      </c>
      <c r="BC31" s="111" t="n">
        <f aca="false">BC25+SUM(BC28:BC30)</f>
        <v>478558.350835209</v>
      </c>
      <c r="BD31" s="111" t="n">
        <f aca="false">BD25+SUM(BD28:BD30)</f>
        <v>491369.183670111</v>
      </c>
      <c r="BE31" s="111" t="n">
        <f aca="false">BE25+SUM(BE28:BE30)</f>
        <v>503123.074271267</v>
      </c>
      <c r="BF31" s="111" t="n">
        <f aca="false">BF25+SUM(BF28:BF30)</f>
        <v>513864.110283493</v>
      </c>
      <c r="BG31" s="111" t="n">
        <f aca="false">BG25+SUM(BG28:BG30)</f>
        <v>523669.703010312</v>
      </c>
      <c r="BH31" s="111" t="n">
        <f aca="false">BH25+SUM(BH28:BH30)</f>
        <v>532633.701511004</v>
      </c>
      <c r="BI31" s="111" t="n">
        <f aca="false">BI25+SUM(BI28:BI30)</f>
        <v>540883.416658016</v>
      </c>
      <c r="BJ31" s="111" t="n">
        <f aca="false">SUM(B31:BI31)</f>
        <v>11291586.9370511</v>
      </c>
    </row>
    <row r="32" customFormat="false" ht="15" hidden="false" customHeight="false" outlineLevel="0" collapsed="false">
      <c r="A32" s="27" t="s">
        <v>429</v>
      </c>
      <c r="B32" s="110" t="n">
        <f aca="false">-(B15*INDEX(Premissas!$C$73:$G$73,B$7)+(B13-B15)*INDEX(Premissas!$C$74:$G$74,B$7)+IF(B$4&gt;=Premissas!$B$71,INDEX(Premissas!$C$72:$G$72,B$7),0))</f>
        <v>-0</v>
      </c>
      <c r="C32" s="110" t="n">
        <f aca="false">-(C15*INDEX(Premissas!$C$73:$G$73,C$7)+(C13-C15)*INDEX(Premissas!$C$74:$G$74,C$7)+IF(C$4&gt;=Premissas!$B$71,INDEX(Premissas!$C$72:$G$72,C$7),0))</f>
        <v>-0</v>
      </c>
      <c r="D32" s="110" t="n">
        <f aca="false">-(D15*INDEX(Premissas!$C$73:$G$73,D$7)+(D13-D15)*INDEX(Premissas!$C$74:$G$74,D$7)+IF(D$4&gt;=Premissas!$B$71,INDEX(Premissas!$C$72:$G$72,D$7),0))</f>
        <v>-0</v>
      </c>
      <c r="E32" s="110" t="n">
        <f aca="false">-(E15*INDEX(Premissas!$C$73:$G$73,E$7)+(E13-E15)*INDEX(Premissas!$C$74:$G$74,E$7)+IF(E$4&gt;=Premissas!$B$71,INDEX(Premissas!$C$72:$G$72,E$7),0))</f>
        <v>-0</v>
      </c>
      <c r="F32" s="110" t="n">
        <f aca="false">-(F15*INDEX(Premissas!$C$73:$G$73,F$7)+(F13-F15)*INDEX(Premissas!$C$74:$G$74,F$7)+IF(F$4&gt;=Premissas!$B$71,INDEX(Premissas!$C$72:$G$72,F$7),0))</f>
        <v>-600</v>
      </c>
      <c r="G32" s="110" t="n">
        <f aca="false">-(G15*INDEX(Premissas!$C$73:$G$73,G$7)+(G13-G15)*INDEX(Premissas!$C$74:$G$74,G$7)+IF(G$4&gt;=Premissas!$B$71,INDEX(Premissas!$C$72:$G$72,G$7),0))</f>
        <v>-600</v>
      </c>
      <c r="H32" s="110" t="n">
        <f aca="false">-(H15*INDEX(Premissas!$C$73:$G$73,H$7)+(H13-H15)*INDEX(Premissas!$C$74:$G$74,H$7)+IF(H$4&gt;=Premissas!$B$71,INDEX(Premissas!$C$72:$G$72,H$7),0))</f>
        <v>-600</v>
      </c>
      <c r="I32" s="110" t="n">
        <f aca="false">-(I15*INDEX(Premissas!$C$73:$G$73,I$7)+(I13-I15)*INDEX(Premissas!$C$74:$G$74,I$7)+IF(I$4&gt;=Premissas!$B$71,INDEX(Premissas!$C$72:$G$72,I$7),0))</f>
        <v>-600</v>
      </c>
      <c r="J32" s="110" t="n">
        <f aca="false">-(J15*INDEX(Premissas!$C$73:$G$73,J$7)+(J13-J15)*INDEX(Premissas!$C$74:$G$74,J$7)+IF(J$4&gt;=Premissas!$B$71,INDEX(Premissas!$C$72:$G$72,J$7),0))</f>
        <v>-600</v>
      </c>
      <c r="K32" s="110" t="n">
        <f aca="false">-(K15*INDEX(Premissas!$C$73:$G$73,K$7)+(K13-K15)*INDEX(Premissas!$C$74:$G$74,K$7)+IF(K$4&gt;=Premissas!$B$71,INDEX(Premissas!$C$72:$G$72,K$7),0))</f>
        <v>-897.12</v>
      </c>
      <c r="L32" s="110" t="n">
        <f aca="false">-(L15*INDEX(Premissas!$C$73:$G$73,L$7)+(L13-L15)*INDEX(Premissas!$C$74:$G$74,L$7)+IF(L$4&gt;=Premissas!$B$71,INDEX(Premissas!$C$72:$G$72,L$7),0))</f>
        <v>-1317.56</v>
      </c>
      <c r="M32" s="110" t="n">
        <f aca="false">-(M15*INDEX(Premissas!$C$73:$G$73,M$7)+(M13-M15)*INDEX(Premissas!$C$74:$G$74,M$7)+IF(M$4&gt;=Premissas!$B$71,INDEX(Premissas!$C$72:$G$72,M$7),0))</f>
        <v>-1841.292</v>
      </c>
      <c r="N32" s="110" t="n">
        <f aca="false">-(N15*INDEX(Premissas!$C$73:$G$73,N$7)+(N13-N15)*INDEX(Premissas!$C$74:$G$74,N$7)+IF(N$4&gt;=Premissas!$B$71,INDEX(Premissas!$C$72:$G$72,N$7),0))</f>
        <v>-4537.175248</v>
      </c>
      <c r="O32" s="110" t="n">
        <f aca="false">-(O15*INDEX(Premissas!$C$73:$G$73,O$7)+(O13-O15)*INDEX(Premissas!$C$74:$G$74,O$7)+IF(O$4&gt;=Premissas!$B$71,INDEX(Premissas!$C$72:$G$72,O$7),0))</f>
        <v>-5463.221464192</v>
      </c>
      <c r="P32" s="110" t="n">
        <f aca="false">-(P15*INDEX(Premissas!$C$73:$G$73,P$7)+(P13-P15)*INDEX(Premissas!$C$74:$G$74,P$7)+IF(P$4&gt;=Premissas!$B$71,INDEX(Premissas!$C$72:$G$72,P$7),0))</f>
        <v>-6482.16228362957</v>
      </c>
      <c r="Q32" s="110" t="n">
        <f aca="false">-(Q15*INDEX(Premissas!$C$73:$G$73,Q$7)+(Q13-Q15)*INDEX(Premissas!$C$74:$G$74,Q$7)+IF(Q$4&gt;=Premissas!$B$71,INDEX(Premissas!$C$72:$G$72,Q$7),0))</f>
        <v>-7058.74030440113</v>
      </c>
      <c r="R32" s="110" t="n">
        <f aca="false">-(R15*INDEX(Premissas!$C$73:$G$73,R$7)+(R13-R15)*INDEX(Premissas!$C$74:$G$74,R$7)+IF(R$4&gt;=Premissas!$B$71,INDEX(Premissas!$C$72:$G$72,R$7),0))</f>
        <v>-7580.52011517862</v>
      </c>
      <c r="S32" s="110" t="n">
        <f aca="false">-(S15*INDEX(Premissas!$C$73:$G$73,S$7)+(S13-S15)*INDEX(Premissas!$C$74:$G$74,S$7)+IF(S$4&gt;=Premissas!$B$71,INDEX(Premissas!$C$72:$G$72,S$7),0))</f>
        <v>-8051.84730412147</v>
      </c>
      <c r="T32" s="110" t="n">
        <f aca="false">-(T15*INDEX(Premissas!$C$73:$G$73,T$7)+(T13-T15)*INDEX(Premissas!$C$74:$G$74,T$7)+IF(T$4&gt;=Premissas!$B$71,INDEX(Premissas!$C$72:$G$72,T$7),0))</f>
        <v>-8478.23564292581</v>
      </c>
      <c r="U32" s="110" t="n">
        <f aca="false">-(U15*INDEX(Premissas!$C$73:$G$73,U$7)+(U13-U15)*INDEX(Premissas!$C$74:$G$74,U$7)+IF(U$4&gt;=Premissas!$B$71,INDEX(Premissas!$C$72:$G$72,U$7),0))</f>
        <v>-8863.72262120493</v>
      </c>
      <c r="V32" s="110" t="n">
        <f aca="false">-(V15*INDEX(Premissas!$C$73:$G$73,V$7)+(V13-V15)*INDEX(Premissas!$C$74:$G$74,V$7)+IF(V$4&gt;=Premissas!$B$71,INDEX(Premissas!$C$72:$G$72,V$7),0))</f>
        <v>-9212.21348956926</v>
      </c>
      <c r="W32" s="110" t="n">
        <f aca="false">-(W15*INDEX(Premissas!$C$73:$G$73,W$7)+(W13-W15)*INDEX(Premissas!$C$74:$G$74,W$7)+IF(W$4&gt;=Premissas!$B$71,INDEX(Premissas!$C$72:$G$72,W$7),0))</f>
        <v>-9527.49395457061</v>
      </c>
      <c r="X32" s="110" t="n">
        <f aca="false">-(X15*INDEX(Premissas!$C$73:$G$73,X$7)+(X13-X15)*INDEX(Premissas!$C$74:$G$74,X$7)+IF(X$4&gt;=Premissas!$B$71,INDEX(Premissas!$C$72:$G$72,X$7),0))</f>
        <v>-9811.91165493183</v>
      </c>
      <c r="Y32" s="110" t="n">
        <f aca="false">-(Y15*INDEX(Premissas!$C$73:$G$73,Y$7)+(Y13-Y15)*INDEX(Premissas!$C$74:$G$74,Y$7)+IF(Y$4&gt;=Premissas!$B$71,INDEX(Premissas!$C$72:$G$72,Y$7),0))</f>
        <v>-10069.0465360584</v>
      </c>
      <c r="Z32" s="110" t="n">
        <f aca="false">-(Z15*INDEX(Premissas!$C$73:$G$73,Z$7)+(Z13-Z15)*INDEX(Premissas!$C$74:$G$74,Z$7)+IF(Z$4&gt;=Premissas!$B$71,INDEX(Premissas!$C$72:$G$72,Z$7),0))</f>
        <v>-15500.9251128057</v>
      </c>
      <c r="AA32" s="110" t="n">
        <f aca="false">-(AA15*INDEX(Premissas!$C$73:$G$73,AA$7)+(AA13-AA15)*INDEX(Premissas!$C$74:$G$74,AA$7)+IF(AA$4&gt;=Premissas!$B$71,INDEX(Premissas!$C$72:$G$72,AA$7),0))</f>
        <v>-16035.9859011295</v>
      </c>
      <c r="AB32" s="110" t="n">
        <f aca="false">-(AB15*INDEX(Premissas!$C$73:$G$73,AB$7)+(AB13-AB15)*INDEX(Premissas!$C$74:$G$74,AB$7)+IF(AB$4&gt;=Premissas!$B$71,INDEX(Premissas!$C$72:$G$72,AB$7),0))</f>
        <v>-16521.6811512014</v>
      </c>
      <c r="AC32" s="110" t="n">
        <f aca="false">-(AC15*INDEX(Premissas!$C$73:$G$73,AC$7)+(AC13-AC15)*INDEX(Premissas!$C$74:$G$74,AC$7)+IF(AC$4&gt;=Premissas!$B$71,INDEX(Premissas!$C$72:$G$72,AC$7),0))</f>
        <v>-16962.8266374267</v>
      </c>
      <c r="AD32" s="110" t="n">
        <f aca="false">-(AD15*INDEX(Premissas!$C$73:$G$73,AD$7)+(AD13-AD15)*INDEX(Premissas!$C$74:$G$74,AD$7)+IF(AD$4&gt;=Premissas!$B$71,INDEX(Premissas!$C$72:$G$72,AD$7),0))</f>
        <v>-17362.9752878015</v>
      </c>
      <c r="AE32" s="110" t="n">
        <f aca="false">-(AE15*INDEX(Premissas!$C$73:$G$73,AE$7)+(AE13-AE15)*INDEX(Premissas!$C$74:$G$74,AE$7)+IF(AE$4&gt;=Premissas!$B$71,INDEX(Premissas!$C$72:$G$72,AE$7),0))</f>
        <v>-17725.5612427177</v>
      </c>
      <c r="AF32" s="110" t="n">
        <f aca="false">-(AF15*INDEX(Premissas!$C$73:$G$73,AF$7)+(AF13-AF15)*INDEX(Premissas!$C$74:$G$74,AF$7)+IF(AF$4&gt;=Premissas!$B$71,INDEX(Premissas!$C$72:$G$72,AF$7),0))</f>
        <v>-18056.1748024288</v>
      </c>
      <c r="AG32" s="110" t="n">
        <f aca="false">-(AG15*INDEX(Premissas!$C$73:$G$73,AG$7)+(AG13-AG15)*INDEX(Premissas!$C$74:$G$74,AG$7)+IF(AG$4&gt;=Premissas!$B$71,INDEX(Premissas!$C$72:$G$72,AG$7),0))</f>
        <v>-18355.780365597</v>
      </c>
      <c r="AH32" s="110" t="n">
        <f aca="false">-(AH15*INDEX(Premissas!$C$73:$G$73,AH$7)+(AH13-AH15)*INDEX(Premissas!$C$74:$G$74,AH$7)+IF(AH$4&gt;=Premissas!$B$71,INDEX(Premissas!$C$72:$G$72,AH$7),0))</f>
        <v>-18627.5174519036</v>
      </c>
      <c r="AI32" s="110" t="n">
        <f aca="false">-(AI15*INDEX(Premissas!$C$73:$G$73,AI$7)+(AI13-AI15)*INDEX(Premissas!$C$74:$G$74,AI$7)+IF(AI$4&gt;=Premissas!$B$71,INDEX(Premissas!$C$72:$G$72,AI$7),0))</f>
        <v>-18874.4448931361</v>
      </c>
      <c r="AJ32" s="110" t="n">
        <f aca="false">-(AJ15*INDEX(Premissas!$C$73:$G$73,AJ$7)+(AJ13-AJ15)*INDEX(Premissas!$C$74:$G$74,AJ$7)+IF(AJ$4&gt;=Premissas!$B$71,INDEX(Premissas!$C$72:$G$72,AJ$7),0))</f>
        <v>-19098.4162693847</v>
      </c>
      <c r="AK32" s="110" t="n">
        <f aca="false">-(AK15*INDEX(Premissas!$C$73:$G$73,AK$7)+(AK13-AK15)*INDEX(Premissas!$C$74:$G$74,AK$7)+IF(AK$4&gt;=Premissas!$B$71,INDEX(Premissas!$C$72:$G$72,AK$7),0))</f>
        <v>-19302.3506599182</v>
      </c>
      <c r="AL32" s="110" t="n">
        <f aca="false">-(AL15*INDEX(Premissas!$C$73:$G$73,AL$7)+(AL13-AL15)*INDEX(Premissas!$C$74:$G$74,AL$7)+IF(AL$4&gt;=Premissas!$B$71,INDEX(Premissas!$C$72:$G$72,AL$7),0))</f>
        <v>-28895.0336661841</v>
      </c>
      <c r="AM32" s="110" t="n">
        <f aca="false">-(AM15*INDEX(Premissas!$C$73:$G$73,AM$7)+(AM13-AM15)*INDEX(Premissas!$C$74:$G$74,AM$7)+IF(AM$4&gt;=Premissas!$B$71,INDEX(Premissas!$C$72:$G$72,AM$7),0))</f>
        <v>-29487.7363900796</v>
      </c>
      <c r="AN32" s="110" t="n">
        <f aca="false">-(AN15*INDEX(Premissas!$C$73:$G$73,AN$7)+(AN13-AN15)*INDEX(Premissas!$C$74:$G$74,AN$7)+IF(AN$4&gt;=Premissas!$B$71,INDEX(Premissas!$C$72:$G$72,AN$7),0))</f>
        <v>-30026.9714170462</v>
      </c>
      <c r="AO32" s="110" t="n">
        <f aca="false">-(AO15*INDEX(Premissas!$C$73:$G$73,AO$7)+(AO13-AO15)*INDEX(Premissas!$C$74:$G$74,AO$7)+IF(AO$4&gt;=Premissas!$B$71,INDEX(Premissas!$C$72:$G$72,AO$7),0))</f>
        <v>-30519.980513371</v>
      </c>
      <c r="AP32" s="110" t="n">
        <f aca="false">-(AP15*INDEX(Premissas!$C$73:$G$73,AP$7)+(AP13-AP15)*INDEX(Premissas!$C$74:$G$74,AP$7)+IF(AP$4&gt;=Premissas!$B$71,INDEX(Premissas!$C$72:$G$72,AP$7),0))</f>
        <v>-30967.9776191833</v>
      </c>
      <c r="AQ32" s="110" t="n">
        <f aca="false">-(AQ15*INDEX(Premissas!$C$73:$G$73,AQ$7)+(AQ13-AQ15)*INDEX(Premissas!$C$74:$G$74,AQ$7)+IF(AQ$4&gt;=Premissas!$B$71,INDEX(Premissas!$C$72:$G$72,AQ$7),0))</f>
        <v>-31376.9942729587</v>
      </c>
      <c r="AR32" s="110" t="n">
        <f aca="false">-(AR15*INDEX(Premissas!$C$73:$G$73,AR$7)+(AR13-AR15)*INDEX(Premissas!$C$74:$G$74,AR$7)+IF(AR$4&gt;=Premissas!$B$71,INDEX(Premissas!$C$72:$G$72,AR$7),0))</f>
        <v>-31750.0091137306</v>
      </c>
      <c r="AS32" s="110" t="n">
        <f aca="false">-(AS15*INDEX(Premissas!$C$73:$G$73,AS$7)+(AS13-AS15)*INDEX(Premissas!$C$74:$G$74,AS$7)+IF(AS$4&gt;=Premissas!$B$71,INDEX(Premissas!$C$72:$G$72,AS$7),0))</f>
        <v>-32089.9115426061</v>
      </c>
      <c r="AT32" s="110" t="n">
        <f aca="false">-(AT15*INDEX(Premissas!$C$73:$G$73,AT$7)+(AT13-AT15)*INDEX(Premissas!$C$74:$G$74,AT$7)+IF(AT$4&gt;=Premissas!$B$71,INDEX(Premissas!$C$72:$G$72,AT$7),0))</f>
        <v>-32399.5096179662</v>
      </c>
      <c r="AU32" s="110" t="n">
        <f aca="false">-(AU15*INDEX(Premissas!$C$73:$G$73,AU$7)+(AU13-AU15)*INDEX(Premissas!$C$74:$G$74,AU$7)+IF(AU$4&gt;=Premissas!$B$71,INDEX(Premissas!$C$72:$G$72,AU$7),0))</f>
        <v>-32681.5372521501</v>
      </c>
      <c r="AV32" s="110" t="n">
        <f aca="false">-(AV15*INDEX(Premissas!$C$73:$G$73,AV$7)+(AV13-AV15)*INDEX(Premissas!$C$74:$G$74,AV$7)+IF(AV$4&gt;=Premissas!$B$71,INDEX(Premissas!$C$72:$G$72,AV$7),0))</f>
        <v>-32938.6607714223</v>
      </c>
      <c r="AW32" s="110" t="n">
        <f aca="false">-(AW15*INDEX(Premissas!$C$73:$G$73,AW$7)+(AW13-AW15)*INDEX(Premissas!$C$74:$G$74,AW$7)+IF(AW$4&gt;=Premissas!$B$71,INDEX(Premissas!$C$72:$G$72,AW$7),0))</f>
        <v>-33173.4848955557</v>
      </c>
      <c r="AX32" s="110" t="n">
        <f aca="false">-(AX15*INDEX(Premissas!$C$73:$G$73,AX$7)+(AX13-AX15)*INDEX(Premissas!$C$74:$G$74,AX$7)+IF(AX$4&gt;=Premissas!$B$71,INDEX(Premissas!$C$72:$G$72,AX$7),0))</f>
        <v>-45724.1106006673</v>
      </c>
      <c r="AY32" s="110" t="n">
        <f aca="false">-(AY15*INDEX(Premissas!$C$73:$G$73,AY$7)+(AY13-AY15)*INDEX(Premissas!$C$74:$G$74,AY$7)+IF(AY$4&gt;=Premissas!$B$71,INDEX(Premissas!$C$72:$G$72,AY$7),0))</f>
        <v>-46521.7789751039</v>
      </c>
      <c r="AZ32" s="110" t="n">
        <f aca="false">-(AZ15*INDEX(Premissas!$C$73:$G$73,AZ$7)+(AZ13-AZ15)*INDEX(Premissas!$C$74:$G$74,AZ$7)+IF(AZ$4&gt;=Premissas!$B$71,INDEX(Premissas!$C$72:$G$72,AZ$7),0))</f>
        <v>-47250.9041482024</v>
      </c>
      <c r="BA32" s="110" t="n">
        <f aca="false">-(BA15*INDEX(Premissas!$C$73:$G$73,BA$7)+(BA13-BA15)*INDEX(Premissas!$C$74:$G$74,BA$7)+IF(BA$4&gt;=Premissas!$B$71,INDEX(Premissas!$C$72:$G$72,BA$7),0))</f>
        <v>-47918.4836188087</v>
      </c>
      <c r="BB32" s="110" t="n">
        <f aca="false">-(BB15*INDEX(Premissas!$C$73:$G$73,BB$7)+(BB13-BB15)*INDEX(Premissas!$C$74:$G$74,BB$7)+IF(BB$4&gt;=Premissas!$B$71,INDEX(Premissas!$C$72:$G$72,BB$7),0))</f>
        <v>-48529.6015586349</v>
      </c>
      <c r="BC32" s="110" t="n">
        <f aca="false">-(BC15*INDEX(Premissas!$C$73:$G$73,BC$7)+(BC13-BC15)*INDEX(Premissas!$C$74:$G$74,BC$7)+IF(BC$4&gt;=Premissas!$B$71,INDEX(Premissas!$C$72:$G$72,BC$7),0))</f>
        <v>-49088.3259856999</v>
      </c>
      <c r="BD32" s="110" t="n">
        <f aca="false">-(BD15*INDEX(Premissas!$C$73:$G$73,BD$7)+(BD13-BD15)*INDEX(Premissas!$C$74:$G$74,BD$7)+IF(BD$4&gt;=Premissas!$B$71,INDEX(Premissas!$C$72:$G$72,BD$7),0))</f>
        <v>-49599.489903823</v>
      </c>
      <c r="BE32" s="110" t="n">
        <f aca="false">-(BE15*INDEX(Premissas!$C$73:$G$73,BE$7)+(BE13-BE15)*INDEX(Premissas!$C$74:$G$74,BE$7)+IF(BE$4&gt;=Premissas!$B$71,INDEX(Premissas!$C$72:$G$72,BE$7),0))</f>
        <v>-50067.8164959892</v>
      </c>
      <c r="BF32" s="110" t="n">
        <f aca="false">-(BF15*INDEX(Premissas!$C$73:$G$73,BF$7)+(BF13-BF15)*INDEX(Premissas!$C$74:$G$74,BF$7)+IF(BF$4&gt;=Premissas!$B$71,INDEX(Premissas!$C$72:$G$72,BF$7),0))</f>
        <v>-50496.1584519435</v>
      </c>
      <c r="BG32" s="110" t="n">
        <f aca="false">-(BG15*INDEX(Premissas!$C$73:$G$73,BG$7)+(BG13-BG15)*INDEX(Premissas!$C$74:$G$74,BG$7)+IF(BG$4&gt;=Premissas!$B$71,INDEX(Premissas!$C$72:$G$72,BG$7),0))</f>
        <v>-50888.1615035501</v>
      </c>
      <c r="BH32" s="110" t="n">
        <f aca="false">-(BH15*INDEX(Premissas!$C$73:$G$73,BH$7)+(BH13-BH15)*INDEX(Premissas!$C$74:$G$74,BH$7)+IF(BH$4&gt;=Premissas!$B$71,INDEX(Premissas!$C$72:$G$72,BH$7),0))</f>
        <v>-51246.5022352027</v>
      </c>
      <c r="BI32" s="110" t="n">
        <f aca="false">-(BI15*INDEX(Premissas!$C$73:$G$73,BI$7)+(BI13-BI15)*INDEX(Premissas!$C$74:$G$74,BI$7)+IF(BI$4&gt;=Premissas!$B$71,INDEX(Premissas!$C$72:$G$72,BI$7),0))</f>
        <v>-51574.6652308618</v>
      </c>
      <c r="BJ32" s="111" t="n">
        <f aca="false">SUM(B32:BI32)</f>
        <v>-1279830.70817498</v>
      </c>
    </row>
    <row r="33" customFormat="false" ht="15" hidden="false" customHeight="false" outlineLevel="0" collapsed="false">
      <c r="A33" s="27" t="s">
        <v>430</v>
      </c>
      <c r="B33" s="110" t="n">
        <f aca="false">-B15*INDEX(Premissas!$C$75:$G$75,B$7)</f>
        <v>-0</v>
      </c>
      <c r="C33" s="110" t="n">
        <f aca="false">-C15*INDEX(Premissas!$C$75:$G$75,C$7)</f>
        <v>-0</v>
      </c>
      <c r="D33" s="110" t="n">
        <f aca="false">-D15*INDEX(Premissas!$C$75:$G$75,D$7)</f>
        <v>-0</v>
      </c>
      <c r="E33" s="110" t="n">
        <f aca="false">-E15*INDEX(Premissas!$C$75:$G$75,E$7)</f>
        <v>-0</v>
      </c>
      <c r="F33" s="110" t="n">
        <f aca="false">-F15*INDEX(Premissas!$C$75:$G$75,F$7)</f>
        <v>-0</v>
      </c>
      <c r="G33" s="110" t="n">
        <f aca="false">-G15*INDEX(Premissas!$C$75:$G$75,G$7)</f>
        <v>-0</v>
      </c>
      <c r="H33" s="110" t="n">
        <f aca="false">-H15*INDEX(Premissas!$C$75:$G$75,H$7)</f>
        <v>-0</v>
      </c>
      <c r="I33" s="110" t="n">
        <f aca="false">-I15*INDEX(Premissas!$C$75:$G$75,I$7)</f>
        <v>-0</v>
      </c>
      <c r="J33" s="110" t="n">
        <f aca="false">-J15*INDEX(Premissas!$C$75:$G$75,J$7)</f>
        <v>-0</v>
      </c>
      <c r="K33" s="110" t="n">
        <f aca="false">-K15*INDEX(Premissas!$C$75:$G$75,K$7)</f>
        <v>-18.9</v>
      </c>
      <c r="L33" s="110" t="n">
        <f aca="false">-L15*INDEX(Premissas!$C$75:$G$75,L$7)</f>
        <v>-72.1</v>
      </c>
      <c r="M33" s="110" t="n">
        <f aca="false">-M15*INDEX(Premissas!$C$75:$G$75,M$7)</f>
        <v>-154.35</v>
      </c>
      <c r="N33" s="110" t="n">
        <f aca="false">-N15*INDEX(Premissas!$C$75:$G$75,N$7)</f>
        <v>-316.05</v>
      </c>
      <c r="O33" s="110" t="n">
        <f aca="false">-O15*INDEX(Premissas!$C$75:$G$75,O$7)</f>
        <v>-500.85</v>
      </c>
      <c r="P33" s="110" t="n">
        <f aca="false">-P15*INDEX(Premissas!$C$75:$G$75,P$7)</f>
        <v>-715.75</v>
      </c>
      <c r="Q33" s="110" t="n">
        <f aca="false">-Q15*INDEX(Premissas!$C$75:$G$75,Q$7)</f>
        <v>-819.35</v>
      </c>
      <c r="R33" s="110" t="n">
        <f aca="false">-R15*INDEX(Premissas!$C$75:$G$75,R$7)</f>
        <v>-913.15</v>
      </c>
      <c r="S33" s="110" t="n">
        <f aca="false">-S15*INDEX(Premissas!$C$75:$G$75,S$7)</f>
        <v>-997.85</v>
      </c>
      <c r="T33" s="110" t="n">
        <f aca="false">-T15*INDEX(Premissas!$C$75:$G$75,T$7)</f>
        <v>-1074.5</v>
      </c>
      <c r="U33" s="110" t="n">
        <f aca="false">-U15*INDEX(Premissas!$C$75:$G$75,U$7)</f>
        <v>-1143.8</v>
      </c>
      <c r="V33" s="110" t="n">
        <f aca="false">-V15*INDEX(Premissas!$C$75:$G$75,V$7)</f>
        <v>-1206.45</v>
      </c>
      <c r="W33" s="110" t="n">
        <f aca="false">-W15*INDEX(Premissas!$C$75:$G$75,W$7)</f>
        <v>-1263.15</v>
      </c>
      <c r="X33" s="110" t="n">
        <f aca="false">-X15*INDEX(Premissas!$C$75:$G$75,X$7)</f>
        <v>-1314.25</v>
      </c>
      <c r="Y33" s="110" t="n">
        <f aca="false">-Y15*INDEX(Premissas!$C$75:$G$75,Y$7)</f>
        <v>-1360.45</v>
      </c>
      <c r="Z33" s="110" t="n">
        <f aca="false">-Z15*INDEX(Premissas!$C$75:$G$75,Z$7)</f>
        <v>-1366.8</v>
      </c>
      <c r="AA33" s="110" t="n">
        <f aca="false">-AA15*INDEX(Premissas!$C$75:$G$75,AA$7)</f>
        <v>-1464.3</v>
      </c>
      <c r="AB33" s="110" t="n">
        <f aca="false">-AB15*INDEX(Premissas!$C$75:$G$75,AB$7)</f>
        <v>-1552.8</v>
      </c>
      <c r="AC33" s="110" t="n">
        <f aca="false">-AC15*INDEX(Premissas!$C$75:$G$75,AC$7)</f>
        <v>-1633.2</v>
      </c>
      <c r="AD33" s="110" t="n">
        <f aca="false">-AD15*INDEX(Premissas!$C$75:$G$75,AD$7)</f>
        <v>-1706.1</v>
      </c>
      <c r="AE33" s="110" t="n">
        <f aca="false">-AE15*INDEX(Premissas!$C$75:$G$75,AE$7)</f>
        <v>-1772.1</v>
      </c>
      <c r="AF33" s="110" t="n">
        <f aca="false">-AF15*INDEX(Premissas!$C$75:$G$75,AF$7)</f>
        <v>-1832.4</v>
      </c>
      <c r="AG33" s="110" t="n">
        <f aca="false">-AG15*INDEX(Premissas!$C$75:$G$75,AG$7)</f>
        <v>-1887</v>
      </c>
      <c r="AH33" s="110" t="n">
        <f aca="false">-AH15*INDEX(Premissas!$C$75:$G$75,AH$7)</f>
        <v>-1936.5</v>
      </c>
      <c r="AI33" s="110" t="n">
        <f aca="false">-AI15*INDEX(Premissas!$C$75:$G$75,AI$7)</f>
        <v>-1981.5</v>
      </c>
      <c r="AJ33" s="110" t="n">
        <f aca="false">-AJ15*INDEX(Premissas!$C$75:$G$75,AJ$7)</f>
        <v>-2022.3</v>
      </c>
      <c r="AK33" s="110" t="n">
        <f aca="false">-AK15*INDEX(Premissas!$C$75:$G$75,AK$7)</f>
        <v>-2059.5</v>
      </c>
      <c r="AL33" s="110" t="n">
        <f aca="false">-AL15*INDEX(Premissas!$C$75:$G$75,AL$7)</f>
        <v>-2207.52</v>
      </c>
      <c r="AM33" s="110" t="n">
        <f aca="false">-AM15*INDEX(Premissas!$C$75:$G$75,AM$7)</f>
        <v>-2327.64</v>
      </c>
      <c r="AN33" s="110" t="n">
        <f aca="false">-AN15*INDEX(Premissas!$C$75:$G$75,AN$7)</f>
        <v>-2436.84</v>
      </c>
      <c r="AO33" s="110" t="n">
        <f aca="false">-AO15*INDEX(Premissas!$C$75:$G$75,AO$7)</f>
        <v>-2536.8</v>
      </c>
      <c r="AP33" s="110" t="n">
        <f aca="false">-AP15*INDEX(Premissas!$C$75:$G$75,AP$7)</f>
        <v>-2627.52</v>
      </c>
      <c r="AQ33" s="110" t="n">
        <f aca="false">-AQ15*INDEX(Premissas!$C$75:$G$75,AQ$7)</f>
        <v>-2710.4</v>
      </c>
      <c r="AR33" s="110" t="n">
        <f aca="false">-AR15*INDEX(Premissas!$C$75:$G$75,AR$7)</f>
        <v>-2786</v>
      </c>
      <c r="AS33" s="110" t="n">
        <f aca="false">-AS15*INDEX(Premissas!$C$75:$G$75,AS$7)</f>
        <v>-2854.88</v>
      </c>
      <c r="AT33" s="110" t="n">
        <f aca="false">-AT15*INDEX(Premissas!$C$75:$G$75,AT$7)</f>
        <v>-2917.6</v>
      </c>
      <c r="AU33" s="110" t="n">
        <f aca="false">-AU15*INDEX(Premissas!$C$75:$G$75,AU$7)</f>
        <v>-2974.72</v>
      </c>
      <c r="AV33" s="110" t="n">
        <f aca="false">-AV15*INDEX(Premissas!$C$75:$G$75,AV$7)</f>
        <v>-3026.8</v>
      </c>
      <c r="AW33" s="110" t="n">
        <f aca="false">-AW15*INDEX(Premissas!$C$75:$G$75,AW$7)</f>
        <v>-3074.4</v>
      </c>
      <c r="AX33" s="110" t="n">
        <f aca="false">-AX15*INDEX(Premissas!$C$75:$G$75,AX$7)</f>
        <v>-3138.5</v>
      </c>
      <c r="AY33" s="110" t="n">
        <f aca="false">-AY15*INDEX(Premissas!$C$75:$G$75,AY$7)</f>
        <v>-3297.75</v>
      </c>
      <c r="AZ33" s="110" t="n">
        <f aca="false">-AZ15*INDEX(Premissas!$C$75:$G$75,AZ$7)</f>
        <v>-3443.25</v>
      </c>
      <c r="BA33" s="110" t="n">
        <f aca="false">-BA15*INDEX(Premissas!$C$75:$G$75,BA$7)</f>
        <v>-3576.5</v>
      </c>
      <c r="BB33" s="110" t="n">
        <f aca="false">-BB15*INDEX(Premissas!$C$75:$G$75,BB$7)</f>
        <v>-3698.5</v>
      </c>
      <c r="BC33" s="110" t="n">
        <f aca="false">-BC15*INDEX(Premissas!$C$75:$G$75,BC$7)</f>
        <v>-3810</v>
      </c>
      <c r="BD33" s="110" t="n">
        <f aca="false">-BD15*INDEX(Premissas!$C$75:$G$75,BD$7)</f>
        <v>-3912</v>
      </c>
      <c r="BE33" s="110" t="n">
        <f aca="false">-BE15*INDEX(Premissas!$C$75:$G$75,BE$7)</f>
        <v>-4005.5</v>
      </c>
      <c r="BF33" s="110" t="n">
        <f aca="false">-BF15*INDEX(Premissas!$C$75:$G$75,BF$7)</f>
        <v>-4091</v>
      </c>
      <c r="BG33" s="110" t="n">
        <f aca="false">-BG15*INDEX(Premissas!$C$75:$G$75,BG$7)</f>
        <v>-4169.25</v>
      </c>
      <c r="BH33" s="110" t="n">
        <f aca="false">-BH15*INDEX(Premissas!$C$75:$G$75,BH$7)</f>
        <v>-4240.75</v>
      </c>
      <c r="BI33" s="110" t="n">
        <f aca="false">-BI15*INDEX(Premissas!$C$75:$G$75,BI$7)</f>
        <v>-4306.25</v>
      </c>
      <c r="BJ33" s="111" t="n">
        <f aca="false">SUM(B33:BI33)</f>
        <v>-111255.82</v>
      </c>
    </row>
    <row r="34" customFormat="false" ht="15" hidden="false" customHeight="false" outlineLevel="0" collapsed="false">
      <c r="A34" s="27" t="s">
        <v>581</v>
      </c>
      <c r="B34" s="110" t="n">
        <f aca="false">-Pessoas!B45</f>
        <v>-0</v>
      </c>
      <c r="C34" s="110" t="n">
        <f aca="false">-Pessoas!C45</f>
        <v>-0</v>
      </c>
      <c r="D34" s="110" t="n">
        <f aca="false">-Pessoas!D45</f>
        <v>-0</v>
      </c>
      <c r="E34" s="110" t="n">
        <f aca="false">-Pessoas!E45</f>
        <v>-0</v>
      </c>
      <c r="F34" s="110" t="n">
        <f aca="false">-Pessoas!F45</f>
        <v>-0</v>
      </c>
      <c r="G34" s="110" t="n">
        <f aca="false">-Pessoas!G45</f>
        <v>-0</v>
      </c>
      <c r="H34" s="110" t="n">
        <f aca="false">-Pessoas!H45</f>
        <v>-0</v>
      </c>
      <c r="I34" s="110" t="n">
        <f aca="false">-Pessoas!I45</f>
        <v>-0</v>
      </c>
      <c r="J34" s="110" t="n">
        <f aca="false">-Pessoas!J45</f>
        <v>-0</v>
      </c>
      <c r="K34" s="110" t="n">
        <f aca="false">-Pessoas!K45</f>
        <v>-0</v>
      </c>
      <c r="L34" s="110" t="n">
        <f aca="false">-Pessoas!L45</f>
        <v>-0</v>
      </c>
      <c r="M34" s="110" t="n">
        <f aca="false">-Pessoas!M45</f>
        <v>-0</v>
      </c>
      <c r="N34" s="110" t="n">
        <f aca="false">-Pessoas!N45</f>
        <v>-42500</v>
      </c>
      <c r="O34" s="110" t="n">
        <f aca="false">-Pessoas!O45</f>
        <v>-42500</v>
      </c>
      <c r="P34" s="110" t="n">
        <f aca="false">-Pessoas!P45</f>
        <v>-42500</v>
      </c>
      <c r="Q34" s="110" t="n">
        <f aca="false">-Pessoas!Q45</f>
        <v>-42500</v>
      </c>
      <c r="R34" s="110" t="n">
        <f aca="false">-Pessoas!R45</f>
        <v>-42500</v>
      </c>
      <c r="S34" s="110" t="n">
        <f aca="false">-Pessoas!S45</f>
        <v>-42500</v>
      </c>
      <c r="T34" s="110" t="n">
        <f aca="false">-Pessoas!T45</f>
        <v>-42500</v>
      </c>
      <c r="U34" s="110" t="n">
        <f aca="false">-Pessoas!U45</f>
        <v>-42500</v>
      </c>
      <c r="V34" s="110" t="n">
        <f aca="false">-Pessoas!V45</f>
        <v>-42500</v>
      </c>
      <c r="W34" s="110" t="n">
        <f aca="false">-Pessoas!W45</f>
        <v>-42500</v>
      </c>
      <c r="X34" s="110" t="n">
        <f aca="false">-Pessoas!X45</f>
        <v>-42500</v>
      </c>
      <c r="Y34" s="110" t="n">
        <f aca="false">-Pessoas!Y45</f>
        <v>-42500</v>
      </c>
      <c r="Z34" s="110" t="n">
        <f aca="false">-Pessoas!Z45</f>
        <v>-117500</v>
      </c>
      <c r="AA34" s="110" t="n">
        <f aca="false">-Pessoas!AA45</f>
        <v>-117500</v>
      </c>
      <c r="AB34" s="110" t="n">
        <f aca="false">-Pessoas!AB45</f>
        <v>-117500</v>
      </c>
      <c r="AC34" s="110" t="n">
        <f aca="false">-Pessoas!AC45</f>
        <v>-117500</v>
      </c>
      <c r="AD34" s="110" t="n">
        <f aca="false">-Pessoas!AD45</f>
        <v>-117500</v>
      </c>
      <c r="AE34" s="110" t="n">
        <f aca="false">-Pessoas!AE45</f>
        <v>-117500</v>
      </c>
      <c r="AF34" s="110" t="n">
        <f aca="false">-Pessoas!AF45</f>
        <v>-117500</v>
      </c>
      <c r="AG34" s="110" t="n">
        <f aca="false">-Pessoas!AG45</f>
        <v>-117500</v>
      </c>
      <c r="AH34" s="110" t="n">
        <f aca="false">-Pessoas!AH45</f>
        <v>-117500</v>
      </c>
      <c r="AI34" s="110" t="n">
        <f aca="false">-Pessoas!AI45</f>
        <v>-117500</v>
      </c>
      <c r="AJ34" s="110" t="n">
        <f aca="false">-Pessoas!AJ45</f>
        <v>-117500</v>
      </c>
      <c r="AK34" s="110" t="n">
        <f aca="false">-Pessoas!AK45</f>
        <v>-117500</v>
      </c>
      <c r="AL34" s="110" t="n">
        <f aca="false">-Pessoas!AL45</f>
        <v>-253300</v>
      </c>
      <c r="AM34" s="110" t="n">
        <f aca="false">-Pessoas!AM45</f>
        <v>-253300</v>
      </c>
      <c r="AN34" s="110" t="n">
        <f aca="false">-Pessoas!AN45</f>
        <v>-253300</v>
      </c>
      <c r="AO34" s="110" t="n">
        <f aca="false">-Pessoas!AO45</f>
        <v>-253300</v>
      </c>
      <c r="AP34" s="110" t="n">
        <f aca="false">-Pessoas!AP45</f>
        <v>-253300</v>
      </c>
      <c r="AQ34" s="110" t="n">
        <f aca="false">-Pessoas!AQ45</f>
        <v>-253300</v>
      </c>
      <c r="AR34" s="110" t="n">
        <f aca="false">-Pessoas!AR45</f>
        <v>-253300</v>
      </c>
      <c r="AS34" s="110" t="n">
        <f aca="false">-Pessoas!AS45</f>
        <v>-253300</v>
      </c>
      <c r="AT34" s="110" t="n">
        <f aca="false">-Pessoas!AT45</f>
        <v>-253300</v>
      </c>
      <c r="AU34" s="110" t="n">
        <f aca="false">-Pessoas!AU45</f>
        <v>-253300</v>
      </c>
      <c r="AV34" s="110" t="n">
        <f aca="false">-Pessoas!AV45</f>
        <v>-253300</v>
      </c>
      <c r="AW34" s="110" t="n">
        <f aca="false">-Pessoas!AW45</f>
        <v>-253300</v>
      </c>
      <c r="AX34" s="110" t="n">
        <f aca="false">-Pessoas!AX45</f>
        <v>-374300</v>
      </c>
      <c r="AY34" s="110" t="n">
        <f aca="false">-Pessoas!AY45</f>
        <v>-374300</v>
      </c>
      <c r="AZ34" s="110" t="n">
        <f aca="false">-Pessoas!AZ45</f>
        <v>-374300</v>
      </c>
      <c r="BA34" s="110" t="n">
        <f aca="false">-Pessoas!BA45</f>
        <v>-374300</v>
      </c>
      <c r="BB34" s="110" t="n">
        <f aca="false">-Pessoas!BB45</f>
        <v>-374300</v>
      </c>
      <c r="BC34" s="110" t="n">
        <f aca="false">-Pessoas!BC45</f>
        <v>-374300</v>
      </c>
      <c r="BD34" s="110" t="n">
        <f aca="false">-Pessoas!BD45</f>
        <v>-374300</v>
      </c>
      <c r="BE34" s="110" t="n">
        <f aca="false">-Pessoas!BE45</f>
        <v>-374300</v>
      </c>
      <c r="BF34" s="110" t="n">
        <f aca="false">-Pessoas!BF45</f>
        <v>-374300</v>
      </c>
      <c r="BG34" s="110" t="n">
        <f aca="false">-Pessoas!BG45</f>
        <v>-374300</v>
      </c>
      <c r="BH34" s="110" t="n">
        <f aca="false">-Pessoas!BH45</f>
        <v>-374300</v>
      </c>
      <c r="BI34" s="110" t="n">
        <f aca="false">-Pessoas!BI45</f>
        <v>-374300</v>
      </c>
      <c r="BJ34" s="111" t="n">
        <f aca="false">SUM(B34:BI34)</f>
        <v>-9451200</v>
      </c>
    </row>
    <row r="35" customFormat="false" ht="15" hidden="false" customHeight="false" outlineLevel="0" collapsed="false">
      <c r="A35" s="27" t="s">
        <v>435</v>
      </c>
      <c r="B35" s="110" t="n">
        <f aca="false">-(B10*(1-INDEX(Premissas!$C$59:$G$59,B$7))*INDEX(Premissas!$C$56:$G$56,B$7)+IF(B$4&gt;=Premissas!$B$79,INDEX(Premissas!$C$78:$G$78,B$7),0)+IF(B$4=DATE(YEAR(Premissas!$B$81),MONTH(Premissas!$B$81),1),Premissas!$B$80,0))</f>
        <v>-0</v>
      </c>
      <c r="C35" s="110" t="n">
        <f aca="false">-(C10*(1-INDEX(Premissas!$C$59:$G$59,C$7))*INDEX(Premissas!$C$56:$G$56,C$7)+IF(C$4&gt;=Premissas!$B$79,INDEX(Premissas!$C$78:$G$78,C$7),0)+IF(C$4=DATE(YEAR(Premissas!$B$81),MONTH(Premissas!$B$81),1),Premissas!$B$80,0))</f>
        <v>-0</v>
      </c>
      <c r="D35" s="110" t="n">
        <f aca="false">-(D10*(1-INDEX(Premissas!$C$59:$G$59,D$7))*INDEX(Premissas!$C$56:$G$56,D$7)+IF(D$4&gt;=Premissas!$B$79,INDEX(Premissas!$C$78:$G$78,D$7),0)+IF(D$4=DATE(YEAR(Premissas!$B$81),MONTH(Premissas!$B$81),1),Premissas!$B$80,0))</f>
        <v>-0</v>
      </c>
      <c r="E35" s="110" t="n">
        <f aca="false">-(E10*(1-INDEX(Premissas!$C$59:$G$59,E$7))*INDEX(Premissas!$C$56:$G$56,E$7)+IF(E$4&gt;=Premissas!$B$79,INDEX(Premissas!$C$78:$G$78,E$7),0)+IF(E$4=DATE(YEAR(Premissas!$B$81),MONTH(Premissas!$B$81),1),Premissas!$B$80,0))</f>
        <v>-0</v>
      </c>
      <c r="F35" s="110" t="n">
        <f aca="false">-(F10*(1-INDEX(Premissas!$C$59:$G$59,F$7))*INDEX(Premissas!$C$56:$G$56,F$7)+IF(F$4&gt;=Premissas!$B$79,INDEX(Premissas!$C$78:$G$78,F$7),0)+IF(F$4=DATE(YEAR(Premissas!$B$81),MONTH(Premissas!$B$81),1),Premissas!$B$80,0))</f>
        <v>-0</v>
      </c>
      <c r="G35" s="110" t="n">
        <f aca="false">-(G10*(1-INDEX(Premissas!$C$59:$G$59,G$7))*INDEX(Premissas!$C$56:$G$56,G$7)+IF(G$4&gt;=Premissas!$B$79,INDEX(Premissas!$C$78:$G$78,G$7),0)+IF(G$4=DATE(YEAR(Premissas!$B$81),MONTH(Premissas!$B$81),1),Premissas!$B$80,0))</f>
        <v>-0</v>
      </c>
      <c r="H35" s="110" t="n">
        <f aca="false">-(H10*(1-INDEX(Premissas!$C$59:$G$59,H$7))*INDEX(Premissas!$C$56:$G$56,H$7)+IF(H$4&gt;=Premissas!$B$79,INDEX(Premissas!$C$78:$G$78,H$7),0)+IF(H$4=DATE(YEAR(Premissas!$B$81),MONTH(Premissas!$B$81),1),Premissas!$B$80,0))</f>
        <v>-0</v>
      </c>
      <c r="I35" s="110" t="n">
        <f aca="false">-(I10*(1-INDEX(Premissas!$C$59:$G$59,I$7))*INDEX(Premissas!$C$56:$G$56,I$7)+IF(I$4&gt;=Premissas!$B$79,INDEX(Premissas!$C$78:$G$78,I$7),0)+IF(I$4=DATE(YEAR(Premissas!$B$81),MONTH(Premissas!$B$81),1),Premissas!$B$80,0))</f>
        <v>-0</v>
      </c>
      <c r="J35" s="110" t="n">
        <f aca="false">-(J10*(1-INDEX(Premissas!$C$59:$G$59,J$7))*INDEX(Premissas!$C$56:$G$56,J$7)+IF(J$4&gt;=Premissas!$B$79,INDEX(Premissas!$C$78:$G$78,J$7),0)+IF(J$4=DATE(YEAR(Premissas!$B$81),MONTH(Premissas!$B$81),1),Premissas!$B$80,0))</f>
        <v>-0</v>
      </c>
      <c r="K35" s="110" t="n">
        <f aca="false">-(K10*(1-INDEX(Premissas!$C$59:$G$59,K$7))*INDEX(Premissas!$C$56:$G$56,K$7)+IF(K$4&gt;=Premissas!$B$79,INDEX(Premissas!$C$78:$G$78,K$7),0)+IF(K$4=DATE(YEAR(Premissas!$B$81),MONTH(Premissas!$B$81),1),Premissas!$B$80,0))</f>
        <v>-58408</v>
      </c>
      <c r="L35" s="110" t="n">
        <f aca="false">-(L10*(1-INDEX(Premissas!$C$59:$G$59,L$7))*INDEX(Premissas!$C$56:$G$56,L$7)+IF(L$4&gt;=Premissas!$B$79,INDEX(Premissas!$C$78:$G$78,L$7),0)+IF(L$4=DATE(YEAR(Premissas!$B$81),MONTH(Premissas!$B$81),1),Premissas!$B$80,0))</f>
        <v>-33408</v>
      </c>
      <c r="M35" s="110" t="n">
        <f aca="false">-(M10*(1-INDEX(Premissas!$C$59:$G$59,M$7))*INDEX(Premissas!$C$56:$G$56,M$7)+IF(M$4&gt;=Premissas!$B$79,INDEX(Premissas!$C$78:$G$78,M$7),0)+IF(M$4=DATE(YEAR(Premissas!$B$81),MONTH(Premissas!$B$81),1),Premissas!$B$80,0))</f>
        <v>-33408</v>
      </c>
      <c r="N35" s="110" t="n">
        <f aca="false">-(N10*(1-INDEX(Premissas!$C$59:$G$59,N$7))*INDEX(Premissas!$C$56:$G$56,N$7)+IF(N$4&gt;=Premissas!$B$79,INDEX(Premissas!$C$78:$G$78,N$7),0)+IF(N$4=DATE(YEAR(Premissas!$B$81),MONTH(Premissas!$B$81),1),Premissas!$B$80,0))</f>
        <v>-63798.7584</v>
      </c>
      <c r="O35" s="110" t="n">
        <f aca="false">-(O10*(1-INDEX(Premissas!$C$59:$G$59,O$7))*INDEX(Premissas!$C$56:$G$56,O$7)+IF(O$4&gt;=Premissas!$B$79,INDEX(Premissas!$C$78:$G$78,O$7),0)+IF(O$4=DATE(YEAR(Premissas!$B$81),MONTH(Premissas!$B$81),1),Premissas!$B$80,0))</f>
        <v>-63798.7584</v>
      </c>
      <c r="P35" s="110" t="n">
        <f aca="false">-(P10*(1-INDEX(Premissas!$C$59:$G$59,P$7))*INDEX(Premissas!$C$56:$G$56,P$7)+IF(P$4&gt;=Premissas!$B$79,INDEX(Premissas!$C$78:$G$78,P$7),0)+IF(P$4=DATE(YEAR(Premissas!$B$81),MONTH(Premissas!$B$81),1),Premissas!$B$80,0))</f>
        <v>-63798.7584</v>
      </c>
      <c r="Q35" s="110" t="n">
        <f aca="false">-(Q10*(1-INDEX(Premissas!$C$59:$G$59,Q$7))*INDEX(Premissas!$C$56:$G$56,Q$7)+IF(Q$4&gt;=Premissas!$B$79,INDEX(Premissas!$C$78:$G$78,Q$7),0)+IF(Q$4=DATE(YEAR(Premissas!$B$81),MONTH(Premissas!$B$81),1),Premissas!$B$80,0))</f>
        <v>-63798.7584</v>
      </c>
      <c r="R35" s="110" t="n">
        <f aca="false">-(R10*(1-INDEX(Premissas!$C$59:$G$59,R$7))*INDEX(Premissas!$C$56:$G$56,R$7)+IF(R$4&gt;=Premissas!$B$79,INDEX(Premissas!$C$78:$G$78,R$7),0)+IF(R$4=DATE(YEAR(Premissas!$B$81),MONTH(Premissas!$B$81),1),Premissas!$B$80,0))</f>
        <v>-63798.7584</v>
      </c>
      <c r="S35" s="110" t="n">
        <f aca="false">-(S10*(1-INDEX(Premissas!$C$59:$G$59,S$7))*INDEX(Premissas!$C$56:$G$56,S$7)+IF(S$4&gt;=Premissas!$B$79,INDEX(Premissas!$C$78:$G$78,S$7),0)+IF(S$4=DATE(YEAR(Premissas!$B$81),MONTH(Premissas!$B$81),1),Premissas!$B$80,0))</f>
        <v>-63798.7584</v>
      </c>
      <c r="T35" s="110" t="n">
        <f aca="false">-(T10*(1-INDEX(Premissas!$C$59:$G$59,T$7))*INDEX(Premissas!$C$56:$G$56,T$7)+IF(T$4&gt;=Premissas!$B$79,INDEX(Premissas!$C$78:$G$78,T$7),0)+IF(T$4=DATE(YEAR(Premissas!$B$81),MONTH(Premissas!$B$81),1),Premissas!$B$80,0))</f>
        <v>-63798.7584</v>
      </c>
      <c r="U35" s="110" t="n">
        <f aca="false">-(U10*(1-INDEX(Premissas!$C$59:$G$59,U$7))*INDEX(Premissas!$C$56:$G$56,U$7)+IF(U$4&gt;=Premissas!$B$79,INDEX(Premissas!$C$78:$G$78,U$7),0)+IF(U$4=DATE(YEAR(Premissas!$B$81),MONTH(Premissas!$B$81),1),Premissas!$B$80,0))</f>
        <v>-63798.7584</v>
      </c>
      <c r="V35" s="110" t="n">
        <f aca="false">-(V10*(1-INDEX(Premissas!$C$59:$G$59,V$7))*INDEX(Premissas!$C$56:$G$56,V$7)+IF(V$4&gt;=Premissas!$B$79,INDEX(Premissas!$C$78:$G$78,V$7),0)+IF(V$4=DATE(YEAR(Premissas!$B$81),MONTH(Premissas!$B$81),1),Premissas!$B$80,0))</f>
        <v>-63798.7584</v>
      </c>
      <c r="W35" s="110" t="n">
        <f aca="false">-(W10*(1-INDEX(Premissas!$C$59:$G$59,W$7))*INDEX(Premissas!$C$56:$G$56,W$7)+IF(W$4&gt;=Premissas!$B$79,INDEX(Premissas!$C$78:$G$78,W$7),0)+IF(W$4=DATE(YEAR(Premissas!$B$81),MONTH(Premissas!$B$81),1),Premissas!$B$80,0))</f>
        <v>-63798.7584</v>
      </c>
      <c r="X35" s="110" t="n">
        <f aca="false">-(X10*(1-INDEX(Premissas!$C$59:$G$59,X$7))*INDEX(Premissas!$C$56:$G$56,X$7)+IF(X$4&gt;=Premissas!$B$79,INDEX(Premissas!$C$78:$G$78,X$7),0)+IF(X$4=DATE(YEAR(Premissas!$B$81),MONTH(Premissas!$B$81),1),Premissas!$B$80,0))</f>
        <v>-63798.7584</v>
      </c>
      <c r="Y35" s="110" t="n">
        <f aca="false">-(Y10*(1-INDEX(Premissas!$C$59:$G$59,Y$7))*INDEX(Premissas!$C$56:$G$56,Y$7)+IF(Y$4&gt;=Premissas!$B$79,INDEX(Premissas!$C$78:$G$78,Y$7),0)+IF(Y$4=DATE(YEAR(Premissas!$B$81),MONTH(Premissas!$B$81),1),Premissas!$B$80,0))</f>
        <v>-63798.7584</v>
      </c>
      <c r="Z35" s="110" t="n">
        <f aca="false">-(Z10*(1-INDEX(Premissas!$C$59:$G$59,Z$7))*INDEX(Premissas!$C$56:$G$56,Z$7)+IF(Z$4&gt;=Premissas!$B$79,INDEX(Premissas!$C$78:$G$78,Z$7),0)+IF(Z$4=DATE(YEAR(Premissas!$B$81),MONTH(Premissas!$B$81),1),Premissas!$B$80,0))</f>
        <v>-137058.980544</v>
      </c>
      <c r="AA35" s="110" t="n">
        <f aca="false">-(AA10*(1-INDEX(Premissas!$C$59:$G$59,AA$7))*INDEX(Premissas!$C$56:$G$56,AA$7)+IF(AA$4&gt;=Premissas!$B$79,INDEX(Premissas!$C$78:$G$78,AA$7),0)+IF(AA$4=DATE(YEAR(Premissas!$B$81),MONTH(Premissas!$B$81),1),Premissas!$B$80,0))</f>
        <v>-137058.980544</v>
      </c>
      <c r="AB35" s="110" t="n">
        <f aca="false">-(AB10*(1-INDEX(Premissas!$C$59:$G$59,AB$7))*INDEX(Premissas!$C$56:$G$56,AB$7)+IF(AB$4&gt;=Premissas!$B$79,INDEX(Premissas!$C$78:$G$78,AB$7),0)+IF(AB$4=DATE(YEAR(Premissas!$B$81),MONTH(Premissas!$B$81),1),Premissas!$B$80,0))</f>
        <v>-137058.980544</v>
      </c>
      <c r="AC35" s="110" t="n">
        <f aca="false">-(AC10*(1-INDEX(Premissas!$C$59:$G$59,AC$7))*INDEX(Premissas!$C$56:$G$56,AC$7)+IF(AC$4&gt;=Premissas!$B$79,INDEX(Premissas!$C$78:$G$78,AC$7),0)+IF(AC$4=DATE(YEAR(Premissas!$B$81),MONTH(Premissas!$B$81),1),Premissas!$B$80,0))</f>
        <v>-137058.980544</v>
      </c>
      <c r="AD35" s="110" t="n">
        <f aca="false">-(AD10*(1-INDEX(Premissas!$C$59:$G$59,AD$7))*INDEX(Premissas!$C$56:$G$56,AD$7)+IF(AD$4&gt;=Premissas!$B$79,INDEX(Premissas!$C$78:$G$78,AD$7),0)+IF(AD$4=DATE(YEAR(Premissas!$B$81),MONTH(Premissas!$B$81),1),Premissas!$B$80,0))</f>
        <v>-137058.980544</v>
      </c>
      <c r="AE35" s="110" t="n">
        <f aca="false">-(AE10*(1-INDEX(Premissas!$C$59:$G$59,AE$7))*INDEX(Premissas!$C$56:$G$56,AE$7)+IF(AE$4&gt;=Premissas!$B$79,INDEX(Premissas!$C$78:$G$78,AE$7),0)+IF(AE$4=DATE(YEAR(Premissas!$B$81),MONTH(Premissas!$B$81),1),Premissas!$B$80,0))</f>
        <v>-137058.980544</v>
      </c>
      <c r="AF35" s="110" t="n">
        <f aca="false">-(AF10*(1-INDEX(Premissas!$C$59:$G$59,AF$7))*INDEX(Premissas!$C$56:$G$56,AF$7)+IF(AF$4&gt;=Premissas!$B$79,INDEX(Premissas!$C$78:$G$78,AF$7),0)+IF(AF$4=DATE(YEAR(Premissas!$B$81),MONTH(Premissas!$B$81),1),Premissas!$B$80,0))</f>
        <v>-137058.980544</v>
      </c>
      <c r="AG35" s="110" t="n">
        <f aca="false">-(AG10*(1-INDEX(Premissas!$C$59:$G$59,AG$7))*INDEX(Premissas!$C$56:$G$56,AG$7)+IF(AG$4&gt;=Premissas!$B$79,INDEX(Premissas!$C$78:$G$78,AG$7),0)+IF(AG$4=DATE(YEAR(Premissas!$B$81),MONTH(Premissas!$B$81),1),Premissas!$B$80,0))</f>
        <v>-137058.980544</v>
      </c>
      <c r="AH35" s="110" t="n">
        <f aca="false">-(AH10*(1-INDEX(Premissas!$C$59:$G$59,AH$7))*INDEX(Premissas!$C$56:$G$56,AH$7)+IF(AH$4&gt;=Premissas!$B$79,INDEX(Premissas!$C$78:$G$78,AH$7),0)+IF(AH$4=DATE(YEAR(Premissas!$B$81),MONTH(Premissas!$B$81),1),Premissas!$B$80,0))</f>
        <v>-137058.980544</v>
      </c>
      <c r="AI35" s="110" t="n">
        <f aca="false">-(AI10*(1-INDEX(Premissas!$C$59:$G$59,AI$7))*INDEX(Premissas!$C$56:$G$56,AI$7)+IF(AI$4&gt;=Premissas!$B$79,INDEX(Premissas!$C$78:$G$78,AI$7),0)+IF(AI$4=DATE(YEAR(Premissas!$B$81),MONTH(Premissas!$B$81),1),Premissas!$B$80,0))</f>
        <v>-137058.980544</v>
      </c>
      <c r="AJ35" s="110" t="n">
        <f aca="false">-(AJ10*(1-INDEX(Premissas!$C$59:$G$59,AJ$7))*INDEX(Premissas!$C$56:$G$56,AJ$7)+IF(AJ$4&gt;=Premissas!$B$79,INDEX(Premissas!$C$78:$G$78,AJ$7),0)+IF(AJ$4=DATE(YEAR(Premissas!$B$81),MONTH(Premissas!$B$81),1),Premissas!$B$80,0))</f>
        <v>-137058.980544</v>
      </c>
      <c r="AK35" s="110" t="n">
        <f aca="false">-(AK10*(1-INDEX(Premissas!$C$59:$G$59,AK$7))*INDEX(Premissas!$C$56:$G$56,AK$7)+IF(AK$4&gt;=Premissas!$B$79,INDEX(Premissas!$C$78:$G$78,AK$7),0)+IF(AK$4=DATE(YEAR(Premissas!$B$81),MONTH(Premissas!$B$81),1),Premissas!$B$80,0))</f>
        <v>-137058.980544</v>
      </c>
      <c r="AL35" s="110" t="n">
        <f aca="false">-(AL10*(1-INDEX(Premissas!$C$59:$G$59,AL$7))*INDEX(Premissas!$C$56:$G$56,AL$7)+IF(AL$4&gt;=Premissas!$B$79,INDEX(Premissas!$C$78:$G$78,AL$7),0)+IF(AL$4=DATE(YEAR(Premissas!$B$81),MONTH(Premissas!$B$81),1),Premissas!$B$80,0))</f>
        <v>-261425.984972902</v>
      </c>
      <c r="AM35" s="110" t="n">
        <f aca="false">-(AM10*(1-INDEX(Premissas!$C$59:$G$59,AM$7))*INDEX(Premissas!$C$56:$G$56,AM$7)+IF(AM$4&gt;=Premissas!$B$79,INDEX(Premissas!$C$78:$G$78,AM$7),0)+IF(AM$4=DATE(YEAR(Premissas!$B$81),MONTH(Premissas!$B$81),1),Premissas!$B$80,0))</f>
        <v>-261425.984972902</v>
      </c>
      <c r="AN35" s="110" t="n">
        <f aca="false">-(AN10*(1-INDEX(Premissas!$C$59:$G$59,AN$7))*INDEX(Premissas!$C$56:$G$56,AN$7)+IF(AN$4&gt;=Premissas!$B$79,INDEX(Premissas!$C$78:$G$78,AN$7),0)+IF(AN$4=DATE(YEAR(Premissas!$B$81),MONTH(Premissas!$B$81),1),Premissas!$B$80,0))</f>
        <v>-261425.984972902</v>
      </c>
      <c r="AO35" s="110" t="n">
        <f aca="false">-(AO10*(1-INDEX(Premissas!$C$59:$G$59,AO$7))*INDEX(Premissas!$C$56:$G$56,AO$7)+IF(AO$4&gt;=Premissas!$B$79,INDEX(Premissas!$C$78:$G$78,AO$7),0)+IF(AO$4=DATE(YEAR(Premissas!$B$81),MONTH(Premissas!$B$81),1),Premissas!$B$80,0))</f>
        <v>-261425.984972902</v>
      </c>
      <c r="AP35" s="110" t="n">
        <f aca="false">-(AP10*(1-INDEX(Premissas!$C$59:$G$59,AP$7))*INDEX(Premissas!$C$56:$G$56,AP$7)+IF(AP$4&gt;=Premissas!$B$79,INDEX(Premissas!$C$78:$G$78,AP$7),0)+IF(AP$4=DATE(YEAR(Premissas!$B$81),MONTH(Premissas!$B$81),1),Premissas!$B$80,0))</f>
        <v>-261425.984972902</v>
      </c>
      <c r="AQ35" s="110" t="n">
        <f aca="false">-(AQ10*(1-INDEX(Premissas!$C$59:$G$59,AQ$7))*INDEX(Premissas!$C$56:$G$56,AQ$7)+IF(AQ$4&gt;=Premissas!$B$79,INDEX(Premissas!$C$78:$G$78,AQ$7),0)+IF(AQ$4=DATE(YEAR(Premissas!$B$81),MONTH(Premissas!$B$81),1),Premissas!$B$80,0))</f>
        <v>-261425.984972902</v>
      </c>
      <c r="AR35" s="110" t="n">
        <f aca="false">-(AR10*(1-INDEX(Premissas!$C$59:$G$59,AR$7))*INDEX(Premissas!$C$56:$G$56,AR$7)+IF(AR$4&gt;=Premissas!$B$79,INDEX(Premissas!$C$78:$G$78,AR$7),0)+IF(AR$4=DATE(YEAR(Premissas!$B$81),MONTH(Premissas!$B$81),1),Premissas!$B$80,0))</f>
        <v>-261425.984972902</v>
      </c>
      <c r="AS35" s="110" t="n">
        <f aca="false">-(AS10*(1-INDEX(Premissas!$C$59:$G$59,AS$7))*INDEX(Premissas!$C$56:$G$56,AS$7)+IF(AS$4&gt;=Premissas!$B$79,INDEX(Premissas!$C$78:$G$78,AS$7),0)+IF(AS$4=DATE(YEAR(Premissas!$B$81),MONTH(Premissas!$B$81),1),Premissas!$B$80,0))</f>
        <v>-261425.984972902</v>
      </c>
      <c r="AT35" s="110" t="n">
        <f aca="false">-(AT10*(1-INDEX(Premissas!$C$59:$G$59,AT$7))*INDEX(Premissas!$C$56:$G$56,AT$7)+IF(AT$4&gt;=Premissas!$B$79,INDEX(Premissas!$C$78:$G$78,AT$7),0)+IF(AT$4=DATE(YEAR(Premissas!$B$81),MONTH(Premissas!$B$81),1),Premissas!$B$80,0))</f>
        <v>-261425.984972902</v>
      </c>
      <c r="AU35" s="110" t="n">
        <f aca="false">-(AU10*(1-INDEX(Premissas!$C$59:$G$59,AU$7))*INDEX(Premissas!$C$56:$G$56,AU$7)+IF(AU$4&gt;=Premissas!$B$79,INDEX(Premissas!$C$78:$G$78,AU$7),0)+IF(AU$4=DATE(YEAR(Premissas!$B$81),MONTH(Premissas!$B$81),1),Premissas!$B$80,0))</f>
        <v>-261425.984972902</v>
      </c>
      <c r="AV35" s="110" t="n">
        <f aca="false">-(AV10*(1-INDEX(Premissas!$C$59:$G$59,AV$7))*INDEX(Premissas!$C$56:$G$56,AV$7)+IF(AV$4&gt;=Premissas!$B$79,INDEX(Premissas!$C$78:$G$78,AV$7),0)+IF(AV$4=DATE(YEAR(Premissas!$B$81),MONTH(Premissas!$B$81),1),Premissas!$B$80,0))</f>
        <v>-261425.984972902</v>
      </c>
      <c r="AW35" s="110" t="n">
        <f aca="false">-(AW10*(1-INDEX(Premissas!$C$59:$G$59,AW$7))*INDEX(Premissas!$C$56:$G$56,AW$7)+IF(AW$4&gt;=Premissas!$B$79,INDEX(Premissas!$C$78:$G$78,AW$7),0)+IF(AW$4=DATE(YEAR(Premissas!$B$81),MONTH(Premissas!$B$81),1),Premissas!$B$80,0))</f>
        <v>-261425.984972902</v>
      </c>
      <c r="AX35" s="110" t="n">
        <f aca="false">-(AX10*(1-INDEX(Premissas!$C$59:$G$59,AX$7))*INDEX(Premissas!$C$56:$G$56,AX$7)+IF(AX$4&gt;=Premissas!$B$79,INDEX(Premissas!$C$78:$G$78,AX$7),0)+IF(AX$4=DATE(YEAR(Premissas!$B$81),MONTH(Premissas!$B$81),1),Premissas!$B$80,0))</f>
        <v>-444124.897266356</v>
      </c>
      <c r="AY35" s="110" t="n">
        <f aca="false">-(AY10*(1-INDEX(Premissas!$C$59:$G$59,AY$7))*INDEX(Premissas!$C$56:$G$56,AY$7)+IF(AY$4&gt;=Premissas!$B$79,INDEX(Premissas!$C$78:$G$78,AY$7),0)+IF(AY$4=DATE(YEAR(Premissas!$B$81),MONTH(Premissas!$B$81),1),Premissas!$B$80,0))</f>
        <v>-444124.897266356</v>
      </c>
      <c r="AZ35" s="110" t="n">
        <f aca="false">-(AZ10*(1-INDEX(Premissas!$C$59:$G$59,AZ$7))*INDEX(Premissas!$C$56:$G$56,AZ$7)+IF(AZ$4&gt;=Premissas!$B$79,INDEX(Premissas!$C$78:$G$78,AZ$7),0)+IF(AZ$4=DATE(YEAR(Premissas!$B$81),MONTH(Premissas!$B$81),1),Premissas!$B$80,0))</f>
        <v>-444124.897266356</v>
      </c>
      <c r="BA35" s="110" t="n">
        <f aca="false">-(BA10*(1-INDEX(Premissas!$C$59:$G$59,BA$7))*INDEX(Premissas!$C$56:$G$56,BA$7)+IF(BA$4&gt;=Premissas!$B$79,INDEX(Premissas!$C$78:$G$78,BA$7),0)+IF(BA$4=DATE(YEAR(Premissas!$B$81),MONTH(Premissas!$B$81),1),Premissas!$B$80,0))</f>
        <v>-444124.897266356</v>
      </c>
      <c r="BB35" s="110" t="n">
        <f aca="false">-(BB10*(1-INDEX(Premissas!$C$59:$G$59,BB$7))*INDEX(Premissas!$C$56:$G$56,BB$7)+IF(BB$4&gt;=Premissas!$B$79,INDEX(Premissas!$C$78:$G$78,BB$7),0)+IF(BB$4=DATE(YEAR(Premissas!$B$81),MONTH(Premissas!$B$81),1),Premissas!$B$80,0))</f>
        <v>-444124.897266356</v>
      </c>
      <c r="BC35" s="110" t="n">
        <f aca="false">-(BC10*(1-INDEX(Premissas!$C$59:$G$59,BC$7))*INDEX(Premissas!$C$56:$G$56,BC$7)+IF(BC$4&gt;=Premissas!$B$79,INDEX(Premissas!$C$78:$G$78,BC$7),0)+IF(BC$4=DATE(YEAR(Premissas!$B$81),MONTH(Premissas!$B$81),1),Premissas!$B$80,0))</f>
        <v>-444124.897266356</v>
      </c>
      <c r="BD35" s="110" t="n">
        <f aca="false">-(BD10*(1-INDEX(Premissas!$C$59:$G$59,BD$7))*INDEX(Premissas!$C$56:$G$56,BD$7)+IF(BD$4&gt;=Premissas!$B$79,INDEX(Premissas!$C$78:$G$78,BD$7),0)+IF(BD$4=DATE(YEAR(Premissas!$B$81),MONTH(Premissas!$B$81),1),Premissas!$B$80,0))</f>
        <v>-444124.897266356</v>
      </c>
      <c r="BE35" s="110" t="n">
        <f aca="false">-(BE10*(1-INDEX(Premissas!$C$59:$G$59,BE$7))*INDEX(Premissas!$C$56:$G$56,BE$7)+IF(BE$4&gt;=Premissas!$B$79,INDEX(Premissas!$C$78:$G$78,BE$7),0)+IF(BE$4=DATE(YEAR(Premissas!$B$81),MONTH(Premissas!$B$81),1),Premissas!$B$80,0))</f>
        <v>-444124.897266356</v>
      </c>
      <c r="BF35" s="110" t="n">
        <f aca="false">-(BF10*(1-INDEX(Premissas!$C$59:$G$59,BF$7))*INDEX(Premissas!$C$56:$G$56,BF$7)+IF(BF$4&gt;=Premissas!$B$79,INDEX(Premissas!$C$78:$G$78,BF$7),0)+IF(BF$4=DATE(YEAR(Premissas!$B$81),MONTH(Premissas!$B$81),1),Premissas!$B$80,0))</f>
        <v>-444124.897266356</v>
      </c>
      <c r="BG35" s="110" t="n">
        <f aca="false">-(BG10*(1-INDEX(Premissas!$C$59:$G$59,BG$7))*INDEX(Premissas!$C$56:$G$56,BG$7)+IF(BG$4&gt;=Premissas!$B$79,INDEX(Premissas!$C$78:$G$78,BG$7),0)+IF(BG$4=DATE(YEAR(Premissas!$B$81),MONTH(Premissas!$B$81),1),Premissas!$B$80,0))</f>
        <v>-444124.897266356</v>
      </c>
      <c r="BH35" s="110" t="n">
        <f aca="false">-(BH10*(1-INDEX(Premissas!$C$59:$G$59,BH$7))*INDEX(Premissas!$C$56:$G$56,BH$7)+IF(BH$4&gt;=Premissas!$B$79,INDEX(Premissas!$C$78:$G$78,BH$7),0)+IF(BH$4=DATE(YEAR(Premissas!$B$81),MONTH(Premissas!$B$81),1),Premissas!$B$80,0))</f>
        <v>-444124.897266356</v>
      </c>
      <c r="BI35" s="110" t="n">
        <f aca="false">-(BI10*(1-INDEX(Premissas!$C$59:$G$59,BI$7))*INDEX(Premissas!$C$56:$G$56,BI$7)+IF(BI$4&gt;=Premissas!$B$79,INDEX(Premissas!$C$78:$G$78,BI$7),0)+IF(BI$4=DATE(YEAR(Premissas!$B$81),MONTH(Premissas!$B$81),1),Premissas!$B$80,0))</f>
        <v>-444124.897266356</v>
      </c>
      <c r="BJ35" s="111" t="n">
        <f aca="false">SUM(B35:BI35)</f>
        <v>-11002127.4541991</v>
      </c>
    </row>
    <row r="36" customFormat="false" ht="15" hidden="false" customHeight="false" outlineLevel="0" collapsed="false">
      <c r="A36" s="27" t="s">
        <v>437</v>
      </c>
      <c r="B36" s="110" t="n">
        <f aca="false">-IF(B$4&gt;=Premissas!$B$76,INDEX(Premissas!$C$77:$G$77,B$7),0)</f>
        <v>-0</v>
      </c>
      <c r="C36" s="110" t="n">
        <f aca="false">-IF(C$4&gt;=Premissas!$B$76,INDEX(Premissas!$C$77:$G$77,C$7),0)</f>
        <v>-0</v>
      </c>
      <c r="D36" s="110" t="n">
        <f aca="false">-IF(D$4&gt;=Premissas!$B$76,INDEX(Premissas!$C$77:$G$77,D$7),0)</f>
        <v>-0</v>
      </c>
      <c r="E36" s="110" t="n">
        <f aca="false">-IF(E$4&gt;=Premissas!$B$76,INDEX(Premissas!$C$77:$G$77,E$7),0)</f>
        <v>-1500</v>
      </c>
      <c r="F36" s="110" t="n">
        <f aca="false">-IF(F$4&gt;=Premissas!$B$76,INDEX(Premissas!$C$77:$G$77,F$7),0)</f>
        <v>-1500</v>
      </c>
      <c r="G36" s="110" t="n">
        <f aca="false">-IF(G$4&gt;=Premissas!$B$76,INDEX(Premissas!$C$77:$G$77,G$7),0)</f>
        <v>-1500</v>
      </c>
      <c r="H36" s="110" t="n">
        <f aca="false">-IF(H$4&gt;=Premissas!$B$76,INDEX(Premissas!$C$77:$G$77,H$7),0)</f>
        <v>-1500</v>
      </c>
      <c r="I36" s="110" t="n">
        <f aca="false">-IF(I$4&gt;=Premissas!$B$76,INDEX(Premissas!$C$77:$G$77,I$7),0)</f>
        <v>-1500</v>
      </c>
      <c r="J36" s="110" t="n">
        <f aca="false">-IF(J$4&gt;=Premissas!$B$76,INDEX(Premissas!$C$77:$G$77,J$7),0)</f>
        <v>-1500</v>
      </c>
      <c r="K36" s="110" t="n">
        <f aca="false">-IF(K$4&gt;=Premissas!$B$76,INDEX(Premissas!$C$77:$G$77,K$7),0)</f>
        <v>-1500</v>
      </c>
      <c r="L36" s="110" t="n">
        <f aca="false">-IF(L$4&gt;=Premissas!$B$76,INDEX(Premissas!$C$77:$G$77,L$7),0)</f>
        <v>-1500</v>
      </c>
      <c r="M36" s="110" t="n">
        <f aca="false">-IF(M$4&gt;=Premissas!$B$76,INDEX(Premissas!$C$77:$G$77,M$7),0)</f>
        <v>-1500</v>
      </c>
      <c r="N36" s="110" t="n">
        <f aca="false">-IF(N$4&gt;=Premissas!$B$76,INDEX(Premissas!$C$77:$G$77,N$7),0)</f>
        <v>-6000</v>
      </c>
      <c r="O36" s="110" t="n">
        <f aca="false">-IF(O$4&gt;=Premissas!$B$76,INDEX(Premissas!$C$77:$G$77,O$7),0)</f>
        <v>-6000</v>
      </c>
      <c r="P36" s="110" t="n">
        <f aca="false">-IF(P$4&gt;=Premissas!$B$76,INDEX(Premissas!$C$77:$G$77,P$7),0)</f>
        <v>-6000</v>
      </c>
      <c r="Q36" s="110" t="n">
        <f aca="false">-IF(Q$4&gt;=Premissas!$B$76,INDEX(Premissas!$C$77:$G$77,Q$7),0)</f>
        <v>-6000</v>
      </c>
      <c r="R36" s="110" t="n">
        <f aca="false">-IF(R$4&gt;=Premissas!$B$76,INDEX(Premissas!$C$77:$G$77,R$7),0)</f>
        <v>-6000</v>
      </c>
      <c r="S36" s="110" t="n">
        <f aca="false">-IF(S$4&gt;=Premissas!$B$76,INDEX(Premissas!$C$77:$G$77,S$7),0)</f>
        <v>-6000</v>
      </c>
      <c r="T36" s="110" t="n">
        <f aca="false">-IF(T$4&gt;=Premissas!$B$76,INDEX(Premissas!$C$77:$G$77,T$7),0)</f>
        <v>-6000</v>
      </c>
      <c r="U36" s="110" t="n">
        <f aca="false">-IF(U$4&gt;=Premissas!$B$76,INDEX(Premissas!$C$77:$G$77,U$7),0)</f>
        <v>-6000</v>
      </c>
      <c r="V36" s="110" t="n">
        <f aca="false">-IF(V$4&gt;=Premissas!$B$76,INDEX(Premissas!$C$77:$G$77,V$7),0)</f>
        <v>-6000</v>
      </c>
      <c r="W36" s="110" t="n">
        <f aca="false">-IF(W$4&gt;=Premissas!$B$76,INDEX(Premissas!$C$77:$G$77,W$7),0)</f>
        <v>-6000</v>
      </c>
      <c r="X36" s="110" t="n">
        <f aca="false">-IF(X$4&gt;=Premissas!$B$76,INDEX(Premissas!$C$77:$G$77,X$7),0)</f>
        <v>-6000</v>
      </c>
      <c r="Y36" s="110" t="n">
        <f aca="false">-IF(Y$4&gt;=Premissas!$B$76,INDEX(Premissas!$C$77:$G$77,Y$7),0)</f>
        <v>-6000</v>
      </c>
      <c r="Z36" s="110" t="n">
        <f aca="false">-IF(Z$4&gt;=Premissas!$B$76,INDEX(Premissas!$C$77:$G$77,Z$7),0)</f>
        <v>-25000</v>
      </c>
      <c r="AA36" s="110" t="n">
        <f aca="false">-IF(AA$4&gt;=Premissas!$B$76,INDEX(Premissas!$C$77:$G$77,AA$7),0)</f>
        <v>-25000</v>
      </c>
      <c r="AB36" s="110" t="n">
        <f aca="false">-IF(AB$4&gt;=Premissas!$B$76,INDEX(Premissas!$C$77:$G$77,AB$7),0)</f>
        <v>-25000</v>
      </c>
      <c r="AC36" s="110" t="n">
        <f aca="false">-IF(AC$4&gt;=Premissas!$B$76,INDEX(Premissas!$C$77:$G$77,AC$7),0)</f>
        <v>-25000</v>
      </c>
      <c r="AD36" s="110" t="n">
        <f aca="false">-IF(AD$4&gt;=Premissas!$B$76,INDEX(Premissas!$C$77:$G$77,AD$7),0)</f>
        <v>-25000</v>
      </c>
      <c r="AE36" s="110" t="n">
        <f aca="false">-IF(AE$4&gt;=Premissas!$B$76,INDEX(Premissas!$C$77:$G$77,AE$7),0)</f>
        <v>-25000</v>
      </c>
      <c r="AF36" s="110" t="n">
        <f aca="false">-IF(AF$4&gt;=Premissas!$B$76,INDEX(Premissas!$C$77:$G$77,AF$7),0)</f>
        <v>-25000</v>
      </c>
      <c r="AG36" s="110" t="n">
        <f aca="false">-IF(AG$4&gt;=Premissas!$B$76,INDEX(Premissas!$C$77:$G$77,AG$7),0)</f>
        <v>-25000</v>
      </c>
      <c r="AH36" s="110" t="n">
        <f aca="false">-IF(AH$4&gt;=Premissas!$B$76,INDEX(Premissas!$C$77:$G$77,AH$7),0)</f>
        <v>-25000</v>
      </c>
      <c r="AI36" s="110" t="n">
        <f aca="false">-IF(AI$4&gt;=Premissas!$B$76,INDEX(Premissas!$C$77:$G$77,AI$7),0)</f>
        <v>-25000</v>
      </c>
      <c r="AJ36" s="110" t="n">
        <f aca="false">-IF(AJ$4&gt;=Premissas!$B$76,INDEX(Premissas!$C$77:$G$77,AJ$7),0)</f>
        <v>-25000</v>
      </c>
      <c r="AK36" s="110" t="n">
        <f aca="false">-IF(AK$4&gt;=Premissas!$B$76,INDEX(Premissas!$C$77:$G$77,AK$7),0)</f>
        <v>-25000</v>
      </c>
      <c r="AL36" s="110" t="n">
        <f aca="false">-IF(AL$4&gt;=Premissas!$B$76,INDEX(Premissas!$C$77:$G$77,AL$7),0)</f>
        <v>-60000</v>
      </c>
      <c r="AM36" s="110" t="n">
        <f aca="false">-IF(AM$4&gt;=Premissas!$B$76,INDEX(Premissas!$C$77:$G$77,AM$7),0)</f>
        <v>-60000</v>
      </c>
      <c r="AN36" s="110" t="n">
        <f aca="false">-IF(AN$4&gt;=Premissas!$B$76,INDEX(Premissas!$C$77:$G$77,AN$7),0)</f>
        <v>-60000</v>
      </c>
      <c r="AO36" s="110" t="n">
        <f aca="false">-IF(AO$4&gt;=Premissas!$B$76,INDEX(Premissas!$C$77:$G$77,AO$7),0)</f>
        <v>-60000</v>
      </c>
      <c r="AP36" s="110" t="n">
        <f aca="false">-IF(AP$4&gt;=Premissas!$B$76,INDEX(Premissas!$C$77:$G$77,AP$7),0)</f>
        <v>-60000</v>
      </c>
      <c r="AQ36" s="110" t="n">
        <f aca="false">-IF(AQ$4&gt;=Premissas!$B$76,INDEX(Premissas!$C$77:$G$77,AQ$7),0)</f>
        <v>-60000</v>
      </c>
      <c r="AR36" s="110" t="n">
        <f aca="false">-IF(AR$4&gt;=Premissas!$B$76,INDEX(Premissas!$C$77:$G$77,AR$7),0)</f>
        <v>-60000</v>
      </c>
      <c r="AS36" s="110" t="n">
        <f aca="false">-IF(AS$4&gt;=Premissas!$B$76,INDEX(Premissas!$C$77:$G$77,AS$7),0)</f>
        <v>-60000</v>
      </c>
      <c r="AT36" s="110" t="n">
        <f aca="false">-IF(AT$4&gt;=Premissas!$B$76,INDEX(Premissas!$C$77:$G$77,AT$7),0)</f>
        <v>-60000</v>
      </c>
      <c r="AU36" s="110" t="n">
        <f aca="false">-IF(AU$4&gt;=Premissas!$B$76,INDEX(Premissas!$C$77:$G$77,AU$7),0)</f>
        <v>-60000</v>
      </c>
      <c r="AV36" s="110" t="n">
        <f aca="false">-IF(AV$4&gt;=Premissas!$B$76,INDEX(Premissas!$C$77:$G$77,AV$7),0)</f>
        <v>-60000</v>
      </c>
      <c r="AW36" s="110" t="n">
        <f aca="false">-IF(AW$4&gt;=Premissas!$B$76,INDEX(Premissas!$C$77:$G$77,AW$7),0)</f>
        <v>-60000</v>
      </c>
      <c r="AX36" s="110" t="n">
        <f aca="false">-IF(AX$4&gt;=Premissas!$B$76,INDEX(Premissas!$C$77:$G$77,AX$7),0)</f>
        <v>-110000</v>
      </c>
      <c r="AY36" s="110" t="n">
        <f aca="false">-IF(AY$4&gt;=Premissas!$B$76,INDEX(Premissas!$C$77:$G$77,AY$7),0)</f>
        <v>-110000</v>
      </c>
      <c r="AZ36" s="110" t="n">
        <f aca="false">-IF(AZ$4&gt;=Premissas!$B$76,INDEX(Premissas!$C$77:$G$77,AZ$7),0)</f>
        <v>-110000</v>
      </c>
      <c r="BA36" s="110" t="n">
        <f aca="false">-IF(BA$4&gt;=Premissas!$B$76,INDEX(Premissas!$C$77:$G$77,BA$7),0)</f>
        <v>-110000</v>
      </c>
      <c r="BB36" s="110" t="n">
        <f aca="false">-IF(BB$4&gt;=Premissas!$B$76,INDEX(Premissas!$C$77:$G$77,BB$7),0)</f>
        <v>-110000</v>
      </c>
      <c r="BC36" s="110" t="n">
        <f aca="false">-IF(BC$4&gt;=Premissas!$B$76,INDEX(Premissas!$C$77:$G$77,BC$7),0)</f>
        <v>-110000</v>
      </c>
      <c r="BD36" s="110" t="n">
        <f aca="false">-IF(BD$4&gt;=Premissas!$B$76,INDEX(Premissas!$C$77:$G$77,BD$7),0)</f>
        <v>-110000</v>
      </c>
      <c r="BE36" s="110" t="n">
        <f aca="false">-IF(BE$4&gt;=Premissas!$B$76,INDEX(Premissas!$C$77:$G$77,BE$7),0)</f>
        <v>-110000</v>
      </c>
      <c r="BF36" s="110" t="n">
        <f aca="false">-IF(BF$4&gt;=Premissas!$B$76,INDEX(Premissas!$C$77:$G$77,BF$7),0)</f>
        <v>-110000</v>
      </c>
      <c r="BG36" s="110" t="n">
        <f aca="false">-IF(BG$4&gt;=Premissas!$B$76,INDEX(Premissas!$C$77:$G$77,BG$7),0)</f>
        <v>-110000</v>
      </c>
      <c r="BH36" s="110" t="n">
        <f aca="false">-IF(BH$4&gt;=Premissas!$B$76,INDEX(Premissas!$C$77:$G$77,BH$7),0)</f>
        <v>-110000</v>
      </c>
      <c r="BI36" s="110" t="n">
        <f aca="false">-IF(BI$4&gt;=Premissas!$B$76,INDEX(Premissas!$C$77:$G$77,BI$7),0)</f>
        <v>-110000</v>
      </c>
      <c r="BJ36" s="111" t="n">
        <f aca="false">SUM(B36:BI36)</f>
        <v>-2425500</v>
      </c>
    </row>
    <row r="37" customFormat="false" ht="15" hidden="false" customHeight="false" outlineLevel="0" collapsed="false">
      <c r="A37" s="51" t="s">
        <v>582</v>
      </c>
      <c r="B37" s="111" t="n">
        <f aca="false">SUM(B31:B36)</f>
        <v>0</v>
      </c>
      <c r="C37" s="111" t="n">
        <f aca="false">SUM(C31:C36)</f>
        <v>0</v>
      </c>
      <c r="D37" s="111" t="n">
        <f aca="false">SUM(D31:D36)</f>
        <v>0</v>
      </c>
      <c r="E37" s="111" t="n">
        <f aca="false">SUM(E31:E36)</f>
        <v>-1500</v>
      </c>
      <c r="F37" s="111" t="n">
        <f aca="false">SUM(F31:F36)</f>
        <v>-2100</v>
      </c>
      <c r="G37" s="111" t="n">
        <f aca="false">SUM(G31:G36)</f>
        <v>-2100</v>
      </c>
      <c r="H37" s="111" t="n">
        <f aca="false">SUM(H31:H36)</f>
        <v>-2100</v>
      </c>
      <c r="I37" s="111" t="n">
        <f aca="false">SUM(I31:I36)</f>
        <v>-2100</v>
      </c>
      <c r="J37" s="111" t="n">
        <f aca="false">SUM(J31:J36)</f>
        <v>-2100</v>
      </c>
      <c r="K37" s="111" t="n">
        <f aca="false">SUM(K31:K36)</f>
        <v>-59818.59305</v>
      </c>
      <c r="L37" s="111" t="n">
        <f aca="false">SUM(L31:L36)</f>
        <v>-32374.74645</v>
      </c>
      <c r="M37" s="111" t="n">
        <f aca="false">SUM(M31:M36)</f>
        <v>-28477.061075</v>
      </c>
      <c r="N37" s="111" t="n">
        <f aca="false">SUM(N31:N36)</f>
        <v>-96548.5572932</v>
      </c>
      <c r="O37" s="111" t="n">
        <f aca="false">SUM(O31:O36)</f>
        <v>-86155.2604713888</v>
      </c>
      <c r="P37" s="111" t="n">
        <f aca="false">SUM(P31:P36)</f>
        <v>-74140.7842780075</v>
      </c>
      <c r="Q37" s="111" t="n">
        <f aca="false">SUM(Q31:Q36)</f>
        <v>-68293.6909671588</v>
      </c>
      <c r="R37" s="111" t="n">
        <f aca="false">SUM(R31:R36)</f>
        <v>-63339.9313083878</v>
      </c>
      <c r="S37" s="111" t="n">
        <f aca="false">SUM(S31:S36)</f>
        <v>-59050.6793661229</v>
      </c>
      <c r="T37" s="111" t="n">
        <f aca="false">SUM(T31:T36)</f>
        <v>-55165.5124110034</v>
      </c>
      <c r="U37" s="111" t="n">
        <f aca="false">SUM(U31:U36)</f>
        <v>-51840.7087709263</v>
      </c>
      <c r="V37" s="111" t="n">
        <f aca="false">SUM(V31:V36)</f>
        <v>-48752.227166219</v>
      </c>
      <c r="W37" s="111" t="n">
        <f aca="false">SUM(W31:W36)</f>
        <v>-45915.3149906419</v>
      </c>
      <c r="X37" s="111" t="n">
        <f aca="false">SUM(X31:X36)</f>
        <v>-43510.6325868046</v>
      </c>
      <c r="Y37" s="111" t="n">
        <f aca="false">SUM(Y31:Y36)</f>
        <v>-41306.1394217339</v>
      </c>
      <c r="Z37" s="111" t="n">
        <f aca="false">SUM(Z31:Z36)</f>
        <v>-186703.674070196</v>
      </c>
      <c r="AA37" s="111" t="n">
        <f aca="false">SUM(AA31:AA36)</f>
        <v>-179828.826078899</v>
      </c>
      <c r="AB37" s="111" t="n">
        <f aca="false">SUM(AB31:AB36)</f>
        <v>-173603.213008002</v>
      </c>
      <c r="AC37" s="111" t="n">
        <f aca="false">SUM(AC31:AC36)</f>
        <v>-167923.85733664</v>
      </c>
      <c r="AD37" s="111" t="n">
        <f aca="false">SUM(AD31:AD36)</f>
        <v>-162749.754322399</v>
      </c>
      <c r="AE37" s="111" t="n">
        <f aca="false">SUM(AE31:AE36)</f>
        <v>-158111.236848896</v>
      </c>
      <c r="AF37" s="111" t="n">
        <f aca="false">SUM(AF31:AF36)</f>
        <v>-153818.670128586</v>
      </c>
      <c r="AG37" s="111" t="n">
        <f aca="false">SUM(AG31:AG36)</f>
        <v>-150176.002074471</v>
      </c>
      <c r="AH37" s="111" t="n">
        <f aca="false">SUM(AH31:AH36)</f>
        <v>-146989.029779315</v>
      </c>
      <c r="AI37" s="111" t="n">
        <f aca="false">SUM(AI31:AI36)</f>
        <v>-144127.177863829</v>
      </c>
      <c r="AJ37" s="111" t="n">
        <f aca="false">SUM(AJ31:AJ36)</f>
        <v>-141576.798116158</v>
      </c>
      <c r="AK37" s="111" t="n">
        <f aca="false">SUM(AK31:AK36)</f>
        <v>-139223.158889884</v>
      </c>
      <c r="AL37" s="111" t="n">
        <f aca="false">SUM(AL31:AL36)</f>
        <v>-395147.416004902</v>
      </c>
      <c r="AM37" s="111" t="n">
        <f aca="false">SUM(AM31:AM36)</f>
        <v>-384830.884921028</v>
      </c>
      <c r="AN37" s="111" t="n">
        <f aca="false">SUM(AN31:AN36)</f>
        <v>-375574.22484792</v>
      </c>
      <c r="AO37" s="111" t="n">
        <f aca="false">SUM(AO31:AO36)</f>
        <v>-367092.458509593</v>
      </c>
      <c r="AP37" s="111" t="n">
        <f aca="false">SUM(AP31:AP36)</f>
        <v>-359464.228811629</v>
      </c>
      <c r="AQ37" s="111" t="n">
        <f aca="false">SUM(AQ31:AQ36)</f>
        <v>-352485.661904816</v>
      </c>
      <c r="AR37" s="111" t="n">
        <f aca="false">SUM(AR31:AR36)</f>
        <v>-346165.675039082</v>
      </c>
      <c r="AS37" s="111" t="n">
        <f aca="false">SUM(AS31:AS36)</f>
        <v>-317508.51683485</v>
      </c>
      <c r="AT37" s="111" t="n">
        <f aca="false">SUM(AT31:AT36)</f>
        <v>-314403.753831798</v>
      </c>
      <c r="AU37" s="111" t="n">
        <f aca="false">SUM(AU31:AU36)</f>
        <v>-311671.310334995</v>
      </c>
      <c r="AV37" s="111" t="n">
        <f aca="false">SUM(AV31:AV36)</f>
        <v>-309353.365152449</v>
      </c>
      <c r="AW37" s="111" t="n">
        <f aca="false">SUM(AW31:AW36)</f>
        <v>-307331.614062672</v>
      </c>
      <c r="AX37" s="111" t="n">
        <f aca="false">SUM(AX31:AX36)</f>
        <v>-595517.565995433</v>
      </c>
      <c r="AY37" s="111" t="n">
        <f aca="false">SUM(AY31:AY36)</f>
        <v>-580458.458606828</v>
      </c>
      <c r="AZ37" s="111" t="n">
        <f aca="false">SUM(AZ31:AZ36)</f>
        <v>-546627.887179266</v>
      </c>
      <c r="BA37" s="111" t="n">
        <f aca="false">SUM(BA31:BA36)</f>
        <v>-530728.389765283</v>
      </c>
      <c r="BB37" s="111" t="n">
        <f aca="false">SUM(BB31:BB36)</f>
        <v>-516075.784964402</v>
      </c>
      <c r="BC37" s="111" t="n">
        <f aca="false">SUM(BC31:BC36)</f>
        <v>-502764.872416847</v>
      </c>
      <c r="BD37" s="111" t="n">
        <f aca="false">SUM(BD31:BD36)</f>
        <v>-490567.203500068</v>
      </c>
      <c r="BE37" s="111" t="n">
        <f aca="false">SUM(BE31:BE36)</f>
        <v>-479375.139491079</v>
      </c>
      <c r="BF37" s="111" t="n">
        <f aca="false">SUM(BF31:BF36)</f>
        <v>-469147.945434807</v>
      </c>
      <c r="BG37" s="111" t="n">
        <f aca="false">SUM(BG31:BG36)</f>
        <v>-459812.605759594</v>
      </c>
      <c r="BH37" s="111" t="n">
        <f aca="false">SUM(BH31:BH36)</f>
        <v>-451278.447990555</v>
      </c>
      <c r="BI37" s="111" t="n">
        <f aca="false">SUM(BI31:BI36)</f>
        <v>-443422.395839202</v>
      </c>
      <c r="BJ37" s="111" t="n">
        <f aca="false">SUM(B37:BI37)</f>
        <v>-12978327.045323</v>
      </c>
    </row>
    <row r="38" customFormat="false" ht="15" hidden="false" customHeight="false" outlineLevel="0" collapsed="false">
      <c r="A38" s="27" t="s">
        <v>583</v>
      </c>
      <c r="B38" s="110" t="n">
        <f aca="false">-Investimentos!B25</f>
        <v>-0</v>
      </c>
      <c r="C38" s="110" t="n">
        <f aca="false">-Investimentos!C25</f>
        <v>-0</v>
      </c>
      <c r="D38" s="110" t="n">
        <f aca="false">-Investimentos!D25</f>
        <v>-0</v>
      </c>
      <c r="E38" s="110" t="n">
        <f aca="false">-Investimentos!E25</f>
        <v>-0</v>
      </c>
      <c r="F38" s="110" t="n">
        <f aca="false">-Investimentos!F25</f>
        <v>-6000</v>
      </c>
      <c r="G38" s="110" t="n">
        <f aca="false">-Investimentos!G25</f>
        <v>-0</v>
      </c>
      <c r="H38" s="110" t="n">
        <f aca="false">-Investimentos!H25</f>
        <v>-0</v>
      </c>
      <c r="I38" s="110" t="n">
        <f aca="false">-Investimentos!I25</f>
        <v>-9127.82</v>
      </c>
      <c r="J38" s="110" t="n">
        <f aca="false">-Investimentos!J25</f>
        <v>-10500</v>
      </c>
      <c r="K38" s="110" t="n">
        <f aca="false">-Investimentos!K25</f>
        <v>-10500</v>
      </c>
      <c r="L38" s="110" t="n">
        <f aca="false">-Investimentos!L25</f>
        <v>-0</v>
      </c>
      <c r="M38" s="110" t="n">
        <f aca="false">-Investimentos!M25</f>
        <v>-0</v>
      </c>
      <c r="N38" s="110" t="n">
        <f aca="false">-Investimentos!N25</f>
        <v>-0</v>
      </c>
      <c r="O38" s="110" t="n">
        <f aca="false">-Investimentos!O25</f>
        <v>-0</v>
      </c>
      <c r="P38" s="110" t="n">
        <f aca="false">-Investimentos!P25</f>
        <v>-12000</v>
      </c>
      <c r="Q38" s="110" t="n">
        <f aca="false">-Investimentos!Q25</f>
        <v>-0</v>
      </c>
      <c r="R38" s="110" t="n">
        <f aca="false">-Investimentos!R25</f>
        <v>-0</v>
      </c>
      <c r="S38" s="110" t="n">
        <f aca="false">-Investimentos!S25</f>
        <v>-6000</v>
      </c>
      <c r="T38" s="110" t="n">
        <f aca="false">-Investimentos!T25</f>
        <v>-25000</v>
      </c>
      <c r="U38" s="110" t="n">
        <f aca="false">-Investimentos!U25</f>
        <v>-0</v>
      </c>
      <c r="V38" s="110" t="n">
        <f aca="false">-Investimentos!V25</f>
        <v>-0</v>
      </c>
      <c r="W38" s="110" t="n">
        <f aca="false">-Investimentos!W25</f>
        <v>-0</v>
      </c>
      <c r="X38" s="110" t="n">
        <f aca="false">-Investimentos!X25</f>
        <v>-0</v>
      </c>
      <c r="Y38" s="110" t="n">
        <f aca="false">-Investimentos!Y25</f>
        <v>-0</v>
      </c>
      <c r="Z38" s="110" t="n">
        <f aca="false">-Investimentos!Z25</f>
        <v>-0</v>
      </c>
      <c r="AA38" s="110" t="n">
        <f aca="false">-Investimentos!AA25</f>
        <v>-0</v>
      </c>
      <c r="AB38" s="110" t="n">
        <f aca="false">-Investimentos!AB25</f>
        <v>-0</v>
      </c>
      <c r="AC38" s="110" t="n">
        <f aca="false">-Investimentos!AC25</f>
        <v>-0</v>
      </c>
      <c r="AD38" s="110" t="n">
        <f aca="false">-Investimentos!AD25</f>
        <v>-0</v>
      </c>
      <c r="AE38" s="110" t="n">
        <f aca="false">-Investimentos!AE25</f>
        <v>-15000</v>
      </c>
      <c r="AF38" s="110" t="n">
        <f aca="false">-Investimentos!AF25</f>
        <v>-0</v>
      </c>
      <c r="AG38" s="110" t="n">
        <f aca="false">-Investimentos!AG25</f>
        <v>-0</v>
      </c>
      <c r="AH38" s="110" t="n">
        <f aca="false">-Investimentos!AH25</f>
        <v>-0</v>
      </c>
      <c r="AI38" s="110" t="n">
        <f aca="false">-Investimentos!AI25</f>
        <v>-0</v>
      </c>
      <c r="AJ38" s="110" t="n">
        <f aca="false">-Investimentos!AJ25</f>
        <v>-0</v>
      </c>
      <c r="AK38" s="110" t="n">
        <f aca="false">-Investimentos!AK25</f>
        <v>-0</v>
      </c>
      <c r="AL38" s="110" t="n">
        <f aca="false">-Investimentos!AL25</f>
        <v>-0</v>
      </c>
      <c r="AM38" s="110" t="n">
        <f aca="false">-Investimentos!AM25</f>
        <v>-0</v>
      </c>
      <c r="AN38" s="110" t="n">
        <f aca="false">-Investimentos!AN25</f>
        <v>-0</v>
      </c>
      <c r="AO38" s="110" t="n">
        <f aca="false">-Investimentos!AO25</f>
        <v>-0</v>
      </c>
      <c r="AP38" s="110" t="n">
        <f aca="false">-Investimentos!AP25</f>
        <v>-0</v>
      </c>
      <c r="AQ38" s="110" t="n">
        <f aca="false">-Investimentos!AQ25</f>
        <v>-25000</v>
      </c>
      <c r="AR38" s="110" t="n">
        <f aca="false">-Investimentos!AR25</f>
        <v>-0</v>
      </c>
      <c r="AS38" s="110" t="n">
        <f aca="false">-Investimentos!AS25</f>
        <v>-0</v>
      </c>
      <c r="AT38" s="110" t="n">
        <f aca="false">-Investimentos!AT25</f>
        <v>-0</v>
      </c>
      <c r="AU38" s="110" t="n">
        <f aca="false">-Investimentos!AU25</f>
        <v>-0</v>
      </c>
      <c r="AV38" s="110" t="n">
        <f aca="false">-Investimentos!AV25</f>
        <v>-0</v>
      </c>
      <c r="AW38" s="110" t="n">
        <f aca="false">-Investimentos!AW25</f>
        <v>-0</v>
      </c>
      <c r="AX38" s="110" t="n">
        <f aca="false">-Investimentos!AX25</f>
        <v>-0</v>
      </c>
      <c r="AY38" s="110" t="n">
        <f aca="false">-Investimentos!AY25</f>
        <v>-0</v>
      </c>
      <c r="AZ38" s="110" t="n">
        <f aca="false">-Investimentos!AZ25</f>
        <v>-0</v>
      </c>
      <c r="BA38" s="110" t="n">
        <f aca="false">-Investimentos!BA25</f>
        <v>-0</v>
      </c>
      <c r="BB38" s="110" t="n">
        <f aca="false">-Investimentos!BB25</f>
        <v>-0</v>
      </c>
      <c r="BC38" s="110" t="n">
        <f aca="false">-Investimentos!BC25</f>
        <v>-30000</v>
      </c>
      <c r="BD38" s="110" t="n">
        <f aca="false">-Investimentos!BD25</f>
        <v>-0</v>
      </c>
      <c r="BE38" s="110" t="n">
        <f aca="false">-Investimentos!BE25</f>
        <v>-0</v>
      </c>
      <c r="BF38" s="110" t="n">
        <f aca="false">-Investimentos!BF25</f>
        <v>-0</v>
      </c>
      <c r="BG38" s="110" t="n">
        <f aca="false">-Investimentos!BG25</f>
        <v>-0</v>
      </c>
      <c r="BH38" s="110" t="n">
        <f aca="false">-Investimentos!BH25</f>
        <v>-0</v>
      </c>
      <c r="BI38" s="110" t="n">
        <f aca="false">-Investimentos!BI25</f>
        <v>-0</v>
      </c>
      <c r="BJ38" s="111" t="n">
        <f aca="false">SUM(B38:BI38)</f>
        <v>-149127.82</v>
      </c>
    </row>
    <row r="39" customFormat="false" ht="15" hidden="false" customHeight="false" outlineLevel="0" collapsed="false">
      <c r="A39" s="51" t="s">
        <v>487</v>
      </c>
      <c r="B39" s="111" t="n">
        <f aca="false">B37+B38</f>
        <v>0</v>
      </c>
      <c r="C39" s="111" t="n">
        <f aca="false">C37+C38</f>
        <v>0</v>
      </c>
      <c r="D39" s="111" t="n">
        <f aca="false">D37+D38</f>
        <v>0</v>
      </c>
      <c r="E39" s="111" t="n">
        <f aca="false">E37+E38</f>
        <v>-1500</v>
      </c>
      <c r="F39" s="111" t="n">
        <f aca="false">F37+F38</f>
        <v>-8100</v>
      </c>
      <c r="G39" s="111" t="n">
        <f aca="false">G37+G38</f>
        <v>-2100</v>
      </c>
      <c r="H39" s="111" t="n">
        <f aca="false">H37+H38</f>
        <v>-2100</v>
      </c>
      <c r="I39" s="111" t="n">
        <f aca="false">I37+I38</f>
        <v>-11227.82</v>
      </c>
      <c r="J39" s="111" t="n">
        <f aca="false">J37+J38</f>
        <v>-12600</v>
      </c>
      <c r="K39" s="111" t="n">
        <f aca="false">K37+K38</f>
        <v>-70318.59305</v>
      </c>
      <c r="L39" s="111" t="n">
        <f aca="false">L37+L38</f>
        <v>-32374.74645</v>
      </c>
      <c r="M39" s="111" t="n">
        <f aca="false">M37+M38</f>
        <v>-28477.061075</v>
      </c>
      <c r="N39" s="111" t="n">
        <f aca="false">N37+N38</f>
        <v>-96548.5572932</v>
      </c>
      <c r="O39" s="111" t="n">
        <f aca="false">O37+O38</f>
        <v>-86155.2604713888</v>
      </c>
      <c r="P39" s="111" t="n">
        <f aca="false">P37+P38</f>
        <v>-86140.7842780075</v>
      </c>
      <c r="Q39" s="111" t="n">
        <f aca="false">Q37+Q38</f>
        <v>-68293.6909671588</v>
      </c>
      <c r="R39" s="111" t="n">
        <f aca="false">R37+R38</f>
        <v>-63339.9313083878</v>
      </c>
      <c r="S39" s="111" t="n">
        <f aca="false">S37+S38</f>
        <v>-65050.6793661229</v>
      </c>
      <c r="T39" s="111" t="n">
        <f aca="false">T37+T38</f>
        <v>-80165.5124110034</v>
      </c>
      <c r="U39" s="111" t="n">
        <f aca="false">U37+U38</f>
        <v>-51840.7087709263</v>
      </c>
      <c r="V39" s="111" t="n">
        <f aca="false">V37+V38</f>
        <v>-48752.227166219</v>
      </c>
      <c r="W39" s="111" t="n">
        <f aca="false">W37+W38</f>
        <v>-45915.3149906419</v>
      </c>
      <c r="X39" s="111" t="n">
        <f aca="false">X37+X38</f>
        <v>-43510.6325868046</v>
      </c>
      <c r="Y39" s="111" t="n">
        <f aca="false">Y37+Y38</f>
        <v>-41306.1394217339</v>
      </c>
      <c r="Z39" s="111" t="n">
        <f aca="false">Z37+Z38</f>
        <v>-186703.674070196</v>
      </c>
      <c r="AA39" s="111" t="n">
        <f aca="false">AA37+AA38</f>
        <v>-179828.826078899</v>
      </c>
      <c r="AB39" s="111" t="n">
        <f aca="false">AB37+AB38</f>
        <v>-173603.213008002</v>
      </c>
      <c r="AC39" s="111" t="n">
        <f aca="false">AC37+AC38</f>
        <v>-167923.85733664</v>
      </c>
      <c r="AD39" s="111" t="n">
        <f aca="false">AD37+AD38</f>
        <v>-162749.754322399</v>
      </c>
      <c r="AE39" s="111" t="n">
        <f aca="false">AE37+AE38</f>
        <v>-173111.236848896</v>
      </c>
      <c r="AF39" s="111" t="n">
        <f aca="false">AF37+AF38</f>
        <v>-153818.670128586</v>
      </c>
      <c r="AG39" s="111" t="n">
        <f aca="false">AG37+AG38</f>
        <v>-150176.002074471</v>
      </c>
      <c r="AH39" s="111" t="n">
        <f aca="false">AH37+AH38</f>
        <v>-146989.029779315</v>
      </c>
      <c r="AI39" s="111" t="n">
        <f aca="false">AI37+AI38</f>
        <v>-144127.177863829</v>
      </c>
      <c r="AJ39" s="111" t="n">
        <f aca="false">AJ37+AJ38</f>
        <v>-141576.798116158</v>
      </c>
      <c r="AK39" s="111" t="n">
        <f aca="false">AK37+AK38</f>
        <v>-139223.158889884</v>
      </c>
      <c r="AL39" s="111" t="n">
        <f aca="false">AL37+AL38</f>
        <v>-395147.416004902</v>
      </c>
      <c r="AM39" s="111" t="n">
        <f aca="false">AM37+AM38</f>
        <v>-384830.884921028</v>
      </c>
      <c r="AN39" s="111" t="n">
        <f aca="false">AN37+AN38</f>
        <v>-375574.22484792</v>
      </c>
      <c r="AO39" s="111" t="n">
        <f aca="false">AO37+AO38</f>
        <v>-367092.458509593</v>
      </c>
      <c r="AP39" s="111" t="n">
        <f aca="false">AP37+AP38</f>
        <v>-359464.228811629</v>
      </c>
      <c r="AQ39" s="111" t="n">
        <f aca="false">AQ37+AQ38</f>
        <v>-377485.661904816</v>
      </c>
      <c r="AR39" s="111" t="n">
        <f aca="false">AR37+AR38</f>
        <v>-346165.675039082</v>
      </c>
      <c r="AS39" s="111" t="n">
        <f aca="false">AS37+AS38</f>
        <v>-317508.51683485</v>
      </c>
      <c r="AT39" s="111" t="n">
        <f aca="false">AT37+AT38</f>
        <v>-314403.753831798</v>
      </c>
      <c r="AU39" s="111" t="n">
        <f aca="false">AU37+AU38</f>
        <v>-311671.310334995</v>
      </c>
      <c r="AV39" s="111" t="n">
        <f aca="false">AV37+AV38</f>
        <v>-309353.365152449</v>
      </c>
      <c r="AW39" s="111" t="n">
        <f aca="false">AW37+AW38</f>
        <v>-307331.614062672</v>
      </c>
      <c r="AX39" s="111" t="n">
        <f aca="false">AX37+AX38</f>
        <v>-595517.565995433</v>
      </c>
      <c r="AY39" s="111" t="n">
        <f aca="false">AY37+AY38</f>
        <v>-580458.458606828</v>
      </c>
      <c r="AZ39" s="111" t="n">
        <f aca="false">AZ37+AZ38</f>
        <v>-546627.887179266</v>
      </c>
      <c r="BA39" s="111" t="n">
        <f aca="false">BA37+BA38</f>
        <v>-530728.389765283</v>
      </c>
      <c r="BB39" s="111" t="n">
        <f aca="false">BB37+BB38</f>
        <v>-516075.784964402</v>
      </c>
      <c r="BC39" s="111" t="n">
        <f aca="false">BC37+BC38</f>
        <v>-532764.872416847</v>
      </c>
      <c r="BD39" s="111" t="n">
        <f aca="false">BD37+BD38</f>
        <v>-490567.203500068</v>
      </c>
      <c r="BE39" s="111" t="n">
        <f aca="false">BE37+BE38</f>
        <v>-479375.139491079</v>
      </c>
      <c r="BF39" s="111" t="n">
        <f aca="false">BF37+BF38</f>
        <v>-469147.945434807</v>
      </c>
      <c r="BG39" s="111" t="n">
        <f aca="false">BG37+BG38</f>
        <v>-459812.605759594</v>
      </c>
      <c r="BH39" s="111" t="n">
        <f aca="false">BH37+BH38</f>
        <v>-451278.447990555</v>
      </c>
      <c r="BI39" s="111" t="n">
        <f aca="false">BI37+BI38</f>
        <v>-443422.395839202</v>
      </c>
      <c r="BJ39" s="111" t="n">
        <f aca="false">SUM(B39:BI39)</f>
        <v>-13127454.865323</v>
      </c>
    </row>
    <row r="40" customFormat="false" ht="15" hidden="false" customHeight="false" outlineLevel="0" collapsed="false">
      <c r="A40" s="27" t="s">
        <v>489</v>
      </c>
      <c r="B40" s="110" t="n">
        <f aca="false">B39/(1+Premissas!$B$19)^B$5</f>
        <v>0</v>
      </c>
      <c r="C40" s="110" t="n">
        <f aca="false">C39/(1+Premissas!$B$19)^C$5</f>
        <v>0</v>
      </c>
      <c r="D40" s="110" t="n">
        <f aca="false">D39/(1+Premissas!$B$19)^D$5</f>
        <v>0</v>
      </c>
      <c r="E40" s="110" t="n">
        <f aca="false">E39/(1+Premissas!$B$19)^E$5</f>
        <v>-1392.47665008383</v>
      </c>
      <c r="F40" s="110" t="n">
        <f aca="false">F39/(1+Premissas!$B$19)^F$5</f>
        <v>-7380.84094984538</v>
      </c>
      <c r="G40" s="110" t="n">
        <f aca="false">G39/(1+Premissas!$B$19)^G$5</f>
        <v>-1878.29710109982</v>
      </c>
      <c r="H40" s="110" t="n">
        <f aca="false">H39/(1+Premissas!$B$19)^H$5</f>
        <v>-1843.69235056949</v>
      </c>
      <c r="I40" s="110" t="n">
        <f aca="false">I39/(1+Premissas!$B$19)^I$5</f>
        <v>-9675.84196057351</v>
      </c>
      <c r="J40" s="110" t="n">
        <f aca="false">J39/(1+Premissas!$B$19)^J$5</f>
        <v>-10658.3023354809</v>
      </c>
      <c r="K40" s="110" t="n">
        <f aca="false">K39/(1+Premissas!$B$19)^K$5</f>
        <v>-58386.4175115439</v>
      </c>
      <c r="L40" s="110" t="n">
        <f aca="false">L39/(1+Premissas!$B$19)^L$5</f>
        <v>-26385.9173194892</v>
      </c>
      <c r="M40" s="110" t="n">
        <f aca="false">M39/(1+Premissas!$B$19)^M$5</f>
        <v>-22781.64886</v>
      </c>
      <c r="N40" s="110" t="n">
        <f aca="false">N39/(1+Premissas!$B$19)^N$5</f>
        <v>-75815.838265741</v>
      </c>
      <c r="O40" s="110" t="n">
        <f aca="false">O39/(1+Premissas!$B$19)^O$5</f>
        <v>-66407.956736927</v>
      </c>
      <c r="P40" s="110" t="n">
        <f aca="false">P39/(1+Premissas!$B$19)^P$5</f>
        <v>-65173.5391391025</v>
      </c>
      <c r="Q40" s="110" t="n">
        <f aca="false">Q39/(1+Premissas!$B$19)^Q$5</f>
        <v>-50718.5973438985</v>
      </c>
      <c r="R40" s="110" t="n">
        <f aca="false">R39/(1+Premissas!$B$19)^R$5</f>
        <v>-46173.0329640831</v>
      </c>
      <c r="S40" s="110" t="n">
        <f aca="false">S39/(1+Premissas!$B$19)^S$5</f>
        <v>-46546.4771344619</v>
      </c>
      <c r="T40" s="110" t="n">
        <f aca="false">T39/(1+Premissas!$B$19)^T$5</f>
        <v>-56304.9683853906</v>
      </c>
      <c r="U40" s="110" t="n">
        <f aca="false">U39/(1+Premissas!$B$19)^U$5</f>
        <v>-35739.9748262155</v>
      </c>
      <c r="V40" s="110" t="n">
        <f aca="false">V39/(1+Premissas!$B$19)^V$5</f>
        <v>-32991.4905819432</v>
      </c>
      <c r="W40" s="110" t="n">
        <f aca="false">W39/(1+Premissas!$B$19)^W$5</f>
        <v>-30499.2535821809</v>
      </c>
      <c r="X40" s="110" t="n">
        <f aca="false">X39/(1+Premissas!$B$19)^X$5</f>
        <v>-28369.4689186756</v>
      </c>
      <c r="Y40" s="110" t="n">
        <f aca="false">Y39/(1+Premissas!$B$19)^Y$5</f>
        <v>-26435.9292299096</v>
      </c>
      <c r="Z40" s="110" t="n">
        <f aca="false">Z39/(1+Premissas!$B$19)^Z$5</f>
        <v>-117288.924485441</v>
      </c>
      <c r="AA40" s="110" t="n">
        <f aca="false">AA39/(1+Premissas!$B$19)^AA$5</f>
        <v>-110888.782293364</v>
      </c>
      <c r="AB40" s="110" t="n">
        <f aca="false">AB39/(1+Premissas!$B$19)^AB$5</f>
        <v>-105077.620478917</v>
      </c>
      <c r="AC40" s="110" t="n">
        <f aca="false">AC39/(1+Premissas!$B$19)^AC$5</f>
        <v>-99767.4881421991</v>
      </c>
      <c r="AD40" s="110" t="n">
        <f aca="false">AD39/(1+Premissas!$B$19)^AD$5</f>
        <v>-94912.0040517557</v>
      </c>
      <c r="AE40" s="110" t="n">
        <f aca="false">AE39/(1+Premissas!$B$19)^AE$5</f>
        <v>-99094.6542753784</v>
      </c>
      <c r="AF40" s="110" t="n">
        <f aca="false">AF39/(1+Premissas!$B$19)^AF$5</f>
        <v>-86428.7407210193</v>
      </c>
      <c r="AG40" s="110" t="n">
        <f aca="false">AG39/(1+Premissas!$B$19)^AG$5</f>
        <v>-82827.3634507621</v>
      </c>
      <c r="AH40" s="110" t="n">
        <f aca="false">AH39/(1+Premissas!$B$19)^AH$5</f>
        <v>-79576.0517783843</v>
      </c>
      <c r="AI40" s="110" t="n">
        <f aca="false">AI39/(1+Premissas!$B$19)^AI$5</f>
        <v>-76589.1963785753</v>
      </c>
      <c r="AJ40" s="110" t="n">
        <f aca="false">AJ39/(1+Premissas!$B$19)^AJ$5</f>
        <v>-73847.8543744273</v>
      </c>
      <c r="AK40" s="110" t="n">
        <f aca="false">AK39/(1+Premissas!$B$19)^AK$5</f>
        <v>-71282.2573516204</v>
      </c>
      <c r="AL40" s="110" t="n">
        <f aca="false">AL39/(1+Premissas!$B$19)^AL$5</f>
        <v>-198588.123848023</v>
      </c>
      <c r="AM40" s="110" t="n">
        <f aca="false">AM39/(1+Premissas!$B$19)^AM$5</f>
        <v>-189840.212598831</v>
      </c>
      <c r="AN40" s="110" t="n">
        <f aca="false">AN39/(1+Premissas!$B$19)^AN$5</f>
        <v>-181860.439914389</v>
      </c>
      <c r="AO40" s="110" t="n">
        <f aca="false">AO39/(1+Premissas!$B$19)^AO$5</f>
        <v>-174478.56704733</v>
      </c>
      <c r="AP40" s="110" t="n">
        <f aca="false">AP39/(1+Premissas!$B$19)^AP$5</f>
        <v>-167705.176494931</v>
      </c>
      <c r="AQ40" s="110" t="n">
        <f aca="false">AQ39/(1+Premissas!$B$19)^AQ$5</f>
        <v>-172868.321392777</v>
      </c>
      <c r="AR40" s="110" t="n">
        <f aca="false">AR39/(1+Premissas!$B$19)^AR$5</f>
        <v>-155604.847445157</v>
      </c>
      <c r="AS40" s="110" t="n">
        <f aca="false">AS39/(1+Premissas!$B$19)^AS$5</f>
        <v>-140093.719152552</v>
      </c>
      <c r="AT40" s="110" t="n">
        <f aca="false">AT39/(1+Premissas!$B$19)^AT$5</f>
        <v>-136168.036114261</v>
      </c>
      <c r="AU40" s="110" t="n">
        <f aca="false">AU39/(1+Premissas!$B$19)^AU$5</f>
        <v>-132497.731776127</v>
      </c>
      <c r="AV40" s="110" t="n">
        <f aca="false">AV39/(1+Premissas!$B$19)^AV$5</f>
        <v>-129089.41331629</v>
      </c>
      <c r="AW40" s="110" t="n">
        <f aca="false">AW39/(1+Premissas!$B$19)^AW$5</f>
        <v>-125883.02912007</v>
      </c>
      <c r="AX40" s="110" t="n">
        <f aca="false">AX39/(1+Premissas!$B$19)^AX$5</f>
        <v>-239430.068596186</v>
      </c>
      <c r="AY40" s="110" t="n">
        <f aca="false">AY39/(1+Premissas!$B$19)^AY$5</f>
        <v>-229075.911533084</v>
      </c>
      <c r="AZ40" s="110" t="n">
        <f aca="false">AZ39/(1+Premissas!$B$19)^AZ$5</f>
        <v>-211750.39489922</v>
      </c>
      <c r="BA40" s="110" t="n">
        <f aca="false">BA39/(1+Premissas!$B$19)^BA$5</f>
        <v>-201803.609507088</v>
      </c>
      <c r="BB40" s="110" t="n">
        <f aca="false">BB39/(1+Premissas!$B$19)^BB$5</f>
        <v>-192616.841766626</v>
      </c>
      <c r="BC40" s="110" t="n">
        <f aca="false">BC39/(1+Premissas!$B$19)^BC$5</f>
        <v>-195182.341447363</v>
      </c>
      <c r="BD40" s="110" t="n">
        <f aca="false">BD39/(1+Premissas!$B$19)^BD$5</f>
        <v>-176411.794389741</v>
      </c>
      <c r="BE40" s="110" t="n">
        <f aca="false">BE39/(1+Premissas!$B$19)^BE$5</f>
        <v>-169211.073340776</v>
      </c>
      <c r="BF40" s="110" t="n">
        <f aca="false">BF39/(1+Premissas!$B$19)^BF$5</f>
        <v>-162550.105966164</v>
      </c>
      <c r="BG40" s="110" t="n">
        <f aca="false">BG39/(1+Premissas!$B$19)^BG$5</f>
        <v>-156380.456679785</v>
      </c>
      <c r="BH40" s="110" t="n">
        <f aca="false">BH39/(1+Premissas!$B$19)^BH$5</f>
        <v>-150650.425450335</v>
      </c>
      <c r="BI40" s="110" t="n">
        <f aca="false">BI39/(1+Premissas!$B$19)^BI$5</f>
        <v>-145300.650668589</v>
      </c>
      <c r="BJ40" s="111" t="n">
        <f aca="false">SUM(B40:BI40)</f>
        <v>-5934182.19239475</v>
      </c>
    </row>
    <row r="41" customFormat="false" ht="15" hidden="false" customHeight="false" outlineLevel="0" collapsed="false">
      <c r="A41" s="27" t="s">
        <v>490</v>
      </c>
      <c r="B41" s="110" t="n">
        <f aca="false">B40</f>
        <v>0</v>
      </c>
      <c r="C41" s="110" t="n">
        <f aca="false">B41+C40</f>
        <v>0</v>
      </c>
      <c r="D41" s="110" t="n">
        <f aca="false">C41+D40</f>
        <v>0</v>
      </c>
      <c r="E41" s="110" t="n">
        <f aca="false">D41+E40</f>
        <v>-1392.47665008383</v>
      </c>
      <c r="F41" s="110" t="n">
        <f aca="false">E41+F40</f>
        <v>-8773.31759992921</v>
      </c>
      <c r="G41" s="110" t="n">
        <f aca="false">F41+G40</f>
        <v>-10651.614701029</v>
      </c>
      <c r="H41" s="110" t="n">
        <f aca="false">G41+H40</f>
        <v>-12495.3070515985</v>
      </c>
      <c r="I41" s="110" t="n">
        <f aca="false">H41+I40</f>
        <v>-22171.149012172</v>
      </c>
      <c r="J41" s="110" t="n">
        <f aca="false">I41+J40</f>
        <v>-32829.4513476529</v>
      </c>
      <c r="K41" s="110" t="n">
        <f aca="false">J41+K40</f>
        <v>-91215.8688591968</v>
      </c>
      <c r="L41" s="110" t="n">
        <f aca="false">K41+L40</f>
        <v>-117601.786178686</v>
      </c>
      <c r="M41" s="110" t="n">
        <f aca="false">L41+M40</f>
        <v>-140383.435038686</v>
      </c>
      <c r="N41" s="110" t="n">
        <f aca="false">M41+N40</f>
        <v>-216199.273304427</v>
      </c>
      <c r="O41" s="110" t="n">
        <f aca="false">N41+O40</f>
        <v>-282607.230041354</v>
      </c>
      <c r="P41" s="110" t="n">
        <f aca="false">O41+P40</f>
        <v>-347780.769180457</v>
      </c>
      <c r="Q41" s="110" t="n">
        <f aca="false">P41+Q40</f>
        <v>-398499.366524355</v>
      </c>
      <c r="R41" s="110" t="n">
        <f aca="false">Q41+R40</f>
        <v>-444672.399488438</v>
      </c>
      <c r="S41" s="110" t="n">
        <f aca="false">R41+S40</f>
        <v>-491218.8766229</v>
      </c>
      <c r="T41" s="110" t="n">
        <f aca="false">S41+T40</f>
        <v>-547523.845008291</v>
      </c>
      <c r="U41" s="110" t="n">
        <f aca="false">T41+U40</f>
        <v>-583263.819834506</v>
      </c>
      <c r="V41" s="110" t="n">
        <f aca="false">U41+V40</f>
        <v>-616255.310416449</v>
      </c>
      <c r="W41" s="110" t="n">
        <f aca="false">V41+W40</f>
        <v>-646754.56399863</v>
      </c>
      <c r="X41" s="110" t="n">
        <f aca="false">W41+X40</f>
        <v>-675124.032917306</v>
      </c>
      <c r="Y41" s="110" t="n">
        <f aca="false">X41+Y40</f>
        <v>-701559.962147216</v>
      </c>
      <c r="Z41" s="110" t="n">
        <f aca="false">Y41+Z40</f>
        <v>-818848.886632657</v>
      </c>
      <c r="AA41" s="110" t="n">
        <f aca="false">Z41+AA40</f>
        <v>-929737.668926021</v>
      </c>
      <c r="AB41" s="110" t="n">
        <f aca="false">AA41+AB40</f>
        <v>-1034815.28940494</v>
      </c>
      <c r="AC41" s="110" t="n">
        <f aca="false">AB41+AC40</f>
        <v>-1134582.77754714</v>
      </c>
      <c r="AD41" s="110" t="n">
        <f aca="false">AC41+AD40</f>
        <v>-1229494.78159889</v>
      </c>
      <c r="AE41" s="110" t="n">
        <f aca="false">AD41+AE40</f>
        <v>-1328589.43587427</v>
      </c>
      <c r="AF41" s="110" t="n">
        <f aca="false">AE41+AF40</f>
        <v>-1415018.17659529</v>
      </c>
      <c r="AG41" s="110" t="n">
        <f aca="false">AF41+AG40</f>
        <v>-1497845.54004605</v>
      </c>
      <c r="AH41" s="110" t="n">
        <f aca="false">AG41+AH40</f>
        <v>-1577421.59182444</v>
      </c>
      <c r="AI41" s="110" t="n">
        <f aca="false">AH41+AI40</f>
        <v>-1654010.78820301</v>
      </c>
      <c r="AJ41" s="110" t="n">
        <f aca="false">AI41+AJ40</f>
        <v>-1727858.64257744</v>
      </c>
      <c r="AK41" s="110" t="n">
        <f aca="false">AJ41+AK40</f>
        <v>-1799140.89992906</v>
      </c>
      <c r="AL41" s="110" t="n">
        <f aca="false">AK41+AL40</f>
        <v>-1997729.02377708</v>
      </c>
      <c r="AM41" s="110" t="n">
        <f aca="false">AL41+AM40</f>
        <v>-2187569.23637591</v>
      </c>
      <c r="AN41" s="110" t="n">
        <f aca="false">AM41+AN40</f>
        <v>-2369429.6762903</v>
      </c>
      <c r="AO41" s="110" t="n">
        <f aca="false">AN41+AO40</f>
        <v>-2543908.24333763</v>
      </c>
      <c r="AP41" s="110" t="n">
        <f aca="false">AO41+AP40</f>
        <v>-2711613.41983256</v>
      </c>
      <c r="AQ41" s="110" t="n">
        <f aca="false">AP41+AQ40</f>
        <v>-2884481.74122534</v>
      </c>
      <c r="AR41" s="110" t="n">
        <f aca="false">AQ41+AR40</f>
        <v>-3040086.5886705</v>
      </c>
      <c r="AS41" s="110" t="n">
        <f aca="false">AR41+AS40</f>
        <v>-3180180.30782305</v>
      </c>
      <c r="AT41" s="110" t="n">
        <f aca="false">AS41+AT40</f>
        <v>-3316348.34393731</v>
      </c>
      <c r="AU41" s="110" t="n">
        <f aca="false">AT41+AU40</f>
        <v>-3448846.07571344</v>
      </c>
      <c r="AV41" s="110" t="n">
        <f aca="false">AU41+AV40</f>
        <v>-3577935.48902973</v>
      </c>
      <c r="AW41" s="110" t="n">
        <f aca="false">AV41+AW40</f>
        <v>-3703818.5181498</v>
      </c>
      <c r="AX41" s="110" t="n">
        <f aca="false">AW41+AX40</f>
        <v>-3943248.58674598</v>
      </c>
      <c r="AY41" s="110" t="n">
        <f aca="false">AX41+AY40</f>
        <v>-4172324.49827907</v>
      </c>
      <c r="AZ41" s="110" t="n">
        <f aca="false">AY41+AZ40</f>
        <v>-4384074.89317829</v>
      </c>
      <c r="BA41" s="110" t="n">
        <f aca="false">AZ41+BA40</f>
        <v>-4585878.50268538</v>
      </c>
      <c r="BB41" s="110" t="n">
        <f aca="false">BA41+BB40</f>
        <v>-4778495.344452</v>
      </c>
      <c r="BC41" s="110" t="n">
        <f aca="false">BB41+BC40</f>
        <v>-4973677.68589936</v>
      </c>
      <c r="BD41" s="110" t="n">
        <f aca="false">BC41+BD40</f>
        <v>-5150089.4802891</v>
      </c>
      <c r="BE41" s="110" t="n">
        <f aca="false">BD41+BE40</f>
        <v>-5319300.55362988</v>
      </c>
      <c r="BF41" s="110" t="n">
        <f aca="false">BE41+BF40</f>
        <v>-5481850.65959605</v>
      </c>
      <c r="BG41" s="110" t="n">
        <f aca="false">BF41+BG40</f>
        <v>-5638231.11627583</v>
      </c>
      <c r="BH41" s="110" t="n">
        <f aca="false">BG41+BH40</f>
        <v>-5788881.54172616</v>
      </c>
      <c r="BI41" s="110" t="n">
        <f aca="false">BH41+BI40</f>
        <v>-5934182.19239475</v>
      </c>
      <c r="BJ41" s="111" t="n">
        <f aca="false">BI41</f>
        <v>-5934182.19239475</v>
      </c>
      <c r="BK41" s="29" t="s">
        <v>571</v>
      </c>
    </row>
    <row r="42" customFormat="false" ht="15" hidden="false" customHeight="false" outlineLevel="0" collapsed="false">
      <c r="A42" s="27" t="s">
        <v>491</v>
      </c>
      <c r="B42" s="110" t="n">
        <f aca="false">B39</f>
        <v>0</v>
      </c>
      <c r="C42" s="110" t="n">
        <f aca="false">B42+C39</f>
        <v>0</v>
      </c>
      <c r="D42" s="110" t="n">
        <f aca="false">C42+D39</f>
        <v>0</v>
      </c>
      <c r="E42" s="110" t="n">
        <f aca="false">D42+E39</f>
        <v>-1500</v>
      </c>
      <c r="F42" s="110" t="n">
        <f aca="false">E42+F39</f>
        <v>-9600</v>
      </c>
      <c r="G42" s="110" t="n">
        <f aca="false">F42+G39</f>
        <v>-11700</v>
      </c>
      <c r="H42" s="110" t="n">
        <f aca="false">G42+H39</f>
        <v>-13800</v>
      </c>
      <c r="I42" s="110" t="n">
        <f aca="false">H42+I39</f>
        <v>-25027.82</v>
      </c>
      <c r="J42" s="110" t="n">
        <f aca="false">I42+J39</f>
        <v>-37627.82</v>
      </c>
      <c r="K42" s="110" t="n">
        <f aca="false">J42+K39</f>
        <v>-107946.41305</v>
      </c>
      <c r="L42" s="110" t="n">
        <f aca="false">K42+L39</f>
        <v>-140321.1595</v>
      </c>
      <c r="M42" s="110" t="n">
        <f aca="false">L42+M39</f>
        <v>-168798.220575</v>
      </c>
      <c r="N42" s="110" t="n">
        <f aca="false">M42+N39</f>
        <v>-265346.7778682</v>
      </c>
      <c r="O42" s="110" t="n">
        <f aca="false">N42+O39</f>
        <v>-351502.038339589</v>
      </c>
      <c r="P42" s="110" t="n">
        <f aca="false">O42+P39</f>
        <v>-437642.822617596</v>
      </c>
      <c r="Q42" s="110" t="n">
        <f aca="false">P42+Q39</f>
        <v>-505936.513584755</v>
      </c>
      <c r="R42" s="110" t="n">
        <f aca="false">Q42+R39</f>
        <v>-569276.444893143</v>
      </c>
      <c r="S42" s="110" t="n">
        <f aca="false">R42+S39</f>
        <v>-634327.124259266</v>
      </c>
      <c r="T42" s="110" t="n">
        <f aca="false">S42+T39</f>
        <v>-714492.636670269</v>
      </c>
      <c r="U42" s="110" t="n">
        <f aca="false">T42+U39</f>
        <v>-766333.345441195</v>
      </c>
      <c r="V42" s="110" t="n">
        <f aca="false">U42+V39</f>
        <v>-815085.572607414</v>
      </c>
      <c r="W42" s="110" t="n">
        <f aca="false">V42+W39</f>
        <v>-861000.887598056</v>
      </c>
      <c r="X42" s="110" t="n">
        <f aca="false">W42+X39</f>
        <v>-904511.520184861</v>
      </c>
      <c r="Y42" s="110" t="n">
        <f aca="false">X42+Y39</f>
        <v>-945817.659606595</v>
      </c>
      <c r="Z42" s="110" t="n">
        <f aca="false">Y42+Z39</f>
        <v>-1132521.33367679</v>
      </c>
      <c r="AA42" s="110" t="n">
        <f aca="false">Z42+AA39</f>
        <v>-1312350.15975569</v>
      </c>
      <c r="AB42" s="110" t="n">
        <f aca="false">AA42+AB39</f>
        <v>-1485953.37276369</v>
      </c>
      <c r="AC42" s="110" t="n">
        <f aca="false">AB42+AC39</f>
        <v>-1653877.23010033</v>
      </c>
      <c r="AD42" s="110" t="n">
        <f aca="false">AC42+AD39</f>
        <v>-1816626.98442273</v>
      </c>
      <c r="AE42" s="110" t="n">
        <f aca="false">AD42+AE39</f>
        <v>-1989738.22127163</v>
      </c>
      <c r="AF42" s="110" t="n">
        <f aca="false">AE42+AF39</f>
        <v>-2143556.89140021</v>
      </c>
      <c r="AG42" s="110" t="n">
        <f aca="false">AF42+AG39</f>
        <v>-2293732.89347468</v>
      </c>
      <c r="AH42" s="110" t="n">
        <f aca="false">AG42+AH39</f>
        <v>-2440721.923254</v>
      </c>
      <c r="AI42" s="110" t="n">
        <f aca="false">AH42+AI39</f>
        <v>-2584849.10111783</v>
      </c>
      <c r="AJ42" s="110" t="n">
        <f aca="false">AI42+AJ39</f>
        <v>-2726425.89923398</v>
      </c>
      <c r="AK42" s="110" t="n">
        <f aca="false">AJ42+AK39</f>
        <v>-2865649.05812387</v>
      </c>
      <c r="AL42" s="110" t="n">
        <f aca="false">AK42+AL39</f>
        <v>-3260796.47412877</v>
      </c>
      <c r="AM42" s="110" t="n">
        <f aca="false">AL42+AM39</f>
        <v>-3645627.3590498</v>
      </c>
      <c r="AN42" s="110" t="n">
        <f aca="false">AM42+AN39</f>
        <v>-4021201.58389772</v>
      </c>
      <c r="AO42" s="110" t="n">
        <f aca="false">AN42+AO39</f>
        <v>-4388294.04240731</v>
      </c>
      <c r="AP42" s="110" t="n">
        <f aca="false">AO42+AP39</f>
        <v>-4747758.27121894</v>
      </c>
      <c r="AQ42" s="110" t="n">
        <f aca="false">AP42+AQ39</f>
        <v>-5125243.93312375</v>
      </c>
      <c r="AR42" s="110" t="n">
        <f aca="false">AQ42+AR39</f>
        <v>-5471409.60816284</v>
      </c>
      <c r="AS42" s="110" t="n">
        <f aca="false">AR42+AS39</f>
        <v>-5788918.12499769</v>
      </c>
      <c r="AT42" s="110" t="n">
        <f aca="false">AS42+AT39</f>
        <v>-6103321.87882948</v>
      </c>
      <c r="AU42" s="110" t="n">
        <f aca="false">AT42+AU39</f>
        <v>-6414993.18916448</v>
      </c>
      <c r="AV42" s="110" t="n">
        <f aca="false">AU42+AV39</f>
        <v>-6724346.55431693</v>
      </c>
      <c r="AW42" s="110" t="n">
        <f aca="false">AV42+AW39</f>
        <v>-7031678.1683796</v>
      </c>
      <c r="AX42" s="110" t="n">
        <f aca="false">AW42+AX39</f>
        <v>-7627195.73437503</v>
      </c>
      <c r="AY42" s="110" t="n">
        <f aca="false">AX42+AY39</f>
        <v>-8207654.19298186</v>
      </c>
      <c r="AZ42" s="110" t="n">
        <f aca="false">AY42+AZ39</f>
        <v>-8754282.08016113</v>
      </c>
      <c r="BA42" s="110" t="n">
        <f aca="false">AZ42+BA39</f>
        <v>-9285010.46992641</v>
      </c>
      <c r="BB42" s="110" t="n">
        <f aca="false">BA42+BB39</f>
        <v>-9801086.25489081</v>
      </c>
      <c r="BC42" s="110" t="n">
        <f aca="false">BB42+BC39</f>
        <v>-10333851.1273077</v>
      </c>
      <c r="BD42" s="110" t="n">
        <f aca="false">BC42+BD39</f>
        <v>-10824418.3308077</v>
      </c>
      <c r="BE42" s="110" t="n">
        <f aca="false">BD42+BE39</f>
        <v>-11303793.4702988</v>
      </c>
      <c r="BF42" s="110" t="n">
        <f aca="false">BE42+BF39</f>
        <v>-11772941.4157336</v>
      </c>
      <c r="BG42" s="110" t="n">
        <f aca="false">BF42+BG39</f>
        <v>-12232754.0214932</v>
      </c>
      <c r="BH42" s="110" t="n">
        <f aca="false">BG42+BH39</f>
        <v>-12684032.4694838</v>
      </c>
      <c r="BI42" s="110" t="n">
        <f aca="false">BH42+BI39</f>
        <v>-13127454.865323</v>
      </c>
      <c r="BJ42" s="111" t="n">
        <f aca="false">BI42</f>
        <v>-13127454.865323</v>
      </c>
      <c r="BK42" s="29" t="s">
        <v>571</v>
      </c>
    </row>
    <row r="43" customFormat="false" ht="15" hidden="false" customHeight="false" outlineLevel="0" collapsed="false">
      <c r="A43" s="114" t="s">
        <v>584</v>
      </c>
      <c r="B43" s="147" t="n">
        <f aca="false">IF(B37&gt;0,1,0)</f>
        <v>0</v>
      </c>
      <c r="C43" s="147" t="n">
        <f aca="false">IF(B43=1,1,IF(C37&gt;0,1,0))</f>
        <v>0</v>
      </c>
      <c r="D43" s="147" t="n">
        <f aca="false">IF(C43=1,1,IF(D37&gt;0,1,0))</f>
        <v>0</v>
      </c>
      <c r="E43" s="147" t="n">
        <f aca="false">IF(D43=1,1,IF(E37&gt;0,1,0))</f>
        <v>0</v>
      </c>
      <c r="F43" s="147" t="n">
        <f aca="false">IF(E43=1,1,IF(F37&gt;0,1,0))</f>
        <v>0</v>
      </c>
      <c r="G43" s="147" t="n">
        <f aca="false">IF(F43=1,1,IF(G37&gt;0,1,0))</f>
        <v>0</v>
      </c>
      <c r="H43" s="147" t="n">
        <f aca="false">IF(G43=1,1,IF(H37&gt;0,1,0))</f>
        <v>0</v>
      </c>
      <c r="I43" s="147" t="n">
        <f aca="false">IF(H43=1,1,IF(I37&gt;0,1,0))</f>
        <v>0</v>
      </c>
      <c r="J43" s="147" t="n">
        <f aca="false">IF(I43=1,1,IF(J37&gt;0,1,0))</f>
        <v>0</v>
      </c>
      <c r="K43" s="147" t="n">
        <f aca="false">IF(J43=1,1,IF(K37&gt;0,1,0))</f>
        <v>0</v>
      </c>
      <c r="L43" s="147" t="n">
        <f aca="false">IF(K43=1,1,IF(L37&gt;0,1,0))</f>
        <v>0</v>
      </c>
      <c r="M43" s="147" t="n">
        <f aca="false">IF(L43=1,1,IF(M37&gt;0,1,0))</f>
        <v>0</v>
      </c>
      <c r="N43" s="147" t="n">
        <f aca="false">IF(M43=1,1,IF(N37&gt;0,1,0))</f>
        <v>0</v>
      </c>
      <c r="O43" s="147" t="n">
        <f aca="false">IF(N43=1,1,IF(O37&gt;0,1,0))</f>
        <v>0</v>
      </c>
      <c r="P43" s="147" t="n">
        <f aca="false">IF(O43=1,1,IF(P37&gt;0,1,0))</f>
        <v>0</v>
      </c>
      <c r="Q43" s="147" t="n">
        <f aca="false">IF(P43=1,1,IF(Q37&gt;0,1,0))</f>
        <v>0</v>
      </c>
      <c r="R43" s="147" t="n">
        <f aca="false">IF(Q43=1,1,IF(R37&gt;0,1,0))</f>
        <v>0</v>
      </c>
      <c r="S43" s="147" t="n">
        <f aca="false">IF(R43=1,1,IF(S37&gt;0,1,0))</f>
        <v>0</v>
      </c>
      <c r="T43" s="147" t="n">
        <f aca="false">IF(S43=1,1,IF(T37&gt;0,1,0))</f>
        <v>0</v>
      </c>
      <c r="U43" s="147" t="n">
        <f aca="false">IF(T43=1,1,IF(U37&gt;0,1,0))</f>
        <v>0</v>
      </c>
      <c r="V43" s="147" t="n">
        <f aca="false">IF(U43=1,1,IF(V37&gt;0,1,0))</f>
        <v>0</v>
      </c>
      <c r="W43" s="147" t="n">
        <f aca="false">IF(V43=1,1,IF(W37&gt;0,1,0))</f>
        <v>0</v>
      </c>
      <c r="X43" s="147" t="n">
        <f aca="false">IF(W43=1,1,IF(X37&gt;0,1,0))</f>
        <v>0</v>
      </c>
      <c r="Y43" s="147" t="n">
        <f aca="false">IF(X43=1,1,IF(Y37&gt;0,1,0))</f>
        <v>0</v>
      </c>
      <c r="Z43" s="147" t="n">
        <f aca="false">IF(Y43=1,1,IF(Z37&gt;0,1,0))</f>
        <v>0</v>
      </c>
      <c r="AA43" s="147" t="n">
        <f aca="false">IF(Z43=1,1,IF(AA37&gt;0,1,0))</f>
        <v>0</v>
      </c>
      <c r="AB43" s="147" t="n">
        <f aca="false">IF(AA43=1,1,IF(AB37&gt;0,1,0))</f>
        <v>0</v>
      </c>
      <c r="AC43" s="147" t="n">
        <f aca="false">IF(AB43=1,1,IF(AC37&gt;0,1,0))</f>
        <v>0</v>
      </c>
      <c r="AD43" s="147" t="n">
        <f aca="false">IF(AC43=1,1,IF(AD37&gt;0,1,0))</f>
        <v>0</v>
      </c>
      <c r="AE43" s="147" t="n">
        <f aca="false">IF(AD43=1,1,IF(AE37&gt;0,1,0))</f>
        <v>0</v>
      </c>
      <c r="AF43" s="147" t="n">
        <f aca="false">IF(AE43=1,1,IF(AF37&gt;0,1,0))</f>
        <v>0</v>
      </c>
      <c r="AG43" s="147" t="n">
        <f aca="false">IF(AF43=1,1,IF(AG37&gt;0,1,0))</f>
        <v>0</v>
      </c>
      <c r="AH43" s="147" t="n">
        <f aca="false">IF(AG43=1,1,IF(AH37&gt;0,1,0))</f>
        <v>0</v>
      </c>
      <c r="AI43" s="147" t="n">
        <f aca="false">IF(AH43=1,1,IF(AI37&gt;0,1,0))</f>
        <v>0</v>
      </c>
      <c r="AJ43" s="147" t="n">
        <f aca="false">IF(AI43=1,1,IF(AJ37&gt;0,1,0))</f>
        <v>0</v>
      </c>
      <c r="AK43" s="147" t="n">
        <f aca="false">IF(AJ43=1,1,IF(AK37&gt;0,1,0))</f>
        <v>0</v>
      </c>
      <c r="AL43" s="147" t="n">
        <f aca="false">IF(AK43=1,1,IF(AL37&gt;0,1,0))</f>
        <v>0</v>
      </c>
      <c r="AM43" s="147" t="n">
        <f aca="false">IF(AL43=1,1,IF(AM37&gt;0,1,0))</f>
        <v>0</v>
      </c>
      <c r="AN43" s="147" t="n">
        <f aca="false">IF(AM43=1,1,IF(AN37&gt;0,1,0))</f>
        <v>0</v>
      </c>
      <c r="AO43" s="147" t="n">
        <f aca="false">IF(AN43=1,1,IF(AO37&gt;0,1,0))</f>
        <v>0</v>
      </c>
      <c r="AP43" s="147" t="n">
        <f aca="false">IF(AO43=1,1,IF(AP37&gt;0,1,0))</f>
        <v>0</v>
      </c>
      <c r="AQ43" s="147" t="n">
        <f aca="false">IF(AP43=1,1,IF(AQ37&gt;0,1,0))</f>
        <v>0</v>
      </c>
      <c r="AR43" s="147" t="n">
        <f aca="false">IF(AQ43=1,1,IF(AR37&gt;0,1,0))</f>
        <v>0</v>
      </c>
      <c r="AS43" s="147" t="n">
        <f aca="false">IF(AR43=1,1,IF(AS37&gt;0,1,0))</f>
        <v>0</v>
      </c>
      <c r="AT43" s="147" t="n">
        <f aca="false">IF(AS43=1,1,IF(AT37&gt;0,1,0))</f>
        <v>0</v>
      </c>
      <c r="AU43" s="147" t="n">
        <f aca="false">IF(AT43=1,1,IF(AU37&gt;0,1,0))</f>
        <v>0</v>
      </c>
      <c r="AV43" s="147" t="n">
        <f aca="false">IF(AU43=1,1,IF(AV37&gt;0,1,0))</f>
        <v>0</v>
      </c>
      <c r="AW43" s="147" t="n">
        <f aca="false">IF(AV43=1,1,IF(AW37&gt;0,1,0))</f>
        <v>0</v>
      </c>
      <c r="AX43" s="147" t="n">
        <f aca="false">IF(AW43=1,1,IF(AX37&gt;0,1,0))</f>
        <v>0</v>
      </c>
      <c r="AY43" s="147" t="n">
        <f aca="false">IF(AX43=1,1,IF(AY37&gt;0,1,0))</f>
        <v>0</v>
      </c>
      <c r="AZ43" s="147" t="n">
        <f aca="false">IF(AY43=1,1,IF(AZ37&gt;0,1,0))</f>
        <v>0</v>
      </c>
      <c r="BA43" s="147" t="n">
        <f aca="false">IF(AZ43=1,1,IF(BA37&gt;0,1,0))</f>
        <v>0</v>
      </c>
      <c r="BB43" s="147" t="n">
        <f aca="false">IF(BA43=1,1,IF(BB37&gt;0,1,0))</f>
        <v>0</v>
      </c>
      <c r="BC43" s="147" t="n">
        <f aca="false">IF(BB43=1,1,IF(BC37&gt;0,1,0))</f>
        <v>0</v>
      </c>
      <c r="BD43" s="147" t="n">
        <f aca="false">IF(BC43=1,1,IF(BD37&gt;0,1,0))</f>
        <v>0</v>
      </c>
      <c r="BE43" s="147" t="n">
        <f aca="false">IF(BD43=1,1,IF(BE37&gt;0,1,0))</f>
        <v>0</v>
      </c>
      <c r="BF43" s="147" t="n">
        <f aca="false">IF(BE43=1,1,IF(BF37&gt;0,1,0))</f>
        <v>0</v>
      </c>
      <c r="BG43" s="147" t="n">
        <f aca="false">IF(BF43=1,1,IF(BG37&gt;0,1,0))</f>
        <v>0</v>
      </c>
      <c r="BH43" s="147" t="n">
        <f aca="false">IF(BG43=1,1,IF(BH37&gt;0,1,0))</f>
        <v>0</v>
      </c>
      <c r="BI43" s="147" t="n">
        <f aca="false">IF(BH43=1,1,IF(BI37&gt;0,1,0))</f>
        <v>0</v>
      </c>
      <c r="BJ43" s="109" t="n">
        <f aca="false">BI43</f>
        <v>0</v>
      </c>
    </row>
    <row r="44" customFormat="false" ht="15" hidden="false" customHeight="false" outlineLevel="0" collapsed="false">
      <c r="A44" s="27" t="s">
        <v>492</v>
      </c>
      <c r="B44" s="110" t="n">
        <f aca="false">Aportes!B98</f>
        <v>0</v>
      </c>
      <c r="C44" s="110" t="n">
        <f aca="false">Aportes!C98</f>
        <v>0</v>
      </c>
      <c r="D44" s="110" t="n">
        <f aca="false">Aportes!D98</f>
        <v>0</v>
      </c>
      <c r="E44" s="110" t="n">
        <f aca="false">Aportes!E98</f>
        <v>10000</v>
      </c>
      <c r="F44" s="110" t="n">
        <f aca="false">Aportes!F98</f>
        <v>0</v>
      </c>
      <c r="G44" s="110" t="n">
        <f aca="false">Aportes!G98</f>
        <v>0</v>
      </c>
      <c r="H44" s="110" t="n">
        <f aca="false">Aportes!H98</f>
        <v>5000</v>
      </c>
      <c r="I44" s="110" t="n">
        <f aca="false">Aportes!I98</f>
        <v>18000</v>
      </c>
      <c r="J44" s="110" t="n">
        <f aca="false">Aportes!J98</f>
        <v>0</v>
      </c>
      <c r="K44" s="110" t="n">
        <f aca="false">Aportes!K98</f>
        <v>80000</v>
      </c>
      <c r="L44" s="110" t="n">
        <f aca="false">Aportes!L98</f>
        <v>40000</v>
      </c>
      <c r="M44" s="110" t="n">
        <f aca="false">Aportes!M98</f>
        <v>17000</v>
      </c>
      <c r="N44" s="110" t="n">
        <f aca="false">Aportes!N98</f>
        <v>0</v>
      </c>
      <c r="O44" s="110" t="n">
        <f aca="false">Aportes!O98</f>
        <v>0</v>
      </c>
      <c r="P44" s="110" t="n">
        <f aca="false">Aportes!P98</f>
        <v>0</v>
      </c>
      <c r="Q44" s="110" t="n">
        <f aca="false">Aportes!Q98</f>
        <v>0</v>
      </c>
      <c r="R44" s="110" t="n">
        <f aca="false">Aportes!R98</f>
        <v>0</v>
      </c>
      <c r="S44" s="110" t="n">
        <f aca="false">Aportes!S98</f>
        <v>15000</v>
      </c>
      <c r="T44" s="110" t="n">
        <f aca="false">Aportes!T98</f>
        <v>0</v>
      </c>
      <c r="U44" s="110" t="n">
        <f aca="false">Aportes!U98</f>
        <v>0</v>
      </c>
      <c r="V44" s="110" t="n">
        <f aca="false">Aportes!V98</f>
        <v>0</v>
      </c>
      <c r="W44" s="110" t="n">
        <f aca="false">Aportes!W98</f>
        <v>0</v>
      </c>
      <c r="X44" s="110" t="n">
        <f aca="false">Aportes!X98</f>
        <v>0</v>
      </c>
      <c r="Y44" s="110" t="n">
        <f aca="false">Aportes!Y98</f>
        <v>15000</v>
      </c>
      <c r="Z44" s="110" t="n">
        <f aca="false">Aportes!Z98</f>
        <v>0</v>
      </c>
      <c r="AA44" s="110" t="n">
        <f aca="false">Aportes!AA98</f>
        <v>0</v>
      </c>
      <c r="AB44" s="110" t="n">
        <f aca="false">Aportes!AB98</f>
        <v>0</v>
      </c>
      <c r="AC44" s="110" t="n">
        <f aca="false">Aportes!AC98</f>
        <v>0</v>
      </c>
      <c r="AD44" s="110" t="n">
        <f aca="false">Aportes!AD98</f>
        <v>0</v>
      </c>
      <c r="AE44" s="110" t="n">
        <f aca="false">Aportes!AE98</f>
        <v>0</v>
      </c>
      <c r="AF44" s="110" t="n">
        <f aca="false">Aportes!AF98</f>
        <v>0</v>
      </c>
      <c r="AG44" s="110" t="n">
        <f aca="false">Aportes!AG98</f>
        <v>0</v>
      </c>
      <c r="AH44" s="110" t="n">
        <f aca="false">Aportes!AH98</f>
        <v>0</v>
      </c>
      <c r="AI44" s="110" t="n">
        <f aca="false">Aportes!AI98</f>
        <v>0</v>
      </c>
      <c r="AJ44" s="110" t="n">
        <f aca="false">Aportes!AJ98</f>
        <v>0</v>
      </c>
      <c r="AK44" s="110" t="n">
        <f aca="false">Aportes!AK98</f>
        <v>0</v>
      </c>
      <c r="AL44" s="110" t="n">
        <f aca="false">Aportes!AL98</f>
        <v>0</v>
      </c>
      <c r="AM44" s="110" t="n">
        <f aca="false">Aportes!AM98</f>
        <v>0</v>
      </c>
      <c r="AN44" s="110" t="n">
        <f aca="false">Aportes!AN98</f>
        <v>0</v>
      </c>
      <c r="AO44" s="110" t="n">
        <f aca="false">Aportes!AO98</f>
        <v>0</v>
      </c>
      <c r="AP44" s="110" t="n">
        <f aca="false">Aportes!AP98</f>
        <v>0</v>
      </c>
      <c r="AQ44" s="110" t="n">
        <f aca="false">Aportes!AQ98</f>
        <v>0</v>
      </c>
      <c r="AR44" s="110" t="n">
        <f aca="false">Aportes!AR98</f>
        <v>0</v>
      </c>
      <c r="AS44" s="110" t="n">
        <f aca="false">Aportes!AS98</f>
        <v>0</v>
      </c>
      <c r="AT44" s="110" t="n">
        <f aca="false">Aportes!AT98</f>
        <v>0</v>
      </c>
      <c r="AU44" s="110" t="n">
        <f aca="false">Aportes!AU98</f>
        <v>0</v>
      </c>
      <c r="AV44" s="110" t="n">
        <f aca="false">Aportes!AV98</f>
        <v>0</v>
      </c>
      <c r="AW44" s="110" t="n">
        <f aca="false">Aportes!AW98</f>
        <v>0</v>
      </c>
      <c r="AX44" s="110" t="n">
        <f aca="false">Aportes!AX98</f>
        <v>0</v>
      </c>
      <c r="AY44" s="110" t="n">
        <f aca="false">Aportes!AY98</f>
        <v>0</v>
      </c>
      <c r="AZ44" s="110" t="n">
        <f aca="false">Aportes!AZ98</f>
        <v>0</v>
      </c>
      <c r="BA44" s="110" t="n">
        <f aca="false">Aportes!BA98</f>
        <v>0</v>
      </c>
      <c r="BB44" s="110" t="n">
        <f aca="false">Aportes!BB98</f>
        <v>0</v>
      </c>
      <c r="BC44" s="110" t="n">
        <f aca="false">Aportes!BC98</f>
        <v>0</v>
      </c>
      <c r="BD44" s="110" t="n">
        <f aca="false">Aportes!BD98</f>
        <v>0</v>
      </c>
      <c r="BE44" s="110" t="n">
        <f aca="false">Aportes!BE98</f>
        <v>0</v>
      </c>
      <c r="BF44" s="110" t="n">
        <f aca="false">Aportes!BF98</f>
        <v>0</v>
      </c>
      <c r="BG44" s="110" t="n">
        <f aca="false">Aportes!BG98</f>
        <v>0</v>
      </c>
      <c r="BH44" s="110" t="n">
        <f aca="false">Aportes!BH98</f>
        <v>0</v>
      </c>
      <c r="BI44" s="110" t="n">
        <f aca="false">Aportes!BI98</f>
        <v>0</v>
      </c>
      <c r="BJ44" s="111" t="n">
        <f aca="false">SUM(B44:BI44)</f>
        <v>200000</v>
      </c>
    </row>
    <row r="45" customFormat="false" ht="15" hidden="false" customHeight="false" outlineLevel="0" collapsed="false">
      <c r="A45" s="27" t="s">
        <v>585</v>
      </c>
      <c r="B45" s="110" t="n">
        <f aca="false">B39+B44</f>
        <v>0</v>
      </c>
      <c r="C45" s="110" t="n">
        <f aca="false">C39+C44</f>
        <v>0</v>
      </c>
      <c r="D45" s="110" t="n">
        <f aca="false">D39+D44</f>
        <v>0</v>
      </c>
      <c r="E45" s="110" t="n">
        <f aca="false">E39+E44</f>
        <v>8500</v>
      </c>
      <c r="F45" s="110" t="n">
        <f aca="false">F39+F44</f>
        <v>-8100</v>
      </c>
      <c r="G45" s="110" t="n">
        <f aca="false">G39+G44</f>
        <v>-2100</v>
      </c>
      <c r="H45" s="110" t="n">
        <f aca="false">H39+H44</f>
        <v>2900</v>
      </c>
      <c r="I45" s="110" t="n">
        <f aca="false">I39+I44</f>
        <v>6772.18</v>
      </c>
      <c r="J45" s="110" t="n">
        <f aca="false">J39+J44</f>
        <v>-12600</v>
      </c>
      <c r="K45" s="110" t="n">
        <f aca="false">K39+K44</f>
        <v>9681.40695</v>
      </c>
      <c r="L45" s="110" t="n">
        <f aca="false">L39+L44</f>
        <v>7625.25355</v>
      </c>
      <c r="M45" s="110" t="n">
        <f aca="false">M39+M44</f>
        <v>-11477.061075</v>
      </c>
      <c r="N45" s="110" t="n">
        <f aca="false">N39+N44</f>
        <v>-96548.5572932</v>
      </c>
      <c r="O45" s="110" t="n">
        <f aca="false">O39+O44</f>
        <v>-86155.2604713888</v>
      </c>
      <c r="P45" s="110" t="n">
        <f aca="false">P39+P44</f>
        <v>-86140.7842780075</v>
      </c>
      <c r="Q45" s="110" t="n">
        <f aca="false">Q39+Q44</f>
        <v>-68293.6909671588</v>
      </c>
      <c r="R45" s="110" t="n">
        <f aca="false">R39+R44</f>
        <v>-63339.9313083878</v>
      </c>
      <c r="S45" s="110" t="n">
        <f aca="false">S39+S44</f>
        <v>-50050.6793661229</v>
      </c>
      <c r="T45" s="110" t="n">
        <f aca="false">T39+T44</f>
        <v>-80165.5124110034</v>
      </c>
      <c r="U45" s="110" t="n">
        <f aca="false">U39+U44</f>
        <v>-51840.7087709263</v>
      </c>
      <c r="V45" s="110" t="n">
        <f aca="false">V39+V44</f>
        <v>-48752.227166219</v>
      </c>
      <c r="W45" s="110" t="n">
        <f aca="false">W39+W44</f>
        <v>-45915.3149906419</v>
      </c>
      <c r="X45" s="110" t="n">
        <f aca="false">X39+X44</f>
        <v>-43510.6325868046</v>
      </c>
      <c r="Y45" s="110" t="n">
        <f aca="false">Y39+Y44</f>
        <v>-26306.1394217339</v>
      </c>
      <c r="Z45" s="110" t="n">
        <f aca="false">Z39+Z44</f>
        <v>-186703.674070196</v>
      </c>
      <c r="AA45" s="110" t="n">
        <f aca="false">AA39+AA44</f>
        <v>-179828.826078899</v>
      </c>
      <c r="AB45" s="110" t="n">
        <f aca="false">AB39+AB44</f>
        <v>-173603.213008002</v>
      </c>
      <c r="AC45" s="110" t="n">
        <f aca="false">AC39+AC44</f>
        <v>-167923.85733664</v>
      </c>
      <c r="AD45" s="110" t="n">
        <f aca="false">AD39+AD44</f>
        <v>-162749.754322399</v>
      </c>
      <c r="AE45" s="110" t="n">
        <f aca="false">AE39+AE44</f>
        <v>-173111.236848896</v>
      </c>
      <c r="AF45" s="110" t="n">
        <f aca="false">AF39+AF44</f>
        <v>-153818.670128586</v>
      </c>
      <c r="AG45" s="110" t="n">
        <f aca="false">AG39+AG44</f>
        <v>-150176.002074471</v>
      </c>
      <c r="AH45" s="110" t="n">
        <f aca="false">AH39+AH44</f>
        <v>-146989.029779315</v>
      </c>
      <c r="AI45" s="110" t="n">
        <f aca="false">AI39+AI44</f>
        <v>-144127.177863829</v>
      </c>
      <c r="AJ45" s="110" t="n">
        <f aca="false">AJ39+AJ44</f>
        <v>-141576.798116158</v>
      </c>
      <c r="AK45" s="110" t="n">
        <f aca="false">AK39+AK44</f>
        <v>-139223.158889884</v>
      </c>
      <c r="AL45" s="110" t="n">
        <f aca="false">AL39+AL44</f>
        <v>-395147.416004902</v>
      </c>
      <c r="AM45" s="110" t="n">
        <f aca="false">AM39+AM44</f>
        <v>-384830.884921028</v>
      </c>
      <c r="AN45" s="110" t="n">
        <f aca="false">AN39+AN44</f>
        <v>-375574.22484792</v>
      </c>
      <c r="AO45" s="110" t="n">
        <f aca="false">AO39+AO44</f>
        <v>-367092.458509593</v>
      </c>
      <c r="AP45" s="110" t="n">
        <f aca="false">AP39+AP44</f>
        <v>-359464.228811629</v>
      </c>
      <c r="AQ45" s="110" t="n">
        <f aca="false">AQ39+AQ44</f>
        <v>-377485.661904816</v>
      </c>
      <c r="AR45" s="110" t="n">
        <f aca="false">AR39+AR44</f>
        <v>-346165.675039082</v>
      </c>
      <c r="AS45" s="110" t="n">
        <f aca="false">AS39+AS44</f>
        <v>-317508.51683485</v>
      </c>
      <c r="AT45" s="110" t="n">
        <f aca="false">AT39+AT44</f>
        <v>-314403.753831798</v>
      </c>
      <c r="AU45" s="110" t="n">
        <f aca="false">AU39+AU44</f>
        <v>-311671.310334995</v>
      </c>
      <c r="AV45" s="110" t="n">
        <f aca="false">AV39+AV44</f>
        <v>-309353.365152449</v>
      </c>
      <c r="AW45" s="110" t="n">
        <f aca="false">AW39+AW44</f>
        <v>-307331.614062672</v>
      </c>
      <c r="AX45" s="110" t="n">
        <f aca="false">AX39+AX44</f>
        <v>-595517.565995433</v>
      </c>
      <c r="AY45" s="110" t="n">
        <f aca="false">AY39+AY44</f>
        <v>-580458.458606828</v>
      </c>
      <c r="AZ45" s="110" t="n">
        <f aca="false">AZ39+AZ44</f>
        <v>-546627.887179266</v>
      </c>
      <c r="BA45" s="110" t="n">
        <f aca="false">BA39+BA44</f>
        <v>-530728.389765283</v>
      </c>
      <c r="BB45" s="110" t="n">
        <f aca="false">BB39+BB44</f>
        <v>-516075.784964402</v>
      </c>
      <c r="BC45" s="110" t="n">
        <f aca="false">BC39+BC44</f>
        <v>-532764.872416847</v>
      </c>
      <c r="BD45" s="110" t="n">
        <f aca="false">BD39+BD44</f>
        <v>-490567.203500068</v>
      </c>
      <c r="BE45" s="110" t="n">
        <f aca="false">BE39+BE44</f>
        <v>-479375.139491079</v>
      </c>
      <c r="BF45" s="110" t="n">
        <f aca="false">BF39+BF44</f>
        <v>-469147.945434807</v>
      </c>
      <c r="BG45" s="110" t="n">
        <f aca="false">BG39+BG44</f>
        <v>-459812.605759594</v>
      </c>
      <c r="BH45" s="110" t="n">
        <f aca="false">BH39+BH44</f>
        <v>-451278.447990555</v>
      </c>
      <c r="BI45" s="110" t="n">
        <f aca="false">BI39+BI44</f>
        <v>-443422.395839202</v>
      </c>
      <c r="BJ45" s="111" t="n">
        <f aca="false">SUM(B45:BI45)</f>
        <v>-12927454.865323</v>
      </c>
    </row>
    <row r="46" customFormat="false" ht="15" hidden="false" customHeight="false" outlineLevel="0" collapsed="false">
      <c r="A46" s="51" t="s">
        <v>494</v>
      </c>
      <c r="B46" s="111" t="n">
        <f aca="false">B45</f>
        <v>0</v>
      </c>
      <c r="C46" s="111" t="n">
        <f aca="false">B46+C45</f>
        <v>0</v>
      </c>
      <c r="D46" s="111" t="n">
        <f aca="false">C46+D45</f>
        <v>0</v>
      </c>
      <c r="E46" s="111" t="n">
        <f aca="false">D46+E45</f>
        <v>8500</v>
      </c>
      <c r="F46" s="111" t="n">
        <f aca="false">E46+F45</f>
        <v>400</v>
      </c>
      <c r="G46" s="111" t="n">
        <f aca="false">F46+G45</f>
        <v>-1700</v>
      </c>
      <c r="H46" s="111" t="n">
        <f aca="false">G46+H45</f>
        <v>1200</v>
      </c>
      <c r="I46" s="111" t="n">
        <f aca="false">H46+I45</f>
        <v>7972.18</v>
      </c>
      <c r="J46" s="111" t="n">
        <f aca="false">I46+J45</f>
        <v>-4627.82</v>
      </c>
      <c r="K46" s="111" t="n">
        <f aca="false">J46+K45</f>
        <v>5053.58695</v>
      </c>
      <c r="L46" s="111" t="n">
        <f aca="false">K46+L45</f>
        <v>12678.8405</v>
      </c>
      <c r="M46" s="111" t="n">
        <f aca="false">L46+M45</f>
        <v>1201.779425</v>
      </c>
      <c r="N46" s="111" t="n">
        <f aca="false">M46+N45</f>
        <v>-95346.7778682</v>
      </c>
      <c r="O46" s="111" t="n">
        <f aca="false">N46+O45</f>
        <v>-181502.038339589</v>
      </c>
      <c r="P46" s="111" t="n">
        <f aca="false">O46+P45</f>
        <v>-267642.822617596</v>
      </c>
      <c r="Q46" s="111" t="n">
        <f aca="false">P46+Q45</f>
        <v>-335936.513584755</v>
      </c>
      <c r="R46" s="111" t="n">
        <f aca="false">Q46+R45</f>
        <v>-399276.444893143</v>
      </c>
      <c r="S46" s="111" t="n">
        <f aca="false">R46+S45</f>
        <v>-449327.124259266</v>
      </c>
      <c r="T46" s="111" t="n">
        <f aca="false">S46+T45</f>
        <v>-529492.636670269</v>
      </c>
      <c r="U46" s="111" t="n">
        <f aca="false">T46+U45</f>
        <v>-581333.345441195</v>
      </c>
      <c r="V46" s="111" t="n">
        <f aca="false">U46+V45</f>
        <v>-630085.572607414</v>
      </c>
      <c r="W46" s="111" t="n">
        <f aca="false">V46+W45</f>
        <v>-676000.887598056</v>
      </c>
      <c r="X46" s="111" t="n">
        <f aca="false">W46+X45</f>
        <v>-719511.520184861</v>
      </c>
      <c r="Y46" s="111" t="n">
        <f aca="false">X46+Y45</f>
        <v>-745817.659606595</v>
      </c>
      <c r="Z46" s="111" t="n">
        <f aca="false">Y46+Z45</f>
        <v>-932521.33367679</v>
      </c>
      <c r="AA46" s="111" t="n">
        <f aca="false">Z46+AA45</f>
        <v>-1112350.15975569</v>
      </c>
      <c r="AB46" s="111" t="n">
        <f aca="false">AA46+AB45</f>
        <v>-1285953.37276369</v>
      </c>
      <c r="AC46" s="111" t="n">
        <f aca="false">AB46+AC45</f>
        <v>-1453877.23010033</v>
      </c>
      <c r="AD46" s="111" t="n">
        <f aca="false">AC46+AD45</f>
        <v>-1616626.98442273</v>
      </c>
      <c r="AE46" s="111" t="n">
        <f aca="false">AD46+AE45</f>
        <v>-1789738.22127163</v>
      </c>
      <c r="AF46" s="111" t="n">
        <f aca="false">AE46+AF45</f>
        <v>-1943556.89140021</v>
      </c>
      <c r="AG46" s="111" t="n">
        <f aca="false">AF46+AG45</f>
        <v>-2093732.89347468</v>
      </c>
      <c r="AH46" s="111" t="n">
        <f aca="false">AG46+AH45</f>
        <v>-2240721.923254</v>
      </c>
      <c r="AI46" s="111" t="n">
        <f aca="false">AH46+AI45</f>
        <v>-2384849.10111783</v>
      </c>
      <c r="AJ46" s="111" t="n">
        <f aca="false">AI46+AJ45</f>
        <v>-2526425.89923398</v>
      </c>
      <c r="AK46" s="111" t="n">
        <f aca="false">AJ46+AK45</f>
        <v>-2665649.05812387</v>
      </c>
      <c r="AL46" s="111" t="n">
        <f aca="false">AK46+AL45</f>
        <v>-3060796.47412877</v>
      </c>
      <c r="AM46" s="111" t="n">
        <f aca="false">AL46+AM45</f>
        <v>-3445627.3590498</v>
      </c>
      <c r="AN46" s="111" t="n">
        <f aca="false">AM46+AN45</f>
        <v>-3821201.58389772</v>
      </c>
      <c r="AO46" s="111" t="n">
        <f aca="false">AN46+AO45</f>
        <v>-4188294.04240731</v>
      </c>
      <c r="AP46" s="111" t="n">
        <f aca="false">AO46+AP45</f>
        <v>-4547758.27121894</v>
      </c>
      <c r="AQ46" s="111" t="n">
        <f aca="false">AP46+AQ45</f>
        <v>-4925243.93312376</v>
      </c>
      <c r="AR46" s="111" t="n">
        <f aca="false">AQ46+AR45</f>
        <v>-5271409.60816284</v>
      </c>
      <c r="AS46" s="111" t="n">
        <f aca="false">AR46+AS45</f>
        <v>-5588918.12499769</v>
      </c>
      <c r="AT46" s="111" t="n">
        <f aca="false">AS46+AT45</f>
        <v>-5903321.87882949</v>
      </c>
      <c r="AU46" s="111" t="n">
        <f aca="false">AT46+AU45</f>
        <v>-6214993.18916448</v>
      </c>
      <c r="AV46" s="111" t="n">
        <f aca="false">AU46+AV45</f>
        <v>-6524346.55431693</v>
      </c>
      <c r="AW46" s="111" t="n">
        <f aca="false">AV46+AW45</f>
        <v>-6831678.1683796</v>
      </c>
      <c r="AX46" s="111" t="n">
        <f aca="false">AW46+AX45</f>
        <v>-7427195.73437503</v>
      </c>
      <c r="AY46" s="111" t="n">
        <f aca="false">AX46+AY45</f>
        <v>-8007654.19298186</v>
      </c>
      <c r="AZ46" s="111" t="n">
        <f aca="false">AY46+AZ45</f>
        <v>-8554282.08016113</v>
      </c>
      <c r="BA46" s="111" t="n">
        <f aca="false">AZ46+BA45</f>
        <v>-9085010.46992641</v>
      </c>
      <c r="BB46" s="111" t="n">
        <f aca="false">BA46+BB45</f>
        <v>-9601086.25489081</v>
      </c>
      <c r="BC46" s="111" t="n">
        <f aca="false">BB46+BC45</f>
        <v>-10133851.1273077</v>
      </c>
      <c r="BD46" s="111" t="n">
        <f aca="false">BC46+BD45</f>
        <v>-10624418.3308077</v>
      </c>
      <c r="BE46" s="111" t="n">
        <f aca="false">BD46+BE45</f>
        <v>-11103793.4702988</v>
      </c>
      <c r="BF46" s="111" t="n">
        <f aca="false">BE46+BF45</f>
        <v>-11572941.4157336</v>
      </c>
      <c r="BG46" s="111" t="n">
        <f aca="false">BF46+BG45</f>
        <v>-12032754.0214932</v>
      </c>
      <c r="BH46" s="111" t="n">
        <f aca="false">BG46+BH45</f>
        <v>-12484032.4694838</v>
      </c>
      <c r="BI46" s="111" t="n">
        <f aca="false">BH46+BI45</f>
        <v>-12927454.865323</v>
      </c>
      <c r="BJ46" s="111" t="n">
        <f aca="false">BI46</f>
        <v>-12927454.865323</v>
      </c>
      <c r="BK46" s="29" t="s">
        <v>571</v>
      </c>
    </row>
    <row r="47" customFormat="false" ht="15" hidden="false" customHeight="false" outlineLevel="0" collapsed="false">
      <c r="A47" s="27" t="s">
        <v>586</v>
      </c>
      <c r="B47" s="108" t="n">
        <f aca="false">IF(B42&lt;0,B$5,0)</f>
        <v>0</v>
      </c>
      <c r="C47" s="108" t="n">
        <f aca="false">IF(C42&lt;0,C$5,0)</f>
        <v>0</v>
      </c>
      <c r="D47" s="108" t="n">
        <f aca="false">IF(D42&lt;0,D$5,0)</f>
        <v>0</v>
      </c>
      <c r="E47" s="108" t="n">
        <f aca="false">IF(E42&lt;0,E$5,0)</f>
        <v>4</v>
      </c>
      <c r="F47" s="108" t="n">
        <f aca="false">IF(F42&lt;0,F$5,0)</f>
        <v>5</v>
      </c>
      <c r="G47" s="108" t="n">
        <f aca="false">IF(G42&lt;0,G$5,0)</f>
        <v>6</v>
      </c>
      <c r="H47" s="108" t="n">
        <f aca="false">IF(H42&lt;0,H$5,0)</f>
        <v>7</v>
      </c>
      <c r="I47" s="108" t="n">
        <f aca="false">IF(I42&lt;0,I$5,0)</f>
        <v>8</v>
      </c>
      <c r="J47" s="108" t="n">
        <f aca="false">IF(J42&lt;0,J$5,0)</f>
        <v>9</v>
      </c>
      <c r="K47" s="108" t="n">
        <f aca="false">IF(K42&lt;0,K$5,0)</f>
        <v>10</v>
      </c>
      <c r="L47" s="108" t="n">
        <f aca="false">IF(L42&lt;0,L$5,0)</f>
        <v>11</v>
      </c>
      <c r="M47" s="108" t="n">
        <f aca="false">IF(M42&lt;0,M$5,0)</f>
        <v>12</v>
      </c>
      <c r="N47" s="108" t="n">
        <f aca="false">IF(N42&lt;0,N$5,0)</f>
        <v>13</v>
      </c>
      <c r="O47" s="108" t="n">
        <f aca="false">IF(O42&lt;0,O$5,0)</f>
        <v>14</v>
      </c>
      <c r="P47" s="108" t="n">
        <f aca="false">IF(P42&lt;0,P$5,0)</f>
        <v>15</v>
      </c>
      <c r="Q47" s="108" t="n">
        <f aca="false">IF(Q42&lt;0,Q$5,0)</f>
        <v>16</v>
      </c>
      <c r="R47" s="108" t="n">
        <f aca="false">IF(R42&lt;0,R$5,0)</f>
        <v>17</v>
      </c>
      <c r="S47" s="108" t="n">
        <f aca="false">IF(S42&lt;0,S$5,0)</f>
        <v>18</v>
      </c>
      <c r="T47" s="108" t="n">
        <f aca="false">IF(T42&lt;0,T$5,0)</f>
        <v>19</v>
      </c>
      <c r="U47" s="108" t="n">
        <f aca="false">IF(U42&lt;0,U$5,0)</f>
        <v>20</v>
      </c>
      <c r="V47" s="108" t="n">
        <f aca="false">IF(V42&lt;0,V$5,0)</f>
        <v>21</v>
      </c>
      <c r="W47" s="108" t="n">
        <f aca="false">IF(W42&lt;0,W$5,0)</f>
        <v>22</v>
      </c>
      <c r="X47" s="108" t="n">
        <f aca="false">IF(X42&lt;0,X$5,0)</f>
        <v>23</v>
      </c>
      <c r="Y47" s="108" t="n">
        <f aca="false">IF(Y42&lt;0,Y$5,0)</f>
        <v>24</v>
      </c>
      <c r="Z47" s="108" t="n">
        <f aca="false">IF(Z42&lt;0,Z$5,0)</f>
        <v>25</v>
      </c>
      <c r="AA47" s="108" t="n">
        <f aca="false">IF(AA42&lt;0,AA$5,0)</f>
        <v>26</v>
      </c>
      <c r="AB47" s="108" t="n">
        <f aca="false">IF(AB42&lt;0,AB$5,0)</f>
        <v>27</v>
      </c>
      <c r="AC47" s="108" t="n">
        <f aca="false">IF(AC42&lt;0,AC$5,0)</f>
        <v>28</v>
      </c>
      <c r="AD47" s="108" t="n">
        <f aca="false">IF(AD42&lt;0,AD$5,0)</f>
        <v>29</v>
      </c>
      <c r="AE47" s="108" t="n">
        <f aca="false">IF(AE42&lt;0,AE$5,0)</f>
        <v>30</v>
      </c>
      <c r="AF47" s="108" t="n">
        <f aca="false">IF(AF42&lt;0,AF$5,0)</f>
        <v>31</v>
      </c>
      <c r="AG47" s="108" t="n">
        <f aca="false">IF(AG42&lt;0,AG$5,0)</f>
        <v>32</v>
      </c>
      <c r="AH47" s="108" t="n">
        <f aca="false">IF(AH42&lt;0,AH$5,0)</f>
        <v>33</v>
      </c>
      <c r="AI47" s="108" t="n">
        <f aca="false">IF(AI42&lt;0,AI$5,0)</f>
        <v>34</v>
      </c>
      <c r="AJ47" s="108" t="n">
        <f aca="false">IF(AJ42&lt;0,AJ$5,0)</f>
        <v>35</v>
      </c>
      <c r="AK47" s="108" t="n">
        <f aca="false">IF(AK42&lt;0,AK$5,0)</f>
        <v>36</v>
      </c>
      <c r="AL47" s="108" t="n">
        <f aca="false">IF(AL42&lt;0,AL$5,0)</f>
        <v>37</v>
      </c>
      <c r="AM47" s="108" t="n">
        <f aca="false">IF(AM42&lt;0,AM$5,0)</f>
        <v>38</v>
      </c>
      <c r="AN47" s="108" t="n">
        <f aca="false">IF(AN42&lt;0,AN$5,0)</f>
        <v>39</v>
      </c>
      <c r="AO47" s="108" t="n">
        <f aca="false">IF(AO42&lt;0,AO$5,0)</f>
        <v>40</v>
      </c>
      <c r="AP47" s="108" t="n">
        <f aca="false">IF(AP42&lt;0,AP$5,0)</f>
        <v>41</v>
      </c>
      <c r="AQ47" s="108" t="n">
        <f aca="false">IF(AQ42&lt;0,AQ$5,0)</f>
        <v>42</v>
      </c>
      <c r="AR47" s="108" t="n">
        <f aca="false">IF(AR42&lt;0,AR$5,0)</f>
        <v>43</v>
      </c>
      <c r="AS47" s="108" t="n">
        <f aca="false">IF(AS42&lt;0,AS$5,0)</f>
        <v>44</v>
      </c>
      <c r="AT47" s="108" t="n">
        <f aca="false">IF(AT42&lt;0,AT$5,0)</f>
        <v>45</v>
      </c>
      <c r="AU47" s="108" t="n">
        <f aca="false">IF(AU42&lt;0,AU$5,0)</f>
        <v>46</v>
      </c>
      <c r="AV47" s="108" t="n">
        <f aca="false">IF(AV42&lt;0,AV$5,0)</f>
        <v>47</v>
      </c>
      <c r="AW47" s="108" t="n">
        <f aca="false">IF(AW42&lt;0,AW$5,0)</f>
        <v>48</v>
      </c>
      <c r="AX47" s="108" t="n">
        <f aca="false">IF(AX42&lt;0,AX$5,0)</f>
        <v>49</v>
      </c>
      <c r="AY47" s="108" t="n">
        <f aca="false">IF(AY42&lt;0,AY$5,0)</f>
        <v>50</v>
      </c>
      <c r="AZ47" s="108" t="n">
        <f aca="false">IF(AZ42&lt;0,AZ$5,0)</f>
        <v>51</v>
      </c>
      <c r="BA47" s="108" t="n">
        <f aca="false">IF(BA42&lt;0,BA$5,0)</f>
        <v>52</v>
      </c>
      <c r="BB47" s="108" t="n">
        <f aca="false">IF(BB42&lt;0,BB$5,0)</f>
        <v>53</v>
      </c>
      <c r="BC47" s="108" t="n">
        <f aca="false">IF(BC42&lt;0,BC$5,0)</f>
        <v>54</v>
      </c>
      <c r="BD47" s="108" t="n">
        <f aca="false">IF(BD42&lt;0,BD$5,0)</f>
        <v>55</v>
      </c>
      <c r="BE47" s="108" t="n">
        <f aca="false">IF(BE42&lt;0,BE$5,0)</f>
        <v>56</v>
      </c>
      <c r="BF47" s="108" t="n">
        <f aca="false">IF(BF42&lt;0,BF$5,0)</f>
        <v>57</v>
      </c>
      <c r="BG47" s="108" t="n">
        <f aca="false">IF(BG42&lt;0,BG$5,0)</f>
        <v>58</v>
      </c>
      <c r="BH47" s="108" t="n">
        <f aca="false">IF(BH42&lt;0,BH$5,0)</f>
        <v>59</v>
      </c>
      <c r="BI47" s="108" t="n">
        <f aca="false">IF(BI42&lt;0,BI$5,0)</f>
        <v>60</v>
      </c>
      <c r="BJ47" s="109" t="n">
        <f aca="false">BI47</f>
        <v>60</v>
      </c>
      <c r="BK47" s="29" t="s">
        <v>587</v>
      </c>
    </row>
    <row r="48" customFormat="false" ht="15" hidden="false" customHeight="false" outlineLevel="0" collapsed="false">
      <c r="A48" s="27" t="s">
        <v>588</v>
      </c>
      <c r="B48" s="108" t="n">
        <f aca="false">IF(B41&lt;0,B$5,0)</f>
        <v>0</v>
      </c>
      <c r="C48" s="108" t="n">
        <f aca="false">IF(C41&lt;0,C$5,0)</f>
        <v>0</v>
      </c>
      <c r="D48" s="108" t="n">
        <f aca="false">IF(D41&lt;0,D$5,0)</f>
        <v>0</v>
      </c>
      <c r="E48" s="108" t="n">
        <f aca="false">IF(E41&lt;0,E$5,0)</f>
        <v>4</v>
      </c>
      <c r="F48" s="108" t="n">
        <f aca="false">IF(F41&lt;0,F$5,0)</f>
        <v>5</v>
      </c>
      <c r="G48" s="108" t="n">
        <f aca="false">IF(G41&lt;0,G$5,0)</f>
        <v>6</v>
      </c>
      <c r="H48" s="108" t="n">
        <f aca="false">IF(H41&lt;0,H$5,0)</f>
        <v>7</v>
      </c>
      <c r="I48" s="108" t="n">
        <f aca="false">IF(I41&lt;0,I$5,0)</f>
        <v>8</v>
      </c>
      <c r="J48" s="108" t="n">
        <f aca="false">IF(J41&lt;0,J$5,0)</f>
        <v>9</v>
      </c>
      <c r="K48" s="108" t="n">
        <f aca="false">IF(K41&lt;0,K$5,0)</f>
        <v>10</v>
      </c>
      <c r="L48" s="108" t="n">
        <f aca="false">IF(L41&lt;0,L$5,0)</f>
        <v>11</v>
      </c>
      <c r="M48" s="108" t="n">
        <f aca="false">IF(M41&lt;0,M$5,0)</f>
        <v>12</v>
      </c>
      <c r="N48" s="108" t="n">
        <f aca="false">IF(N41&lt;0,N$5,0)</f>
        <v>13</v>
      </c>
      <c r="O48" s="108" t="n">
        <f aca="false">IF(O41&lt;0,O$5,0)</f>
        <v>14</v>
      </c>
      <c r="P48" s="108" t="n">
        <f aca="false">IF(P41&lt;0,P$5,0)</f>
        <v>15</v>
      </c>
      <c r="Q48" s="108" t="n">
        <f aca="false">IF(Q41&lt;0,Q$5,0)</f>
        <v>16</v>
      </c>
      <c r="R48" s="108" t="n">
        <f aca="false">IF(R41&lt;0,R$5,0)</f>
        <v>17</v>
      </c>
      <c r="S48" s="108" t="n">
        <f aca="false">IF(S41&lt;0,S$5,0)</f>
        <v>18</v>
      </c>
      <c r="T48" s="108" t="n">
        <f aca="false">IF(T41&lt;0,T$5,0)</f>
        <v>19</v>
      </c>
      <c r="U48" s="108" t="n">
        <f aca="false">IF(U41&lt;0,U$5,0)</f>
        <v>20</v>
      </c>
      <c r="V48" s="108" t="n">
        <f aca="false">IF(V41&lt;0,V$5,0)</f>
        <v>21</v>
      </c>
      <c r="W48" s="108" t="n">
        <f aca="false">IF(W41&lt;0,W$5,0)</f>
        <v>22</v>
      </c>
      <c r="X48" s="108" t="n">
        <f aca="false">IF(X41&lt;0,X$5,0)</f>
        <v>23</v>
      </c>
      <c r="Y48" s="108" t="n">
        <f aca="false">IF(Y41&lt;0,Y$5,0)</f>
        <v>24</v>
      </c>
      <c r="Z48" s="108" t="n">
        <f aca="false">IF(Z41&lt;0,Z$5,0)</f>
        <v>25</v>
      </c>
      <c r="AA48" s="108" t="n">
        <f aca="false">IF(AA41&lt;0,AA$5,0)</f>
        <v>26</v>
      </c>
      <c r="AB48" s="108" t="n">
        <f aca="false">IF(AB41&lt;0,AB$5,0)</f>
        <v>27</v>
      </c>
      <c r="AC48" s="108" t="n">
        <f aca="false">IF(AC41&lt;0,AC$5,0)</f>
        <v>28</v>
      </c>
      <c r="AD48" s="108" t="n">
        <f aca="false">IF(AD41&lt;0,AD$5,0)</f>
        <v>29</v>
      </c>
      <c r="AE48" s="108" t="n">
        <f aca="false">IF(AE41&lt;0,AE$5,0)</f>
        <v>30</v>
      </c>
      <c r="AF48" s="108" t="n">
        <f aca="false">IF(AF41&lt;0,AF$5,0)</f>
        <v>31</v>
      </c>
      <c r="AG48" s="108" t="n">
        <f aca="false">IF(AG41&lt;0,AG$5,0)</f>
        <v>32</v>
      </c>
      <c r="AH48" s="108" t="n">
        <f aca="false">IF(AH41&lt;0,AH$5,0)</f>
        <v>33</v>
      </c>
      <c r="AI48" s="108" t="n">
        <f aca="false">IF(AI41&lt;0,AI$5,0)</f>
        <v>34</v>
      </c>
      <c r="AJ48" s="108" t="n">
        <f aca="false">IF(AJ41&lt;0,AJ$5,0)</f>
        <v>35</v>
      </c>
      <c r="AK48" s="108" t="n">
        <f aca="false">IF(AK41&lt;0,AK$5,0)</f>
        <v>36</v>
      </c>
      <c r="AL48" s="108" t="n">
        <f aca="false">IF(AL41&lt;0,AL$5,0)</f>
        <v>37</v>
      </c>
      <c r="AM48" s="108" t="n">
        <f aca="false">IF(AM41&lt;0,AM$5,0)</f>
        <v>38</v>
      </c>
      <c r="AN48" s="108" t="n">
        <f aca="false">IF(AN41&lt;0,AN$5,0)</f>
        <v>39</v>
      </c>
      <c r="AO48" s="108" t="n">
        <f aca="false">IF(AO41&lt;0,AO$5,0)</f>
        <v>40</v>
      </c>
      <c r="AP48" s="108" t="n">
        <f aca="false">IF(AP41&lt;0,AP$5,0)</f>
        <v>41</v>
      </c>
      <c r="AQ48" s="108" t="n">
        <f aca="false">IF(AQ41&lt;0,AQ$5,0)</f>
        <v>42</v>
      </c>
      <c r="AR48" s="108" t="n">
        <f aca="false">IF(AR41&lt;0,AR$5,0)</f>
        <v>43</v>
      </c>
      <c r="AS48" s="108" t="n">
        <f aca="false">IF(AS41&lt;0,AS$5,0)</f>
        <v>44</v>
      </c>
      <c r="AT48" s="108" t="n">
        <f aca="false">IF(AT41&lt;0,AT$5,0)</f>
        <v>45</v>
      </c>
      <c r="AU48" s="108" t="n">
        <f aca="false">IF(AU41&lt;0,AU$5,0)</f>
        <v>46</v>
      </c>
      <c r="AV48" s="108" t="n">
        <f aca="false">IF(AV41&lt;0,AV$5,0)</f>
        <v>47</v>
      </c>
      <c r="AW48" s="108" t="n">
        <f aca="false">IF(AW41&lt;0,AW$5,0)</f>
        <v>48</v>
      </c>
      <c r="AX48" s="108" t="n">
        <f aca="false">IF(AX41&lt;0,AX$5,0)</f>
        <v>49</v>
      </c>
      <c r="AY48" s="108" t="n">
        <f aca="false">IF(AY41&lt;0,AY$5,0)</f>
        <v>50</v>
      </c>
      <c r="AZ48" s="108" t="n">
        <f aca="false">IF(AZ41&lt;0,AZ$5,0)</f>
        <v>51</v>
      </c>
      <c r="BA48" s="108" t="n">
        <f aca="false">IF(BA41&lt;0,BA$5,0)</f>
        <v>52</v>
      </c>
      <c r="BB48" s="108" t="n">
        <f aca="false">IF(BB41&lt;0,BB$5,0)</f>
        <v>53</v>
      </c>
      <c r="BC48" s="108" t="n">
        <f aca="false">IF(BC41&lt;0,BC$5,0)</f>
        <v>54</v>
      </c>
      <c r="BD48" s="108" t="n">
        <f aca="false">IF(BD41&lt;0,BD$5,0)</f>
        <v>55</v>
      </c>
      <c r="BE48" s="108" t="n">
        <f aca="false">IF(BE41&lt;0,BE$5,0)</f>
        <v>56</v>
      </c>
      <c r="BF48" s="108" t="n">
        <f aca="false">IF(BF41&lt;0,BF$5,0)</f>
        <v>57</v>
      </c>
      <c r="BG48" s="108" t="n">
        <f aca="false">IF(BG41&lt;0,BG$5,0)</f>
        <v>58</v>
      </c>
      <c r="BH48" s="108" t="n">
        <f aca="false">IF(BH41&lt;0,BH$5,0)</f>
        <v>59</v>
      </c>
      <c r="BI48" s="108" t="n">
        <f aca="false">IF(BI41&lt;0,BI$5,0)</f>
        <v>60</v>
      </c>
      <c r="BJ48" s="109" t="n">
        <f aca="false">BI48</f>
        <v>60</v>
      </c>
      <c r="BK48" s="29" t="s">
        <v>587</v>
      </c>
    </row>
    <row r="55" customFormat="false" ht="19.5" hidden="false" customHeight="true" outlineLevel="0" collapsed="false">
      <c r="A55" s="170" t="s">
        <v>589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</row>
    <row r="56" customFormat="false" ht="15" hidden="false" customHeight="false" outlineLevel="0" collapsed="false">
      <c r="A56" s="27" t="s">
        <v>536</v>
      </c>
      <c r="B56" s="108" t="n">
        <f aca="false">IF(B$4&lt;Premissas!$B$13,0,INDEX(Premissas!$C$45:$G$45,B$7))</f>
        <v>0</v>
      </c>
      <c r="C56" s="108" t="n">
        <f aca="false">IF(C$4&lt;Premissas!$B$13,0,INDEX(Premissas!$C$45:$G$45,C$7))</f>
        <v>0</v>
      </c>
      <c r="D56" s="108" t="n">
        <f aca="false">IF(D$4&lt;Premissas!$B$13,0,INDEX(Premissas!$C$45:$G$45,D$7))</f>
        <v>0</v>
      </c>
      <c r="E56" s="108" t="n">
        <f aca="false">IF(E$4&lt;Premissas!$B$13,0,INDEX(Premissas!$C$45:$G$45,E$7))</f>
        <v>0</v>
      </c>
      <c r="F56" s="108" t="n">
        <f aca="false">IF(F$4&lt;Premissas!$B$13,0,INDEX(Premissas!$C$45:$G$45,F$7))</f>
        <v>0</v>
      </c>
      <c r="G56" s="108" t="n">
        <f aca="false">IF(G$4&lt;Premissas!$B$13,0,INDEX(Premissas!$C$45:$G$45,G$7))</f>
        <v>0</v>
      </c>
      <c r="H56" s="108" t="n">
        <f aca="false">IF(H$4&lt;Premissas!$B$13,0,INDEX(Premissas!$C$45:$G$45,H$7))</f>
        <v>0</v>
      </c>
      <c r="I56" s="108" t="n">
        <f aca="false">IF(I$4&lt;Premissas!$B$13,0,INDEX(Premissas!$C$45:$G$45,I$7))</f>
        <v>0</v>
      </c>
      <c r="J56" s="108" t="n">
        <f aca="false">IF(J$4&lt;Premissas!$B$13,0,INDEX(Premissas!$C$45:$G$45,J$7))</f>
        <v>0</v>
      </c>
      <c r="K56" s="108" t="n">
        <f aca="false">IF(K$4&lt;Premissas!$B$13,0,INDEX(Premissas!$C$45:$G$45,K$7))</f>
        <v>18100</v>
      </c>
      <c r="L56" s="108" t="n">
        <f aca="false">IF(L$4&lt;Premissas!$B$13,0,INDEX(Premissas!$C$45:$G$45,L$7))</f>
        <v>18100</v>
      </c>
      <c r="M56" s="108" t="n">
        <f aca="false">IF(M$4&lt;Premissas!$B$13,0,INDEX(Premissas!$C$45:$G$45,M$7))</f>
        <v>18100</v>
      </c>
      <c r="N56" s="108" t="n">
        <f aca="false">IF(N$4&lt;Premissas!$B$13,0,INDEX(Premissas!$C$45:$G$45,N$7))</f>
        <v>27150</v>
      </c>
      <c r="O56" s="108" t="n">
        <f aca="false">IF(O$4&lt;Premissas!$B$13,0,INDEX(Premissas!$C$45:$G$45,O$7))</f>
        <v>27150</v>
      </c>
      <c r="P56" s="108" t="n">
        <f aca="false">IF(P$4&lt;Premissas!$B$13,0,INDEX(Premissas!$C$45:$G$45,P$7))</f>
        <v>27150</v>
      </c>
      <c r="Q56" s="108" t="n">
        <f aca="false">IF(Q$4&lt;Premissas!$B$13,0,INDEX(Premissas!$C$45:$G$45,Q$7))</f>
        <v>27150</v>
      </c>
      <c r="R56" s="108" t="n">
        <f aca="false">IF(R$4&lt;Premissas!$B$13,0,INDEX(Premissas!$C$45:$G$45,R$7))</f>
        <v>27150</v>
      </c>
      <c r="S56" s="108" t="n">
        <f aca="false">IF(S$4&lt;Premissas!$B$13,0,INDEX(Premissas!$C$45:$G$45,S$7))</f>
        <v>27150</v>
      </c>
      <c r="T56" s="108" t="n">
        <f aca="false">IF(T$4&lt;Premissas!$B$13,0,INDEX(Premissas!$C$45:$G$45,T$7))</f>
        <v>27150</v>
      </c>
      <c r="U56" s="108" t="n">
        <f aca="false">IF(U$4&lt;Premissas!$B$13,0,INDEX(Premissas!$C$45:$G$45,U$7))</f>
        <v>27150</v>
      </c>
      <c r="V56" s="108" t="n">
        <f aca="false">IF(V$4&lt;Premissas!$B$13,0,INDEX(Premissas!$C$45:$G$45,V$7))</f>
        <v>27150</v>
      </c>
      <c r="W56" s="108" t="n">
        <f aca="false">IF(W$4&lt;Premissas!$B$13,0,INDEX(Premissas!$C$45:$G$45,W$7))</f>
        <v>27150</v>
      </c>
      <c r="X56" s="108" t="n">
        <f aca="false">IF(X$4&lt;Premissas!$B$13,0,INDEX(Premissas!$C$45:$G$45,X$7))</f>
        <v>27150</v>
      </c>
      <c r="Y56" s="108" t="n">
        <f aca="false">IF(Y$4&lt;Premissas!$B$13,0,INDEX(Premissas!$C$45:$G$45,Y$7))</f>
        <v>27150</v>
      </c>
      <c r="Z56" s="108" t="n">
        <f aca="false">IF(Z$4&lt;Premissas!$B$13,0,INDEX(Premissas!$C$45:$G$45,Z$7))</f>
        <v>40725</v>
      </c>
      <c r="AA56" s="108" t="n">
        <f aca="false">IF(AA$4&lt;Premissas!$B$13,0,INDEX(Premissas!$C$45:$G$45,AA$7))</f>
        <v>40725</v>
      </c>
      <c r="AB56" s="108" t="n">
        <f aca="false">IF(AB$4&lt;Premissas!$B$13,0,INDEX(Premissas!$C$45:$G$45,AB$7))</f>
        <v>40725</v>
      </c>
      <c r="AC56" s="108" t="n">
        <f aca="false">IF(AC$4&lt;Premissas!$B$13,0,INDEX(Premissas!$C$45:$G$45,AC$7))</f>
        <v>40725</v>
      </c>
      <c r="AD56" s="108" t="n">
        <f aca="false">IF(AD$4&lt;Premissas!$B$13,0,INDEX(Premissas!$C$45:$G$45,AD$7))</f>
        <v>40725</v>
      </c>
      <c r="AE56" s="108" t="n">
        <f aca="false">IF(AE$4&lt;Premissas!$B$13,0,INDEX(Premissas!$C$45:$G$45,AE$7))</f>
        <v>40725</v>
      </c>
      <c r="AF56" s="108" t="n">
        <f aca="false">IF(AF$4&lt;Premissas!$B$13,0,INDEX(Premissas!$C$45:$G$45,AF$7))</f>
        <v>40725</v>
      </c>
      <c r="AG56" s="108" t="n">
        <f aca="false">IF(AG$4&lt;Premissas!$B$13,0,INDEX(Premissas!$C$45:$G$45,AG$7))</f>
        <v>40725</v>
      </c>
      <c r="AH56" s="108" t="n">
        <f aca="false">IF(AH$4&lt;Premissas!$B$13,0,INDEX(Premissas!$C$45:$G$45,AH$7))</f>
        <v>40725</v>
      </c>
      <c r="AI56" s="108" t="n">
        <f aca="false">IF(AI$4&lt;Premissas!$B$13,0,INDEX(Premissas!$C$45:$G$45,AI$7))</f>
        <v>40725</v>
      </c>
      <c r="AJ56" s="108" t="n">
        <f aca="false">IF(AJ$4&lt;Premissas!$B$13,0,INDEX(Premissas!$C$45:$G$45,AJ$7))</f>
        <v>40725</v>
      </c>
      <c r="AK56" s="108" t="n">
        <f aca="false">IF(AK$4&lt;Premissas!$B$13,0,INDEX(Premissas!$C$45:$G$45,AK$7))</f>
        <v>40725</v>
      </c>
      <c r="AL56" s="108" t="n">
        <f aca="false">IF(AL$4&lt;Premissas!$B$13,0,INDEX(Premissas!$C$45:$G$45,AL$7))</f>
        <v>61087.5</v>
      </c>
      <c r="AM56" s="108" t="n">
        <f aca="false">IF(AM$4&lt;Premissas!$B$13,0,INDEX(Premissas!$C$45:$G$45,AM$7))</f>
        <v>61087.5</v>
      </c>
      <c r="AN56" s="108" t="n">
        <f aca="false">IF(AN$4&lt;Premissas!$B$13,0,INDEX(Premissas!$C$45:$G$45,AN$7))</f>
        <v>61087.5</v>
      </c>
      <c r="AO56" s="108" t="n">
        <f aca="false">IF(AO$4&lt;Premissas!$B$13,0,INDEX(Premissas!$C$45:$G$45,AO$7))</f>
        <v>61087.5</v>
      </c>
      <c r="AP56" s="108" t="n">
        <f aca="false">IF(AP$4&lt;Premissas!$B$13,0,INDEX(Premissas!$C$45:$G$45,AP$7))</f>
        <v>61087.5</v>
      </c>
      <c r="AQ56" s="108" t="n">
        <f aca="false">IF(AQ$4&lt;Premissas!$B$13,0,INDEX(Premissas!$C$45:$G$45,AQ$7))</f>
        <v>61087.5</v>
      </c>
      <c r="AR56" s="108" t="n">
        <f aca="false">IF(AR$4&lt;Premissas!$B$13,0,INDEX(Premissas!$C$45:$G$45,AR$7))</f>
        <v>61087.5</v>
      </c>
      <c r="AS56" s="108" t="n">
        <f aca="false">IF(AS$4&lt;Premissas!$B$13,0,INDEX(Premissas!$C$45:$G$45,AS$7))</f>
        <v>61087.5</v>
      </c>
      <c r="AT56" s="108" t="n">
        <f aca="false">IF(AT$4&lt;Premissas!$B$13,0,INDEX(Premissas!$C$45:$G$45,AT$7))</f>
        <v>61087.5</v>
      </c>
      <c r="AU56" s="108" t="n">
        <f aca="false">IF(AU$4&lt;Premissas!$B$13,0,INDEX(Premissas!$C$45:$G$45,AU$7))</f>
        <v>61087.5</v>
      </c>
      <c r="AV56" s="108" t="n">
        <f aca="false">IF(AV$4&lt;Premissas!$B$13,0,INDEX(Premissas!$C$45:$G$45,AV$7))</f>
        <v>61087.5</v>
      </c>
      <c r="AW56" s="108" t="n">
        <f aca="false">IF(AW$4&lt;Premissas!$B$13,0,INDEX(Premissas!$C$45:$G$45,AW$7))</f>
        <v>61087.5</v>
      </c>
      <c r="AX56" s="108" t="n">
        <f aca="false">IF(AX$4&lt;Premissas!$B$13,0,INDEX(Premissas!$C$45:$G$45,AX$7))</f>
        <v>91631.25</v>
      </c>
      <c r="AY56" s="108" t="n">
        <f aca="false">IF(AY$4&lt;Premissas!$B$13,0,INDEX(Premissas!$C$45:$G$45,AY$7))</f>
        <v>91631.25</v>
      </c>
      <c r="AZ56" s="108" t="n">
        <f aca="false">IF(AZ$4&lt;Premissas!$B$13,0,INDEX(Premissas!$C$45:$G$45,AZ$7))</f>
        <v>91631.25</v>
      </c>
      <c r="BA56" s="108" t="n">
        <f aca="false">IF(BA$4&lt;Premissas!$B$13,0,INDEX(Premissas!$C$45:$G$45,BA$7))</f>
        <v>91631.25</v>
      </c>
      <c r="BB56" s="108" t="n">
        <f aca="false">IF(BB$4&lt;Premissas!$B$13,0,INDEX(Premissas!$C$45:$G$45,BB$7))</f>
        <v>91631.25</v>
      </c>
      <c r="BC56" s="108" t="n">
        <f aca="false">IF(BC$4&lt;Premissas!$B$13,0,INDEX(Premissas!$C$45:$G$45,BC$7))</f>
        <v>91631.25</v>
      </c>
      <c r="BD56" s="108" t="n">
        <f aca="false">IF(BD$4&lt;Premissas!$B$13,0,INDEX(Premissas!$C$45:$G$45,BD$7))</f>
        <v>91631.25</v>
      </c>
      <c r="BE56" s="108" t="n">
        <f aca="false">IF(BE$4&lt;Premissas!$B$13,0,INDEX(Premissas!$C$45:$G$45,BE$7))</f>
        <v>91631.25</v>
      </c>
      <c r="BF56" s="108" t="n">
        <f aca="false">IF(BF$4&lt;Premissas!$B$13,0,INDEX(Premissas!$C$45:$G$45,BF$7))</f>
        <v>91631.25</v>
      </c>
      <c r="BG56" s="108" t="n">
        <f aca="false">IF(BG$4&lt;Premissas!$B$13,0,INDEX(Premissas!$C$45:$G$45,BG$7))</f>
        <v>91631.25</v>
      </c>
      <c r="BH56" s="108" t="n">
        <f aca="false">IF(BH$4&lt;Premissas!$B$13,0,INDEX(Premissas!$C$45:$G$45,BH$7))</f>
        <v>91631.25</v>
      </c>
      <c r="BI56" s="108" t="n">
        <f aca="false">IF(BI$4&lt;Premissas!$B$13,0,INDEX(Premissas!$C$45:$G$45,BI$7))</f>
        <v>91631.25</v>
      </c>
      <c r="BJ56" s="109" t="n">
        <f aca="false">SUM(B56:BI56)</f>
        <v>2701425</v>
      </c>
    </row>
    <row r="57" customFormat="false" ht="15" hidden="false" customHeight="false" outlineLevel="0" collapsed="false">
      <c r="A57" s="27" t="s">
        <v>537</v>
      </c>
      <c r="B57" s="108" t="n">
        <f aca="false">0</f>
        <v>0</v>
      </c>
      <c r="C57" s="108" t="n">
        <f aca="false">B59</f>
        <v>0</v>
      </c>
      <c r="D57" s="108" t="n">
        <f aca="false">C59</f>
        <v>0</v>
      </c>
      <c r="E57" s="108" t="n">
        <f aca="false">D59</f>
        <v>0</v>
      </c>
      <c r="F57" s="108" t="n">
        <f aca="false">E59</f>
        <v>0</v>
      </c>
      <c r="G57" s="108" t="n">
        <f aca="false">F59</f>
        <v>0</v>
      </c>
      <c r="H57" s="108" t="n">
        <f aca="false">G59</f>
        <v>0</v>
      </c>
      <c r="I57" s="108" t="n">
        <f aca="false">H59</f>
        <v>0</v>
      </c>
      <c r="J57" s="108" t="n">
        <f aca="false">I59</f>
        <v>0</v>
      </c>
      <c r="K57" s="108" t="n">
        <f aca="false">J59</f>
        <v>0</v>
      </c>
      <c r="L57" s="108" t="n">
        <f aca="false">K59</f>
        <v>18100</v>
      </c>
      <c r="M57" s="108" t="n">
        <f aca="false">L59</f>
        <v>34752</v>
      </c>
      <c r="N57" s="108" t="n">
        <f aca="false">M59</f>
        <v>50071.84</v>
      </c>
      <c r="O57" s="108" t="n">
        <f aca="false">N59</f>
        <v>73456.437632</v>
      </c>
      <c r="P57" s="108" t="n">
        <f aca="false">O59</f>
        <v>95082.5135220736</v>
      </c>
      <c r="Q57" s="108" t="n">
        <f aca="false">P59</f>
        <v>115082.308505214</v>
      </c>
      <c r="R57" s="108" t="n">
        <f aca="false">Q59</f>
        <v>133578.118905622</v>
      </c>
      <c r="S57" s="108" t="n">
        <f aca="false">R59</f>
        <v>150683.044363919</v>
      </c>
      <c r="T57" s="108" t="n">
        <f aca="false">S59</f>
        <v>166501.679427752</v>
      </c>
      <c r="U57" s="108" t="n">
        <f aca="false">T59</f>
        <v>181130.753134785</v>
      </c>
      <c r="V57" s="108" t="n">
        <f aca="false">U59</f>
        <v>194659.720499049</v>
      </c>
      <c r="W57" s="108" t="n">
        <f aca="false">V59</f>
        <v>207171.309517521</v>
      </c>
      <c r="X57" s="108" t="n">
        <f aca="false">W59</f>
        <v>218742.027041803</v>
      </c>
      <c r="Y57" s="108" t="n">
        <f aca="false">X59</f>
        <v>229442.62660826</v>
      </c>
      <c r="Z57" s="108" t="n">
        <f aca="false">Y59</f>
        <v>239338.541087319</v>
      </c>
      <c r="AA57" s="108" t="n">
        <f aca="false">Z59</f>
        <v>263145.178294938</v>
      </c>
      <c r="AB57" s="108" t="n">
        <f aca="false">AA59</f>
        <v>285268.971931626</v>
      </c>
      <c r="AC57" s="108" t="n">
        <f aca="false">AB59</f>
        <v>305828.878843723</v>
      </c>
      <c r="AD57" s="108" t="n">
        <f aca="false">AC59</f>
        <v>324935.447056018</v>
      </c>
      <c r="AE57" s="108" t="n">
        <f aca="false">AD59</f>
        <v>342691.410174522</v>
      </c>
      <c r="AF57" s="108" t="n">
        <f aca="false">AE59</f>
        <v>359192.239772105</v>
      </c>
      <c r="AG57" s="108" t="n">
        <f aca="false">AF59</f>
        <v>374526.658727095</v>
      </c>
      <c r="AH57" s="108" t="n">
        <f aca="false">AG59</f>
        <v>388777.118274994</v>
      </c>
      <c r="AI57" s="108" t="n">
        <f aca="false">AH59</f>
        <v>402020.241338371</v>
      </c>
      <c r="AJ57" s="108" t="n">
        <f aca="false">AI59</f>
        <v>414327.234518644</v>
      </c>
      <c r="AK57" s="108" t="n">
        <f aca="false">AJ59</f>
        <v>425764.27096499</v>
      </c>
      <c r="AL57" s="108" t="n">
        <f aca="false">AK59</f>
        <v>436392.846179017</v>
      </c>
      <c r="AM57" s="108" t="n">
        <f aca="false">AL59</f>
        <v>468483.472918957</v>
      </c>
      <c r="AN57" s="108" t="n">
        <f aca="false">AM59</f>
        <v>498441.782769284</v>
      </c>
      <c r="AO57" s="108" t="n">
        <f aca="false">AN59</f>
        <v>526409.461193312</v>
      </c>
      <c r="AP57" s="108" t="n">
        <f aca="false">AO59</f>
        <v>552518.779120049</v>
      </c>
      <c r="AQ57" s="108" t="n">
        <f aca="false">AP59</f>
        <v>576893.218509117</v>
      </c>
      <c r="AR57" s="108" t="n">
        <f aca="false">AQ59</f>
        <v>599648.056348943</v>
      </c>
      <c r="AS57" s="108" t="n">
        <f aca="false">AR59</f>
        <v>620890.909850181</v>
      </c>
      <c r="AT57" s="108" t="n">
        <f aca="false">AS59</f>
        <v>640722.245412821</v>
      </c>
      <c r="AU57" s="108" t="n">
        <f aca="false">AT59</f>
        <v>659235.853774104</v>
      </c>
      <c r="AV57" s="108" t="n">
        <f aca="false">AU59</f>
        <v>676519.293584415</v>
      </c>
      <c r="AW57" s="108" t="n">
        <f aca="false">AV59</f>
        <v>692654.305509013</v>
      </c>
      <c r="AX57" s="108" t="n">
        <f aca="false">AW59</f>
        <v>707717.198814062</v>
      </c>
      <c r="AY57" s="108" t="n">
        <f aca="false">AX59</f>
        <v>755144.491458206</v>
      </c>
      <c r="AZ57" s="108" t="n">
        <f aca="false">AY59</f>
        <v>799609.479349748</v>
      </c>
      <c r="BA57" s="108" t="n">
        <f aca="false">AZ59</f>
        <v>841297.187797072</v>
      </c>
      <c r="BB57" s="108" t="n">
        <f aca="false">BA59</f>
        <v>880381.085443193</v>
      </c>
      <c r="BC57" s="108" t="n">
        <f aca="false">BB59</f>
        <v>917023.806094117</v>
      </c>
      <c r="BD57" s="108" t="n">
        <f aca="false">BC59</f>
        <v>951377.825461859</v>
      </c>
      <c r="BE57" s="108" t="n">
        <f aca="false">BD59</f>
        <v>983586.095638147</v>
      </c>
      <c r="BF57" s="108" t="n">
        <f aca="false">BE59</f>
        <v>1013782.63993895</v>
      </c>
      <c r="BG57" s="108" t="n">
        <f aca="false">BF59</f>
        <v>1042093.11059508</v>
      </c>
      <c r="BH57" s="108" t="n">
        <f aca="false">BG59</f>
        <v>1068635.31160946</v>
      </c>
      <c r="BI57" s="108" t="n">
        <f aca="false">BH59</f>
        <v>1093519.68895679</v>
      </c>
      <c r="BJ57" s="109" t="n">
        <f aca="false">BI57</f>
        <v>1093519.68895679</v>
      </c>
      <c r="BK57" s="29" t="s">
        <v>571</v>
      </c>
    </row>
    <row r="58" customFormat="false" ht="15" hidden="false" customHeight="false" outlineLevel="0" collapsed="false">
      <c r="A58" s="27" t="s">
        <v>539</v>
      </c>
      <c r="B58" s="108" t="n">
        <f aca="false">-B57*INDEX(Premissas!$C$49:$G$49,B$7)</f>
        <v>-0</v>
      </c>
      <c r="C58" s="108" t="n">
        <f aca="false">-C57*INDEX(Premissas!$C$49:$G$49,C$7)</f>
        <v>-0</v>
      </c>
      <c r="D58" s="108" t="n">
        <f aca="false">-D57*INDEX(Premissas!$C$49:$G$49,D$7)</f>
        <v>-0</v>
      </c>
      <c r="E58" s="108" t="n">
        <f aca="false">-E57*INDEX(Premissas!$C$49:$G$49,E$7)</f>
        <v>-0</v>
      </c>
      <c r="F58" s="108" t="n">
        <f aca="false">-F57*INDEX(Premissas!$C$49:$G$49,F$7)</f>
        <v>-0</v>
      </c>
      <c r="G58" s="108" t="n">
        <f aca="false">-G57*INDEX(Premissas!$C$49:$G$49,G$7)</f>
        <v>-0</v>
      </c>
      <c r="H58" s="108" t="n">
        <f aca="false">-H57*INDEX(Premissas!$C$49:$G$49,H$7)</f>
        <v>-0</v>
      </c>
      <c r="I58" s="108" t="n">
        <f aca="false">-I57*INDEX(Premissas!$C$49:$G$49,I$7)</f>
        <v>-0</v>
      </c>
      <c r="J58" s="108" t="n">
        <f aca="false">-J57*INDEX(Premissas!$C$49:$G$49,J$7)</f>
        <v>-0</v>
      </c>
      <c r="K58" s="108" t="n">
        <f aca="false">-K57*INDEX(Premissas!$C$49:$G$49,K$7)</f>
        <v>-0</v>
      </c>
      <c r="L58" s="108" t="n">
        <f aca="false">-L57*INDEX(Premissas!$C$49:$G$49,L$7)</f>
        <v>-1448</v>
      </c>
      <c r="M58" s="108" t="n">
        <f aca="false">-M57*INDEX(Premissas!$C$49:$G$49,M$7)</f>
        <v>-2780.16</v>
      </c>
      <c r="N58" s="108" t="n">
        <f aca="false">-N57*INDEX(Premissas!$C$49:$G$49,N$7)</f>
        <v>-3765.402368</v>
      </c>
      <c r="O58" s="108" t="n">
        <f aca="false">-O57*INDEX(Premissas!$C$49:$G$49,O$7)</f>
        <v>-5523.9241099264</v>
      </c>
      <c r="P58" s="108" t="n">
        <f aca="false">-P57*INDEX(Premissas!$C$49:$G$49,P$7)</f>
        <v>-7150.20501685993</v>
      </c>
      <c r="Q58" s="108" t="n">
        <f aca="false">-Q57*INDEX(Premissas!$C$49:$G$49,Q$7)</f>
        <v>-8654.18959959207</v>
      </c>
      <c r="R58" s="108" t="n">
        <f aca="false">-R57*INDEX(Premissas!$C$49:$G$49,R$7)</f>
        <v>-10045.0745417027</v>
      </c>
      <c r="S58" s="108" t="n">
        <f aca="false">-S57*INDEX(Premissas!$C$49:$G$49,S$7)</f>
        <v>-11331.3649361667</v>
      </c>
      <c r="T58" s="108" t="n">
        <f aca="false">-T57*INDEX(Premissas!$C$49:$G$49,T$7)</f>
        <v>-12520.926292967</v>
      </c>
      <c r="U58" s="108" t="n">
        <f aca="false">-U57*INDEX(Premissas!$C$49:$G$49,U$7)</f>
        <v>-13621.0326357358</v>
      </c>
      <c r="V58" s="108" t="n">
        <f aca="false">-V57*INDEX(Premissas!$C$49:$G$49,V$7)</f>
        <v>-14638.4109815285</v>
      </c>
      <c r="W58" s="108" t="n">
        <f aca="false">-W57*INDEX(Premissas!$C$49:$G$49,W$7)</f>
        <v>-15579.2824757176</v>
      </c>
      <c r="X58" s="108" t="n">
        <f aca="false">-X57*INDEX(Premissas!$C$49:$G$49,X$7)</f>
        <v>-16449.4004335436</v>
      </c>
      <c r="Y58" s="108" t="n">
        <f aca="false">-Y57*INDEX(Premissas!$C$49:$G$49,Y$7)</f>
        <v>-17254.0855209411</v>
      </c>
      <c r="Z58" s="108" t="n">
        <f aca="false">-Z57*INDEX(Premissas!$C$49:$G$49,Z$7)</f>
        <v>-16918.3627923804</v>
      </c>
      <c r="AA58" s="108" t="n">
        <f aca="false">-AA57*INDEX(Premissas!$C$49:$G$49,AA$7)</f>
        <v>-18601.2063633126</v>
      </c>
      <c r="AB58" s="108" t="n">
        <f aca="false">-AB57*INDEX(Premissas!$C$49:$G$49,AB$7)</f>
        <v>-20165.0930879028</v>
      </c>
      <c r="AC58" s="108" t="n">
        <f aca="false">-AC57*INDEX(Premissas!$C$49:$G$49,AC$7)</f>
        <v>-21618.4317877051</v>
      </c>
      <c r="AD58" s="108" t="n">
        <f aca="false">-AD57*INDEX(Premissas!$C$49:$G$49,AD$7)</f>
        <v>-22969.0368814958</v>
      </c>
      <c r="AE58" s="108" t="n">
        <f aca="false">-AE57*INDEX(Premissas!$C$49:$G$49,AE$7)</f>
        <v>-24224.1704024166</v>
      </c>
      <c r="AF58" s="108" t="n">
        <f aca="false">-AF57*INDEX(Premissas!$C$49:$G$49,AF$7)</f>
        <v>-25390.5810450106</v>
      </c>
      <c r="AG58" s="108" t="n">
        <f aca="false">-AG57*INDEX(Premissas!$C$49:$G$49,AG$7)</f>
        <v>-26474.5404521009</v>
      </c>
      <c r="AH58" s="108" t="n">
        <f aca="false">-AH57*INDEX(Premissas!$C$49:$G$49,AH$7)</f>
        <v>-27481.8769366228</v>
      </c>
      <c r="AI58" s="108" t="n">
        <f aca="false">-AI57*INDEX(Premissas!$C$49:$G$49,AI$7)</f>
        <v>-28418.0068197268</v>
      </c>
      <c r="AJ58" s="108" t="n">
        <f aca="false">-AJ57*INDEX(Premissas!$C$49:$G$49,AJ$7)</f>
        <v>-29287.9635536539</v>
      </c>
      <c r="AK58" s="108" t="n">
        <f aca="false">-AK57*INDEX(Premissas!$C$49:$G$49,AK$7)</f>
        <v>-30096.4247859732</v>
      </c>
      <c r="AL58" s="108" t="n">
        <f aca="false">-AL57*INDEX(Premissas!$C$49:$G$49,AL$7)</f>
        <v>-28996.8732600602</v>
      </c>
      <c r="AM58" s="108" t="n">
        <f aca="false">-AM57*INDEX(Premissas!$C$49:$G$49,AM$7)</f>
        <v>-31129.1901496735</v>
      </c>
      <c r="AN58" s="108" t="n">
        <f aca="false">-AN57*INDEX(Premissas!$C$49:$G$49,AN$7)</f>
        <v>-33119.8215759714</v>
      </c>
      <c r="AO58" s="108" t="n">
        <f aca="false">-AO57*INDEX(Premissas!$C$49:$G$49,AO$7)</f>
        <v>-34978.1820732629</v>
      </c>
      <c r="AP58" s="108" t="n">
        <f aca="false">-AP57*INDEX(Premissas!$C$49:$G$49,AP$7)</f>
        <v>-36713.0606109318</v>
      </c>
      <c r="AQ58" s="108" t="n">
        <f aca="false">-AQ57*INDEX(Premissas!$C$49:$G$49,AQ$7)</f>
        <v>-38332.6621601741</v>
      </c>
      <c r="AR58" s="108" t="n">
        <f aca="false">-AR57*INDEX(Premissas!$C$49:$G$49,AR$7)</f>
        <v>-39844.6464987625</v>
      </c>
      <c r="AS58" s="108" t="n">
        <f aca="false">-AS57*INDEX(Premissas!$C$49:$G$49,AS$7)</f>
        <v>-41256.1644373602</v>
      </c>
      <c r="AT58" s="108" t="n">
        <f aca="false">-AT57*INDEX(Premissas!$C$49:$G$49,AT$7)</f>
        <v>-42573.891638717</v>
      </c>
      <c r="AU58" s="108" t="n">
        <f aca="false">-AU57*INDEX(Premissas!$C$49:$G$49,AU$7)</f>
        <v>-43804.0601896888</v>
      </c>
      <c r="AV58" s="108" t="n">
        <f aca="false">-AV57*INDEX(Premissas!$C$49:$G$49,AV$7)</f>
        <v>-44952.4880754014</v>
      </c>
      <c r="AW58" s="108" t="n">
        <f aca="false">-AW57*INDEX(Premissas!$C$49:$G$49,AW$7)</f>
        <v>-46024.6066949519</v>
      </c>
      <c r="AX58" s="108" t="n">
        <f aca="false">-AX57*INDEX(Premissas!$C$49:$G$49,AX$7)</f>
        <v>-44203.9573558553</v>
      </c>
      <c r="AY58" s="108" t="n">
        <f aca="false">-AY57*INDEX(Premissas!$C$49:$G$49,AY$7)</f>
        <v>-47166.2621084579</v>
      </c>
      <c r="AZ58" s="108" t="n">
        <f aca="false">-AZ57*INDEX(Premissas!$C$49:$G$49,AZ$7)</f>
        <v>-49943.5415526766</v>
      </c>
      <c r="BA58" s="108" t="n">
        <f aca="false">-BA57*INDEX(Premissas!$C$49:$G$49,BA$7)</f>
        <v>-52547.3523538791</v>
      </c>
      <c r="BB58" s="108" t="n">
        <f aca="false">-BB57*INDEX(Premissas!$C$49:$G$49,BB$7)</f>
        <v>-54988.5293490755</v>
      </c>
      <c r="BC58" s="108" t="n">
        <f aca="false">-BC57*INDEX(Premissas!$C$49:$G$49,BC$7)</f>
        <v>-57277.2306322579</v>
      </c>
      <c r="BD58" s="108" t="n">
        <f aca="false">-BD57*INDEX(Premissas!$C$49:$G$49,BD$7)</f>
        <v>-59422.9798237126</v>
      </c>
      <c r="BE58" s="108" t="n">
        <f aca="false">-BE57*INDEX(Premissas!$C$49:$G$49,BE$7)</f>
        <v>-61434.7056991955</v>
      </c>
      <c r="BF58" s="108" t="n">
        <f aca="false">-BF57*INDEX(Premissas!$C$49:$G$49,BF$7)</f>
        <v>-63320.7793438712</v>
      </c>
      <c r="BG58" s="108" t="n">
        <f aca="false">-BG57*INDEX(Premissas!$C$49:$G$49,BG$7)</f>
        <v>-65089.0489856219</v>
      </c>
      <c r="BH58" s="108" t="n">
        <f aca="false">-BH57*INDEX(Premissas!$C$49:$G$49,BH$7)</f>
        <v>-66746.8726526688</v>
      </c>
      <c r="BI58" s="108" t="n">
        <f aca="false">-BI57*INDEX(Premissas!$C$49:$G$49,BI$7)</f>
        <v>-68301.1487914029</v>
      </c>
      <c r="BJ58" s="109" t="n">
        <f aca="false">SUM(B58:BI58)</f>
        <v>-1584575.20983461</v>
      </c>
    </row>
    <row r="59" customFormat="false" ht="15" hidden="false" customHeight="false" outlineLevel="0" collapsed="false">
      <c r="A59" s="51" t="s">
        <v>540</v>
      </c>
      <c r="B59" s="157" t="n">
        <f aca="false">B57+B58+B56</f>
        <v>0</v>
      </c>
      <c r="C59" s="157" t="n">
        <f aca="false">C57+C58+C56</f>
        <v>0</v>
      </c>
      <c r="D59" s="157" t="n">
        <f aca="false">D57+D58+D56</f>
        <v>0</v>
      </c>
      <c r="E59" s="157" t="n">
        <f aca="false">E57+E58+E56</f>
        <v>0</v>
      </c>
      <c r="F59" s="157" t="n">
        <f aca="false">F57+F58+F56</f>
        <v>0</v>
      </c>
      <c r="G59" s="157" t="n">
        <f aca="false">G57+G58+G56</f>
        <v>0</v>
      </c>
      <c r="H59" s="157" t="n">
        <f aca="false">H57+H58+H56</f>
        <v>0</v>
      </c>
      <c r="I59" s="157" t="n">
        <f aca="false">I57+I58+I56</f>
        <v>0</v>
      </c>
      <c r="J59" s="157" t="n">
        <f aca="false">J57+J58+J56</f>
        <v>0</v>
      </c>
      <c r="K59" s="157" t="n">
        <f aca="false">K57+K58+K56</f>
        <v>18100</v>
      </c>
      <c r="L59" s="157" t="n">
        <f aca="false">L57+L58+L56</f>
        <v>34752</v>
      </c>
      <c r="M59" s="157" t="n">
        <f aca="false">M57+M58+M56</f>
        <v>50071.84</v>
      </c>
      <c r="N59" s="157" t="n">
        <f aca="false">N57+N58+N56</f>
        <v>73456.437632</v>
      </c>
      <c r="O59" s="157" t="n">
        <f aca="false">O57+O58+O56</f>
        <v>95082.5135220736</v>
      </c>
      <c r="P59" s="157" t="n">
        <f aca="false">P57+P58+P56</f>
        <v>115082.308505214</v>
      </c>
      <c r="Q59" s="157" t="n">
        <f aca="false">Q57+Q58+Q56</f>
        <v>133578.118905622</v>
      </c>
      <c r="R59" s="157" t="n">
        <f aca="false">R57+R58+R56</f>
        <v>150683.044363919</v>
      </c>
      <c r="S59" s="157" t="n">
        <f aca="false">S57+S58+S56</f>
        <v>166501.679427752</v>
      </c>
      <c r="T59" s="157" t="n">
        <f aca="false">T57+T58+T56</f>
        <v>181130.753134785</v>
      </c>
      <c r="U59" s="157" t="n">
        <f aca="false">U57+U58+U56</f>
        <v>194659.720499049</v>
      </c>
      <c r="V59" s="157" t="n">
        <f aca="false">V57+V58+V56</f>
        <v>207171.309517521</v>
      </c>
      <c r="W59" s="157" t="n">
        <f aca="false">W57+W58+W56</f>
        <v>218742.027041803</v>
      </c>
      <c r="X59" s="157" t="n">
        <f aca="false">X57+X58+X56</f>
        <v>229442.62660826</v>
      </c>
      <c r="Y59" s="157" t="n">
        <f aca="false">Y57+Y58+Y56</f>
        <v>239338.541087319</v>
      </c>
      <c r="Z59" s="157" t="n">
        <f aca="false">Z57+Z58+Z56</f>
        <v>263145.178294938</v>
      </c>
      <c r="AA59" s="157" t="n">
        <f aca="false">AA57+AA58+AA56</f>
        <v>285268.971931626</v>
      </c>
      <c r="AB59" s="157" t="n">
        <f aca="false">AB57+AB58+AB56</f>
        <v>305828.878843723</v>
      </c>
      <c r="AC59" s="157" t="n">
        <f aca="false">AC57+AC58+AC56</f>
        <v>324935.447056018</v>
      </c>
      <c r="AD59" s="157" t="n">
        <f aca="false">AD57+AD58+AD56</f>
        <v>342691.410174522</v>
      </c>
      <c r="AE59" s="157" t="n">
        <f aca="false">AE57+AE58+AE56</f>
        <v>359192.239772105</v>
      </c>
      <c r="AF59" s="157" t="n">
        <f aca="false">AF57+AF58+AF56</f>
        <v>374526.658727095</v>
      </c>
      <c r="AG59" s="157" t="n">
        <f aca="false">AG57+AG58+AG56</f>
        <v>388777.118274994</v>
      </c>
      <c r="AH59" s="157" t="n">
        <f aca="false">AH57+AH58+AH56</f>
        <v>402020.241338371</v>
      </c>
      <c r="AI59" s="157" t="n">
        <f aca="false">AI57+AI58+AI56</f>
        <v>414327.234518644</v>
      </c>
      <c r="AJ59" s="157" t="n">
        <f aca="false">AJ57+AJ58+AJ56</f>
        <v>425764.27096499</v>
      </c>
      <c r="AK59" s="157" t="n">
        <f aca="false">AK57+AK58+AK56</f>
        <v>436392.846179017</v>
      </c>
      <c r="AL59" s="157" t="n">
        <f aca="false">AL57+AL58+AL56</f>
        <v>468483.472918957</v>
      </c>
      <c r="AM59" s="157" t="n">
        <f aca="false">AM57+AM58+AM56</f>
        <v>498441.782769284</v>
      </c>
      <c r="AN59" s="157" t="n">
        <f aca="false">AN57+AN58+AN56</f>
        <v>526409.461193312</v>
      </c>
      <c r="AO59" s="157" t="n">
        <f aca="false">AO57+AO58+AO56</f>
        <v>552518.779120049</v>
      </c>
      <c r="AP59" s="157" t="n">
        <f aca="false">AP57+AP58+AP56</f>
        <v>576893.218509117</v>
      </c>
      <c r="AQ59" s="157" t="n">
        <f aca="false">AQ57+AQ58+AQ56</f>
        <v>599648.056348943</v>
      </c>
      <c r="AR59" s="157" t="n">
        <f aca="false">AR57+AR58+AR56</f>
        <v>620890.909850181</v>
      </c>
      <c r="AS59" s="157" t="n">
        <f aca="false">AS57+AS58+AS56</f>
        <v>640722.245412821</v>
      </c>
      <c r="AT59" s="157" t="n">
        <f aca="false">AT57+AT58+AT56</f>
        <v>659235.853774104</v>
      </c>
      <c r="AU59" s="157" t="n">
        <f aca="false">AU57+AU58+AU56</f>
        <v>676519.293584415</v>
      </c>
      <c r="AV59" s="157" t="n">
        <f aca="false">AV57+AV58+AV56</f>
        <v>692654.305509013</v>
      </c>
      <c r="AW59" s="157" t="n">
        <f aca="false">AW57+AW58+AW56</f>
        <v>707717.198814062</v>
      </c>
      <c r="AX59" s="157" t="n">
        <f aca="false">AX57+AX58+AX56</f>
        <v>755144.491458206</v>
      </c>
      <c r="AY59" s="157" t="n">
        <f aca="false">AY57+AY58+AY56</f>
        <v>799609.479349748</v>
      </c>
      <c r="AZ59" s="157" t="n">
        <f aca="false">AZ57+AZ58+AZ56</f>
        <v>841297.187797072</v>
      </c>
      <c r="BA59" s="157" t="n">
        <f aca="false">BA57+BA58+BA56</f>
        <v>880381.085443193</v>
      </c>
      <c r="BB59" s="157" t="n">
        <f aca="false">BB57+BB58+BB56</f>
        <v>917023.806094117</v>
      </c>
      <c r="BC59" s="157" t="n">
        <f aca="false">BC57+BC58+BC56</f>
        <v>951377.825461859</v>
      </c>
      <c r="BD59" s="157" t="n">
        <f aca="false">BD57+BD58+BD56</f>
        <v>983586.095638147</v>
      </c>
      <c r="BE59" s="157" t="n">
        <f aca="false">BE57+BE58+BE56</f>
        <v>1013782.63993895</v>
      </c>
      <c r="BF59" s="157" t="n">
        <f aca="false">BF57+BF58+BF56</f>
        <v>1042093.11059508</v>
      </c>
      <c r="BG59" s="157" t="n">
        <f aca="false">BG57+BG58+BG56</f>
        <v>1068635.31160946</v>
      </c>
      <c r="BH59" s="157" t="n">
        <f aca="false">BH57+BH58+BH56</f>
        <v>1093519.68895679</v>
      </c>
      <c r="BI59" s="157" t="n">
        <f aca="false">BI57+BI58+BI56</f>
        <v>1116849.79016539</v>
      </c>
      <c r="BJ59" s="109" t="n">
        <f aca="false">BI59</f>
        <v>1116849.79016539</v>
      </c>
      <c r="BK59" s="29" t="s">
        <v>571</v>
      </c>
    </row>
    <row r="60" customFormat="false" ht="15" hidden="false" customHeight="false" outlineLevel="0" collapsed="false">
      <c r="A60" s="27" t="s">
        <v>572</v>
      </c>
      <c r="B60" s="167" t="n">
        <f aca="false">IF(B$4&lt;Premissas!$B$13,0,INDEX(Premissas!$C$53:$G$53,B$7)*MIN(1,MAX(0,(B$5-Premissas!$B$14+1)/Premissas!$B$15)))</f>
        <v>0</v>
      </c>
      <c r="C60" s="167" t="n">
        <f aca="false">IF(C$4&lt;Premissas!$B$13,0,INDEX(Premissas!$C$53:$G$53,C$7)*MIN(1,MAX(0,(C$5-Premissas!$B$14+1)/Premissas!$B$15)))</f>
        <v>0</v>
      </c>
      <c r="D60" s="167" t="n">
        <f aca="false">IF(D$4&lt;Premissas!$B$13,0,INDEX(Premissas!$C$53:$G$53,D$7)*MIN(1,MAX(0,(D$5-Premissas!$B$14+1)/Premissas!$B$15)))</f>
        <v>0</v>
      </c>
      <c r="E60" s="167" t="n">
        <f aca="false">IF(E$4&lt;Premissas!$B$13,0,INDEX(Premissas!$C$53:$G$53,E$7)*MIN(1,MAX(0,(E$5-Premissas!$B$14+1)/Premissas!$B$15)))</f>
        <v>0</v>
      </c>
      <c r="F60" s="167" t="n">
        <f aca="false">IF(F$4&lt;Premissas!$B$13,0,INDEX(Premissas!$C$53:$G$53,F$7)*MIN(1,MAX(0,(F$5-Premissas!$B$14+1)/Premissas!$B$15)))</f>
        <v>0</v>
      </c>
      <c r="G60" s="167" t="n">
        <f aca="false">IF(G$4&lt;Premissas!$B$13,0,INDEX(Premissas!$C$53:$G$53,G$7)*MIN(1,MAX(0,(G$5-Premissas!$B$14+1)/Premissas!$B$15)))</f>
        <v>0</v>
      </c>
      <c r="H60" s="167" t="n">
        <f aca="false">IF(H$4&lt;Premissas!$B$13,0,INDEX(Premissas!$C$53:$G$53,H$7)*MIN(1,MAX(0,(H$5-Premissas!$B$14+1)/Premissas!$B$15)))</f>
        <v>0</v>
      </c>
      <c r="I60" s="167" t="n">
        <f aca="false">IF(I$4&lt;Premissas!$B$13,0,INDEX(Premissas!$C$53:$G$53,I$7)*MIN(1,MAX(0,(I$5-Premissas!$B$14+1)/Premissas!$B$15)))</f>
        <v>0</v>
      </c>
      <c r="J60" s="167" t="n">
        <f aca="false">IF(J$4&lt;Premissas!$B$13,0,INDEX(Premissas!$C$53:$G$53,J$7)*MIN(1,MAX(0,(J$5-Premissas!$B$14+1)/Premissas!$B$15)))</f>
        <v>0</v>
      </c>
      <c r="K60" s="167" t="n">
        <f aca="false">IF(K$4&lt;Premissas!$B$13,0,INDEX(Premissas!$C$53:$G$53,K$7)*MIN(1,MAX(0,(K$5-Premissas!$B$14+1)/Premissas!$B$15)))</f>
        <v>0.00833333333333333</v>
      </c>
      <c r="L60" s="167" t="n">
        <f aca="false">IF(L$4&lt;Premissas!$B$13,0,INDEX(Premissas!$C$53:$G$53,L$7)*MIN(1,MAX(0,(L$5-Premissas!$B$14+1)/Premissas!$B$15)))</f>
        <v>0.0166666666666667</v>
      </c>
      <c r="M60" s="167" t="n">
        <f aca="false">IF(M$4&lt;Premissas!$B$13,0,INDEX(Premissas!$C$53:$G$53,M$7)*MIN(1,MAX(0,(M$5-Premissas!$B$14+1)/Premissas!$B$15)))</f>
        <v>0.025</v>
      </c>
      <c r="N60" s="167" t="n">
        <f aca="false">IF(N$4&lt;Premissas!$B$13,0,INDEX(Premissas!$C$53:$G$53,N$7)*MIN(1,MAX(0,(N$5-Premissas!$B$14+1)/Premissas!$B$15)))</f>
        <v>0.036</v>
      </c>
      <c r="O60" s="167" t="n">
        <f aca="false">IF(O$4&lt;Premissas!$B$13,0,INDEX(Premissas!$C$53:$G$53,O$7)*MIN(1,MAX(0,(O$5-Premissas!$B$14+1)/Premissas!$B$15)))</f>
        <v>0.045</v>
      </c>
      <c r="P60" s="167" t="n">
        <f aca="false">IF(P$4&lt;Premissas!$B$13,0,INDEX(Premissas!$C$53:$G$53,P$7)*MIN(1,MAX(0,(P$5-Premissas!$B$14+1)/Premissas!$B$15)))</f>
        <v>0.054</v>
      </c>
      <c r="Q60" s="167" t="n">
        <f aca="false">IF(Q$4&lt;Premissas!$B$13,0,INDEX(Premissas!$C$53:$G$53,Q$7)*MIN(1,MAX(0,(Q$5-Premissas!$B$14+1)/Premissas!$B$15)))</f>
        <v>0.054</v>
      </c>
      <c r="R60" s="167" t="n">
        <f aca="false">IF(R$4&lt;Premissas!$B$13,0,INDEX(Premissas!$C$53:$G$53,R$7)*MIN(1,MAX(0,(R$5-Premissas!$B$14+1)/Premissas!$B$15)))</f>
        <v>0.054</v>
      </c>
      <c r="S60" s="167" t="n">
        <f aca="false">IF(S$4&lt;Premissas!$B$13,0,INDEX(Premissas!$C$53:$G$53,S$7)*MIN(1,MAX(0,(S$5-Premissas!$B$14+1)/Premissas!$B$15)))</f>
        <v>0.054</v>
      </c>
      <c r="T60" s="167" t="n">
        <f aca="false">IF(T$4&lt;Premissas!$B$13,0,INDEX(Premissas!$C$53:$G$53,T$7)*MIN(1,MAX(0,(T$5-Premissas!$B$14+1)/Premissas!$B$15)))</f>
        <v>0.054</v>
      </c>
      <c r="U60" s="167" t="n">
        <f aca="false">IF(U$4&lt;Premissas!$B$13,0,INDEX(Premissas!$C$53:$G$53,U$7)*MIN(1,MAX(0,(U$5-Premissas!$B$14+1)/Premissas!$B$15)))</f>
        <v>0.054</v>
      </c>
      <c r="V60" s="167" t="n">
        <f aca="false">IF(V$4&lt;Premissas!$B$13,0,INDEX(Premissas!$C$53:$G$53,V$7)*MIN(1,MAX(0,(V$5-Premissas!$B$14+1)/Premissas!$B$15)))</f>
        <v>0.054</v>
      </c>
      <c r="W60" s="167" t="n">
        <f aca="false">IF(W$4&lt;Premissas!$B$13,0,INDEX(Premissas!$C$53:$G$53,W$7)*MIN(1,MAX(0,(W$5-Premissas!$B$14+1)/Premissas!$B$15)))</f>
        <v>0.054</v>
      </c>
      <c r="X60" s="167" t="n">
        <f aca="false">IF(X$4&lt;Premissas!$B$13,0,INDEX(Premissas!$C$53:$G$53,X$7)*MIN(1,MAX(0,(X$5-Premissas!$B$14+1)/Premissas!$B$15)))</f>
        <v>0.054</v>
      </c>
      <c r="Y60" s="167" t="n">
        <f aca="false">IF(Y$4&lt;Premissas!$B$13,0,INDEX(Premissas!$C$53:$G$53,Y$7)*MIN(1,MAX(0,(Y$5-Premissas!$B$14+1)/Premissas!$B$15)))</f>
        <v>0.054</v>
      </c>
      <c r="Z60" s="167" t="n">
        <f aca="false">IF(Z$4&lt;Premissas!$B$13,0,INDEX(Premissas!$C$53:$G$53,Z$7)*MIN(1,MAX(0,(Z$5-Premissas!$B$14+1)/Premissas!$B$15)))</f>
        <v>0.05832</v>
      </c>
      <c r="AA60" s="167" t="n">
        <f aca="false">IF(AA$4&lt;Premissas!$B$13,0,INDEX(Premissas!$C$53:$G$53,AA$7)*MIN(1,MAX(0,(AA$5-Premissas!$B$14+1)/Premissas!$B$15)))</f>
        <v>0.05832</v>
      </c>
      <c r="AB60" s="167" t="n">
        <f aca="false">IF(AB$4&lt;Premissas!$B$13,0,INDEX(Premissas!$C$53:$G$53,AB$7)*MIN(1,MAX(0,(AB$5-Premissas!$B$14+1)/Premissas!$B$15)))</f>
        <v>0.05832</v>
      </c>
      <c r="AC60" s="167" t="n">
        <f aca="false">IF(AC$4&lt;Premissas!$B$13,0,INDEX(Premissas!$C$53:$G$53,AC$7)*MIN(1,MAX(0,(AC$5-Premissas!$B$14+1)/Premissas!$B$15)))</f>
        <v>0.05832</v>
      </c>
      <c r="AD60" s="167" t="n">
        <f aca="false">IF(AD$4&lt;Premissas!$B$13,0,INDEX(Premissas!$C$53:$G$53,AD$7)*MIN(1,MAX(0,(AD$5-Premissas!$B$14+1)/Premissas!$B$15)))</f>
        <v>0.05832</v>
      </c>
      <c r="AE60" s="167" t="n">
        <f aca="false">IF(AE$4&lt;Premissas!$B$13,0,INDEX(Premissas!$C$53:$G$53,AE$7)*MIN(1,MAX(0,(AE$5-Premissas!$B$14+1)/Premissas!$B$15)))</f>
        <v>0.05832</v>
      </c>
      <c r="AF60" s="167" t="n">
        <f aca="false">IF(AF$4&lt;Premissas!$B$13,0,INDEX(Premissas!$C$53:$G$53,AF$7)*MIN(1,MAX(0,(AF$5-Premissas!$B$14+1)/Premissas!$B$15)))</f>
        <v>0.05832</v>
      </c>
      <c r="AG60" s="167" t="n">
        <f aca="false">IF(AG$4&lt;Premissas!$B$13,0,INDEX(Premissas!$C$53:$G$53,AG$7)*MIN(1,MAX(0,(AG$5-Premissas!$B$14+1)/Premissas!$B$15)))</f>
        <v>0.05832</v>
      </c>
      <c r="AH60" s="167" t="n">
        <f aca="false">IF(AH$4&lt;Premissas!$B$13,0,INDEX(Premissas!$C$53:$G$53,AH$7)*MIN(1,MAX(0,(AH$5-Premissas!$B$14+1)/Premissas!$B$15)))</f>
        <v>0.05832</v>
      </c>
      <c r="AI60" s="167" t="n">
        <f aca="false">IF(AI$4&lt;Premissas!$B$13,0,INDEX(Premissas!$C$53:$G$53,AI$7)*MIN(1,MAX(0,(AI$5-Premissas!$B$14+1)/Premissas!$B$15)))</f>
        <v>0.05832</v>
      </c>
      <c r="AJ60" s="167" t="n">
        <f aca="false">IF(AJ$4&lt;Premissas!$B$13,0,INDEX(Premissas!$C$53:$G$53,AJ$7)*MIN(1,MAX(0,(AJ$5-Premissas!$B$14+1)/Premissas!$B$15)))</f>
        <v>0.05832</v>
      </c>
      <c r="AK60" s="167" t="n">
        <f aca="false">IF(AK$4&lt;Premissas!$B$13,0,INDEX(Premissas!$C$53:$G$53,AK$7)*MIN(1,MAX(0,(AK$5-Premissas!$B$14+1)/Premissas!$B$15)))</f>
        <v>0.05832</v>
      </c>
      <c r="AL60" s="167" t="n">
        <f aca="false">IF(AL$4&lt;Premissas!$B$13,0,INDEX(Premissas!$C$53:$G$53,AL$7)*MIN(1,MAX(0,(AL$5-Premissas!$B$14+1)/Premissas!$B$15)))</f>
        <v>0.0629856</v>
      </c>
      <c r="AM60" s="167" t="n">
        <f aca="false">IF(AM$4&lt;Premissas!$B$13,0,INDEX(Premissas!$C$53:$G$53,AM$7)*MIN(1,MAX(0,(AM$5-Premissas!$B$14+1)/Premissas!$B$15)))</f>
        <v>0.0629856</v>
      </c>
      <c r="AN60" s="167" t="n">
        <f aca="false">IF(AN$4&lt;Premissas!$B$13,0,INDEX(Premissas!$C$53:$G$53,AN$7)*MIN(1,MAX(0,(AN$5-Premissas!$B$14+1)/Premissas!$B$15)))</f>
        <v>0.0629856</v>
      </c>
      <c r="AO60" s="167" t="n">
        <f aca="false">IF(AO$4&lt;Premissas!$B$13,0,INDEX(Premissas!$C$53:$G$53,AO$7)*MIN(1,MAX(0,(AO$5-Premissas!$B$14+1)/Premissas!$B$15)))</f>
        <v>0.0629856</v>
      </c>
      <c r="AP60" s="167" t="n">
        <f aca="false">IF(AP$4&lt;Premissas!$B$13,0,INDEX(Premissas!$C$53:$G$53,AP$7)*MIN(1,MAX(0,(AP$5-Premissas!$B$14+1)/Premissas!$B$15)))</f>
        <v>0.0629856</v>
      </c>
      <c r="AQ60" s="167" t="n">
        <f aca="false">IF(AQ$4&lt;Premissas!$B$13,0,INDEX(Premissas!$C$53:$G$53,AQ$7)*MIN(1,MAX(0,(AQ$5-Premissas!$B$14+1)/Premissas!$B$15)))</f>
        <v>0.0629856</v>
      </c>
      <c r="AR60" s="167" t="n">
        <f aca="false">IF(AR$4&lt;Premissas!$B$13,0,INDEX(Premissas!$C$53:$G$53,AR$7)*MIN(1,MAX(0,(AR$5-Premissas!$B$14+1)/Premissas!$B$15)))</f>
        <v>0.0629856</v>
      </c>
      <c r="AS60" s="167" t="n">
        <f aca="false">IF(AS$4&lt;Premissas!$B$13,0,INDEX(Premissas!$C$53:$G$53,AS$7)*MIN(1,MAX(0,(AS$5-Premissas!$B$14+1)/Premissas!$B$15)))</f>
        <v>0.0629856</v>
      </c>
      <c r="AT60" s="167" t="n">
        <f aca="false">IF(AT$4&lt;Premissas!$B$13,0,INDEX(Premissas!$C$53:$G$53,AT$7)*MIN(1,MAX(0,(AT$5-Premissas!$B$14+1)/Premissas!$B$15)))</f>
        <v>0.0629856</v>
      </c>
      <c r="AU60" s="167" t="n">
        <f aca="false">IF(AU$4&lt;Premissas!$B$13,0,INDEX(Premissas!$C$53:$G$53,AU$7)*MIN(1,MAX(0,(AU$5-Premissas!$B$14+1)/Premissas!$B$15)))</f>
        <v>0.0629856</v>
      </c>
      <c r="AV60" s="167" t="n">
        <f aca="false">IF(AV$4&lt;Premissas!$B$13,0,INDEX(Premissas!$C$53:$G$53,AV$7)*MIN(1,MAX(0,(AV$5-Premissas!$B$14+1)/Premissas!$B$15)))</f>
        <v>0.0629856</v>
      </c>
      <c r="AW60" s="167" t="n">
        <f aca="false">IF(AW$4&lt;Premissas!$B$13,0,INDEX(Premissas!$C$53:$G$53,AW$7)*MIN(1,MAX(0,(AW$5-Premissas!$B$14+1)/Premissas!$B$15)))</f>
        <v>0.0629856</v>
      </c>
      <c r="AX60" s="167" t="n">
        <f aca="false">IF(AX$4&lt;Premissas!$B$13,0,INDEX(Premissas!$C$53:$G$53,AX$7)*MIN(1,MAX(0,(AX$5-Premissas!$B$14+1)/Premissas!$B$15)))</f>
        <v>0.068024448</v>
      </c>
      <c r="AY60" s="167" t="n">
        <f aca="false">IF(AY$4&lt;Premissas!$B$13,0,INDEX(Premissas!$C$53:$G$53,AY$7)*MIN(1,MAX(0,(AY$5-Premissas!$B$14+1)/Premissas!$B$15)))</f>
        <v>0.068024448</v>
      </c>
      <c r="AZ60" s="167" t="n">
        <f aca="false">IF(AZ$4&lt;Premissas!$B$13,0,INDEX(Premissas!$C$53:$G$53,AZ$7)*MIN(1,MAX(0,(AZ$5-Premissas!$B$14+1)/Premissas!$B$15)))</f>
        <v>0.068024448</v>
      </c>
      <c r="BA60" s="167" t="n">
        <f aca="false">IF(BA$4&lt;Premissas!$B$13,0,INDEX(Premissas!$C$53:$G$53,BA$7)*MIN(1,MAX(0,(BA$5-Premissas!$B$14+1)/Premissas!$B$15)))</f>
        <v>0.068024448</v>
      </c>
      <c r="BB60" s="167" t="n">
        <f aca="false">IF(BB$4&lt;Premissas!$B$13,0,INDEX(Premissas!$C$53:$G$53,BB$7)*MIN(1,MAX(0,(BB$5-Premissas!$B$14+1)/Premissas!$B$15)))</f>
        <v>0.068024448</v>
      </c>
      <c r="BC60" s="167" t="n">
        <f aca="false">IF(BC$4&lt;Premissas!$B$13,0,INDEX(Premissas!$C$53:$G$53,BC$7)*MIN(1,MAX(0,(BC$5-Premissas!$B$14+1)/Premissas!$B$15)))</f>
        <v>0.068024448</v>
      </c>
      <c r="BD60" s="167" t="n">
        <f aca="false">IF(BD$4&lt;Premissas!$B$13,0,INDEX(Premissas!$C$53:$G$53,BD$7)*MIN(1,MAX(0,(BD$5-Premissas!$B$14+1)/Premissas!$B$15)))</f>
        <v>0.068024448</v>
      </c>
      <c r="BE60" s="167" t="n">
        <f aca="false">IF(BE$4&lt;Premissas!$B$13,0,INDEX(Premissas!$C$53:$G$53,BE$7)*MIN(1,MAX(0,(BE$5-Premissas!$B$14+1)/Premissas!$B$15)))</f>
        <v>0.068024448</v>
      </c>
      <c r="BF60" s="167" t="n">
        <f aca="false">IF(BF$4&lt;Premissas!$B$13,0,INDEX(Premissas!$C$53:$G$53,BF$7)*MIN(1,MAX(0,(BF$5-Premissas!$B$14+1)/Premissas!$B$15)))</f>
        <v>0.068024448</v>
      </c>
      <c r="BG60" s="167" t="n">
        <f aca="false">IF(BG$4&lt;Premissas!$B$13,0,INDEX(Premissas!$C$53:$G$53,BG$7)*MIN(1,MAX(0,(BG$5-Premissas!$B$14+1)/Premissas!$B$15)))</f>
        <v>0.068024448</v>
      </c>
      <c r="BH60" s="167" t="n">
        <f aca="false">IF(BH$4&lt;Premissas!$B$13,0,INDEX(Premissas!$C$53:$G$53,BH$7)*MIN(1,MAX(0,(BH$5-Premissas!$B$14+1)/Premissas!$B$15)))</f>
        <v>0.068024448</v>
      </c>
      <c r="BI60" s="167" t="n">
        <f aca="false">IF(BI$4&lt;Premissas!$B$13,0,INDEX(Premissas!$C$53:$G$53,BI$7)*MIN(1,MAX(0,(BI$5-Premissas!$B$14+1)/Premissas!$B$15)))</f>
        <v>0.068024448</v>
      </c>
      <c r="BJ60" s="143" t="n">
        <f aca="false">BI60</f>
        <v>0.068024448</v>
      </c>
    </row>
    <row r="61" customFormat="false" ht="15" hidden="false" customHeight="false" outlineLevel="0" collapsed="false">
      <c r="A61" s="51" t="s">
        <v>542</v>
      </c>
      <c r="B61" s="157" t="n">
        <f aca="false">ROUND(B59*B60,0)</f>
        <v>0</v>
      </c>
      <c r="C61" s="157" t="n">
        <f aca="false">ROUND(C59*C60,0)</f>
        <v>0</v>
      </c>
      <c r="D61" s="157" t="n">
        <f aca="false">ROUND(D59*D60,0)</f>
        <v>0</v>
      </c>
      <c r="E61" s="157" t="n">
        <f aca="false">ROUND(E59*E60,0)</f>
        <v>0</v>
      </c>
      <c r="F61" s="157" t="n">
        <f aca="false">ROUND(F59*F60,0)</f>
        <v>0</v>
      </c>
      <c r="G61" s="157" t="n">
        <f aca="false">ROUND(G59*G60,0)</f>
        <v>0</v>
      </c>
      <c r="H61" s="157" t="n">
        <f aca="false">ROUND(H59*H60,0)</f>
        <v>0</v>
      </c>
      <c r="I61" s="157" t="n">
        <f aca="false">ROUND(I59*I60,0)</f>
        <v>0</v>
      </c>
      <c r="J61" s="157" t="n">
        <f aca="false">ROUND(J59*J60,0)</f>
        <v>0</v>
      </c>
      <c r="K61" s="157" t="n">
        <f aca="false">ROUND(K59*K60,0)</f>
        <v>151</v>
      </c>
      <c r="L61" s="157" t="n">
        <f aca="false">ROUND(L59*L60,0)</f>
        <v>579</v>
      </c>
      <c r="M61" s="157" t="n">
        <f aca="false">ROUND(M59*M60,0)</f>
        <v>1252</v>
      </c>
      <c r="N61" s="157" t="n">
        <f aca="false">ROUND(N59*N60,0)</f>
        <v>2644</v>
      </c>
      <c r="O61" s="157" t="n">
        <f aca="false">ROUND(O59*O60,0)</f>
        <v>4279</v>
      </c>
      <c r="P61" s="157" t="n">
        <f aca="false">ROUND(P59*P60,0)</f>
        <v>6214</v>
      </c>
      <c r="Q61" s="157" t="n">
        <f aca="false">ROUND(Q59*Q60,0)</f>
        <v>7213</v>
      </c>
      <c r="R61" s="157" t="n">
        <f aca="false">ROUND(R59*R60,0)</f>
        <v>8137</v>
      </c>
      <c r="S61" s="157" t="n">
        <f aca="false">ROUND(S59*S60,0)</f>
        <v>8991</v>
      </c>
      <c r="T61" s="157" t="n">
        <f aca="false">ROUND(T59*T60,0)</f>
        <v>9781</v>
      </c>
      <c r="U61" s="157" t="n">
        <f aca="false">ROUND(U59*U60,0)</f>
        <v>10512</v>
      </c>
      <c r="V61" s="157" t="n">
        <f aca="false">ROUND(V59*V60,0)</f>
        <v>11187</v>
      </c>
      <c r="W61" s="157" t="n">
        <f aca="false">ROUND(W59*W60,0)</f>
        <v>11812</v>
      </c>
      <c r="X61" s="157" t="n">
        <f aca="false">ROUND(X59*X60,0)</f>
        <v>12390</v>
      </c>
      <c r="Y61" s="157" t="n">
        <f aca="false">ROUND(Y59*Y60,0)</f>
        <v>12924</v>
      </c>
      <c r="Z61" s="157" t="n">
        <f aca="false">ROUND(Z59*Z60,0)</f>
        <v>15347</v>
      </c>
      <c r="AA61" s="157" t="n">
        <f aca="false">ROUND(AA59*AA60,0)</f>
        <v>16637</v>
      </c>
      <c r="AB61" s="157" t="n">
        <f aca="false">ROUND(AB59*AB60,0)</f>
        <v>17836</v>
      </c>
      <c r="AC61" s="157" t="n">
        <f aca="false">ROUND(AC59*AC60,0)</f>
        <v>18950</v>
      </c>
      <c r="AD61" s="157" t="n">
        <f aca="false">ROUND(AD59*AD60,0)</f>
        <v>19986</v>
      </c>
      <c r="AE61" s="157" t="n">
        <f aca="false">ROUND(AE59*AE60,0)</f>
        <v>20948</v>
      </c>
      <c r="AF61" s="157" t="n">
        <f aca="false">ROUND(AF59*AF60,0)</f>
        <v>21842</v>
      </c>
      <c r="AG61" s="157" t="n">
        <f aca="false">ROUND(AG59*AG60,0)</f>
        <v>22673</v>
      </c>
      <c r="AH61" s="157" t="n">
        <f aca="false">ROUND(AH59*AH60,0)</f>
        <v>23446</v>
      </c>
      <c r="AI61" s="157" t="n">
        <f aca="false">ROUND(AI59*AI60,0)</f>
        <v>24164</v>
      </c>
      <c r="AJ61" s="157" t="n">
        <f aca="false">ROUND(AJ59*AJ60,0)</f>
        <v>24831</v>
      </c>
      <c r="AK61" s="157" t="n">
        <f aca="false">ROUND(AK59*AK60,0)</f>
        <v>25450</v>
      </c>
      <c r="AL61" s="157" t="n">
        <f aca="false">ROUND(AL59*AL60,0)</f>
        <v>29508</v>
      </c>
      <c r="AM61" s="157" t="n">
        <f aca="false">ROUND(AM59*AM60,0)</f>
        <v>31395</v>
      </c>
      <c r="AN61" s="157" t="n">
        <f aca="false">ROUND(AN59*AN60,0)</f>
        <v>33156</v>
      </c>
      <c r="AO61" s="157" t="n">
        <f aca="false">ROUND(AO59*AO60,0)</f>
        <v>34801</v>
      </c>
      <c r="AP61" s="157" t="n">
        <f aca="false">ROUND(AP59*AP60,0)</f>
        <v>36336</v>
      </c>
      <c r="AQ61" s="157" t="n">
        <f aca="false">ROUND(AQ59*AQ60,0)</f>
        <v>37769</v>
      </c>
      <c r="AR61" s="157" t="n">
        <f aca="false">ROUND(AR59*AR60,0)</f>
        <v>39107</v>
      </c>
      <c r="AS61" s="157" t="n">
        <f aca="false">ROUND(AS59*AS60,0)</f>
        <v>40356</v>
      </c>
      <c r="AT61" s="157" t="n">
        <f aca="false">ROUND(AT59*AT60,0)</f>
        <v>41522</v>
      </c>
      <c r="AU61" s="157" t="n">
        <f aca="false">ROUND(AU59*AU60,0)</f>
        <v>42611</v>
      </c>
      <c r="AV61" s="157" t="n">
        <f aca="false">ROUND(AV59*AV60,0)</f>
        <v>43627</v>
      </c>
      <c r="AW61" s="157" t="n">
        <f aca="false">ROUND(AW59*AW60,0)</f>
        <v>44576</v>
      </c>
      <c r="AX61" s="157" t="n">
        <f aca="false">ROUND(AX59*AX60,0)</f>
        <v>51368</v>
      </c>
      <c r="AY61" s="157" t="n">
        <f aca="false">ROUND(AY59*AY60,0)</f>
        <v>54393</v>
      </c>
      <c r="AZ61" s="157" t="n">
        <f aca="false">ROUND(AZ59*AZ60,0)</f>
        <v>57229</v>
      </c>
      <c r="BA61" s="157" t="n">
        <f aca="false">ROUND(BA59*BA60,0)</f>
        <v>59887</v>
      </c>
      <c r="BB61" s="157" t="n">
        <f aca="false">ROUND(BB59*BB60,0)</f>
        <v>62380</v>
      </c>
      <c r="BC61" s="157" t="n">
        <f aca="false">ROUND(BC59*BC60,0)</f>
        <v>64717</v>
      </c>
      <c r="BD61" s="157" t="n">
        <f aca="false">ROUND(BD59*BD60,0)</f>
        <v>66908</v>
      </c>
      <c r="BE61" s="157" t="n">
        <f aca="false">ROUND(BE59*BE60,0)</f>
        <v>68962</v>
      </c>
      <c r="BF61" s="157" t="n">
        <f aca="false">ROUND(BF59*BF60,0)</f>
        <v>70888</v>
      </c>
      <c r="BG61" s="157" t="n">
        <f aca="false">ROUND(BG59*BG60,0)</f>
        <v>72693</v>
      </c>
      <c r="BH61" s="157" t="n">
        <f aca="false">ROUND(BH59*BH60,0)</f>
        <v>74386</v>
      </c>
      <c r="BI61" s="157" t="n">
        <f aca="false">ROUND(BI59*BI60,0)</f>
        <v>75973</v>
      </c>
      <c r="BJ61" s="109" t="n">
        <f aca="false">BI61</f>
        <v>75973</v>
      </c>
      <c r="BK61" s="29" t="s">
        <v>571</v>
      </c>
    </row>
    <row r="62" customFormat="false" ht="15" hidden="false" customHeight="false" outlineLevel="0" collapsed="false">
      <c r="A62" s="27" t="s">
        <v>543</v>
      </c>
      <c r="B62" s="108" t="n">
        <f aca="false">ROUND(B61*INDEX(Premissas!$C$34:$G$34,B$7),0)</f>
        <v>0</v>
      </c>
      <c r="C62" s="108" t="n">
        <f aca="false">ROUND(C61*INDEX(Premissas!$C$34:$G$34,C$7),0)</f>
        <v>0</v>
      </c>
      <c r="D62" s="108" t="n">
        <f aca="false">ROUND(D61*INDEX(Premissas!$C$34:$G$34,D$7),0)</f>
        <v>0</v>
      </c>
      <c r="E62" s="108" t="n">
        <f aca="false">ROUND(E61*INDEX(Premissas!$C$34:$G$34,E$7),0)</f>
        <v>0</v>
      </c>
      <c r="F62" s="108" t="n">
        <f aca="false">ROUND(F61*INDEX(Premissas!$C$34:$G$34,F$7),0)</f>
        <v>0</v>
      </c>
      <c r="G62" s="108" t="n">
        <f aca="false">ROUND(G61*INDEX(Premissas!$C$34:$G$34,G$7),0)</f>
        <v>0</v>
      </c>
      <c r="H62" s="108" t="n">
        <f aca="false">ROUND(H61*INDEX(Premissas!$C$34:$G$34,H$7),0)</f>
        <v>0</v>
      </c>
      <c r="I62" s="108" t="n">
        <f aca="false">ROUND(I61*INDEX(Premissas!$C$34:$G$34,I$7),0)</f>
        <v>0</v>
      </c>
      <c r="J62" s="108" t="n">
        <f aca="false">ROUND(J61*INDEX(Premissas!$C$34:$G$34,J$7),0)</f>
        <v>0</v>
      </c>
      <c r="K62" s="108" t="n">
        <f aca="false">ROUND(K61*INDEX(Premissas!$C$34:$G$34,K$7),0)</f>
        <v>113</v>
      </c>
      <c r="L62" s="108" t="n">
        <f aca="false">ROUND(L61*INDEX(Premissas!$C$34:$G$34,L$7),0)</f>
        <v>434</v>
      </c>
      <c r="M62" s="108" t="n">
        <f aca="false">ROUND(M61*INDEX(Premissas!$C$34:$G$34,M$7),0)</f>
        <v>939</v>
      </c>
      <c r="N62" s="108" t="n">
        <f aca="false">ROUND(N61*INDEX(Premissas!$C$34:$G$34,N$7),0)</f>
        <v>1904</v>
      </c>
      <c r="O62" s="108" t="n">
        <f aca="false">ROUND(O61*INDEX(Premissas!$C$34:$G$34,O$7),0)</f>
        <v>3081</v>
      </c>
      <c r="P62" s="108" t="n">
        <f aca="false">ROUND(P61*INDEX(Premissas!$C$34:$G$34,P$7),0)</f>
        <v>4474</v>
      </c>
      <c r="Q62" s="108" t="n">
        <f aca="false">ROUND(Q61*INDEX(Premissas!$C$34:$G$34,Q$7),0)</f>
        <v>5193</v>
      </c>
      <c r="R62" s="108" t="n">
        <f aca="false">ROUND(R61*INDEX(Premissas!$C$34:$G$34,R$7),0)</f>
        <v>5859</v>
      </c>
      <c r="S62" s="108" t="n">
        <f aca="false">ROUND(S61*INDEX(Premissas!$C$34:$G$34,S$7),0)</f>
        <v>6474</v>
      </c>
      <c r="T62" s="108" t="n">
        <f aca="false">ROUND(T61*INDEX(Premissas!$C$34:$G$34,T$7),0)</f>
        <v>7042</v>
      </c>
      <c r="U62" s="108" t="n">
        <f aca="false">ROUND(U61*INDEX(Premissas!$C$34:$G$34,U$7),0)</f>
        <v>7569</v>
      </c>
      <c r="V62" s="108" t="n">
        <f aca="false">ROUND(V61*INDEX(Premissas!$C$34:$G$34,V$7),0)</f>
        <v>8055</v>
      </c>
      <c r="W62" s="108" t="n">
        <f aca="false">ROUND(W61*INDEX(Premissas!$C$34:$G$34,W$7),0)</f>
        <v>8505</v>
      </c>
      <c r="X62" s="108" t="n">
        <f aca="false">ROUND(X61*INDEX(Premissas!$C$34:$G$34,X$7),0)</f>
        <v>8921</v>
      </c>
      <c r="Y62" s="108" t="n">
        <f aca="false">ROUND(Y61*INDEX(Premissas!$C$34:$G$34,Y$7),0)</f>
        <v>9305</v>
      </c>
      <c r="Z62" s="108" t="n">
        <f aca="false">ROUND(Z61*INDEX(Premissas!$C$34:$G$34,Z$7),0)</f>
        <v>10436</v>
      </c>
      <c r="AA62" s="108" t="n">
        <f aca="false">ROUND(AA61*INDEX(Premissas!$C$34:$G$34,AA$7),0)</f>
        <v>11313</v>
      </c>
      <c r="AB62" s="108" t="n">
        <f aca="false">ROUND(AB61*INDEX(Premissas!$C$34:$G$34,AB$7),0)</f>
        <v>12128</v>
      </c>
      <c r="AC62" s="108" t="n">
        <f aca="false">ROUND(AC61*INDEX(Premissas!$C$34:$G$34,AC$7),0)</f>
        <v>12886</v>
      </c>
      <c r="AD62" s="108" t="n">
        <f aca="false">ROUND(AD61*INDEX(Premissas!$C$34:$G$34,AD$7),0)</f>
        <v>13590</v>
      </c>
      <c r="AE62" s="108" t="n">
        <f aca="false">ROUND(AE61*INDEX(Premissas!$C$34:$G$34,AE$7),0)</f>
        <v>14245</v>
      </c>
      <c r="AF62" s="108" t="n">
        <f aca="false">ROUND(AF61*INDEX(Premissas!$C$34:$G$34,AF$7),0)</f>
        <v>14853</v>
      </c>
      <c r="AG62" s="108" t="n">
        <f aca="false">ROUND(AG61*INDEX(Premissas!$C$34:$G$34,AG$7),0)</f>
        <v>15418</v>
      </c>
      <c r="AH62" s="108" t="n">
        <f aca="false">ROUND(AH61*INDEX(Premissas!$C$34:$G$34,AH$7),0)</f>
        <v>15943</v>
      </c>
      <c r="AI62" s="108" t="n">
        <f aca="false">ROUND(AI61*INDEX(Premissas!$C$34:$G$34,AI$7),0)</f>
        <v>16432</v>
      </c>
      <c r="AJ62" s="108" t="n">
        <f aca="false">ROUND(AJ61*INDEX(Premissas!$C$34:$G$34,AJ$7),0)</f>
        <v>16885</v>
      </c>
      <c r="AK62" s="108" t="n">
        <f aca="false">ROUND(AK61*INDEX(Premissas!$C$34:$G$34,AK$7),0)</f>
        <v>17306</v>
      </c>
      <c r="AL62" s="108" t="n">
        <f aca="false">ROUND(AL61*INDEX(Premissas!$C$34:$G$34,AL$7),0)</f>
        <v>18885</v>
      </c>
      <c r="AM62" s="108" t="n">
        <f aca="false">ROUND(AM61*INDEX(Premissas!$C$34:$G$34,AM$7),0)</f>
        <v>20093</v>
      </c>
      <c r="AN62" s="108" t="n">
        <f aca="false">ROUND(AN61*INDEX(Premissas!$C$34:$G$34,AN$7),0)</f>
        <v>21220</v>
      </c>
      <c r="AO62" s="108" t="n">
        <f aca="false">ROUND(AO61*INDEX(Premissas!$C$34:$G$34,AO$7),0)</f>
        <v>22273</v>
      </c>
      <c r="AP62" s="108" t="n">
        <f aca="false">ROUND(AP61*INDEX(Premissas!$C$34:$G$34,AP$7),0)</f>
        <v>23255</v>
      </c>
      <c r="AQ62" s="108" t="n">
        <f aca="false">ROUND(AQ61*INDEX(Premissas!$C$34:$G$34,AQ$7),0)</f>
        <v>24172</v>
      </c>
      <c r="AR62" s="108" t="n">
        <f aca="false">ROUND(AR61*INDEX(Premissas!$C$34:$G$34,AR$7),0)</f>
        <v>25028</v>
      </c>
      <c r="AS62" s="108" t="n">
        <f aca="false">ROUND(AS61*INDEX(Premissas!$C$34:$G$34,AS$7),0)</f>
        <v>25828</v>
      </c>
      <c r="AT62" s="108" t="n">
        <f aca="false">ROUND(AT61*INDEX(Premissas!$C$34:$G$34,AT$7),0)</f>
        <v>26574</v>
      </c>
      <c r="AU62" s="108" t="n">
        <f aca="false">ROUND(AU61*INDEX(Premissas!$C$34:$G$34,AU$7),0)</f>
        <v>27271</v>
      </c>
      <c r="AV62" s="108" t="n">
        <f aca="false">ROUND(AV61*INDEX(Premissas!$C$34:$G$34,AV$7),0)</f>
        <v>27921</v>
      </c>
      <c r="AW62" s="108" t="n">
        <f aca="false">ROUND(AW61*INDEX(Premissas!$C$34:$G$34,AW$7),0)</f>
        <v>28529</v>
      </c>
      <c r="AX62" s="108" t="n">
        <f aca="false">ROUND(AX61*INDEX(Premissas!$C$34:$G$34,AX$7),0)</f>
        <v>30821</v>
      </c>
      <c r="AY62" s="108" t="n">
        <f aca="false">ROUND(AY61*INDEX(Premissas!$C$34:$G$34,AY$7),0)</f>
        <v>32636</v>
      </c>
      <c r="AZ62" s="108" t="n">
        <f aca="false">ROUND(AZ61*INDEX(Premissas!$C$34:$G$34,AZ$7),0)</f>
        <v>34337</v>
      </c>
      <c r="BA62" s="108" t="n">
        <f aca="false">ROUND(BA61*INDEX(Premissas!$C$34:$G$34,BA$7),0)</f>
        <v>35932</v>
      </c>
      <c r="BB62" s="108" t="n">
        <f aca="false">ROUND(BB61*INDEX(Premissas!$C$34:$G$34,BB$7),0)</f>
        <v>37428</v>
      </c>
      <c r="BC62" s="108" t="n">
        <f aca="false">ROUND(BC61*INDEX(Premissas!$C$34:$G$34,BC$7),0)</f>
        <v>38830</v>
      </c>
      <c r="BD62" s="108" t="n">
        <f aca="false">ROUND(BD61*INDEX(Premissas!$C$34:$G$34,BD$7),0)</f>
        <v>40145</v>
      </c>
      <c r="BE62" s="108" t="n">
        <f aca="false">ROUND(BE61*INDEX(Premissas!$C$34:$G$34,BE$7),0)</f>
        <v>41377</v>
      </c>
      <c r="BF62" s="108" t="n">
        <f aca="false">ROUND(BF61*INDEX(Premissas!$C$34:$G$34,BF$7),0)</f>
        <v>42533</v>
      </c>
      <c r="BG62" s="108" t="n">
        <f aca="false">ROUND(BG61*INDEX(Premissas!$C$34:$G$34,BG$7),0)</f>
        <v>43616</v>
      </c>
      <c r="BH62" s="108" t="n">
        <f aca="false">ROUND(BH61*INDEX(Premissas!$C$34:$G$34,BH$7),0)</f>
        <v>44632</v>
      </c>
      <c r="BI62" s="108" t="n">
        <f aca="false">ROUND(BI61*INDEX(Premissas!$C$34:$G$34,BI$7),0)</f>
        <v>45584</v>
      </c>
      <c r="BJ62" s="109" t="n">
        <f aca="false">BI62</f>
        <v>45584</v>
      </c>
      <c r="BK62" s="29" t="s">
        <v>571</v>
      </c>
    </row>
    <row r="63" customFormat="false" ht="15" hidden="false" customHeight="false" outlineLevel="0" collapsed="false">
      <c r="A63" s="27" t="s">
        <v>544</v>
      </c>
      <c r="B63" s="108" t="n">
        <f aca="false">ROUND(B61*INDEX(Premissas!$C$35:$G$35,B$7),0)</f>
        <v>0</v>
      </c>
      <c r="C63" s="108" t="n">
        <f aca="false">ROUND(C61*INDEX(Premissas!$C$35:$G$35,C$7),0)</f>
        <v>0</v>
      </c>
      <c r="D63" s="108" t="n">
        <f aca="false">ROUND(D61*INDEX(Premissas!$C$35:$G$35,D$7),0)</f>
        <v>0</v>
      </c>
      <c r="E63" s="108" t="n">
        <f aca="false">ROUND(E61*INDEX(Premissas!$C$35:$G$35,E$7),0)</f>
        <v>0</v>
      </c>
      <c r="F63" s="108" t="n">
        <f aca="false">ROUND(F61*INDEX(Premissas!$C$35:$G$35,F$7),0)</f>
        <v>0</v>
      </c>
      <c r="G63" s="108" t="n">
        <f aca="false">ROUND(G61*INDEX(Premissas!$C$35:$G$35,G$7),0)</f>
        <v>0</v>
      </c>
      <c r="H63" s="108" t="n">
        <f aca="false">ROUND(H61*INDEX(Premissas!$C$35:$G$35,H$7),0)</f>
        <v>0</v>
      </c>
      <c r="I63" s="108" t="n">
        <f aca="false">ROUND(I61*INDEX(Premissas!$C$35:$G$35,I$7),0)</f>
        <v>0</v>
      </c>
      <c r="J63" s="108" t="n">
        <f aca="false">ROUND(J61*INDEX(Premissas!$C$35:$G$35,J$7),0)</f>
        <v>0</v>
      </c>
      <c r="K63" s="108" t="n">
        <f aca="false">ROUND(K61*INDEX(Premissas!$C$35:$G$35,K$7),0)</f>
        <v>30</v>
      </c>
      <c r="L63" s="108" t="n">
        <f aca="false">ROUND(L61*INDEX(Premissas!$C$35:$G$35,L$7),0)</f>
        <v>116</v>
      </c>
      <c r="M63" s="108" t="n">
        <f aca="false">ROUND(M61*INDEX(Premissas!$C$35:$G$35,M$7),0)</f>
        <v>250</v>
      </c>
      <c r="N63" s="108" t="n">
        <f aca="false">ROUND(N61*INDEX(Premissas!$C$35:$G$35,N$7),0)</f>
        <v>582</v>
      </c>
      <c r="O63" s="108" t="n">
        <f aca="false">ROUND(O61*INDEX(Premissas!$C$35:$G$35,O$7),0)</f>
        <v>941</v>
      </c>
      <c r="P63" s="108" t="n">
        <f aca="false">ROUND(P61*INDEX(Premissas!$C$35:$G$35,P$7),0)</f>
        <v>1367</v>
      </c>
      <c r="Q63" s="108" t="n">
        <f aca="false">ROUND(Q61*INDEX(Premissas!$C$35:$G$35,Q$7),0)</f>
        <v>1587</v>
      </c>
      <c r="R63" s="108" t="n">
        <f aca="false">ROUND(R61*INDEX(Premissas!$C$35:$G$35,R$7),0)</f>
        <v>1790</v>
      </c>
      <c r="S63" s="108" t="n">
        <f aca="false">ROUND(S61*INDEX(Premissas!$C$35:$G$35,S$7),0)</f>
        <v>1978</v>
      </c>
      <c r="T63" s="108" t="n">
        <f aca="false">ROUND(T61*INDEX(Premissas!$C$35:$G$35,T$7),0)</f>
        <v>2152</v>
      </c>
      <c r="U63" s="108" t="n">
        <f aca="false">ROUND(U61*INDEX(Premissas!$C$35:$G$35,U$7),0)</f>
        <v>2313</v>
      </c>
      <c r="V63" s="108" t="n">
        <f aca="false">ROUND(V61*INDEX(Premissas!$C$35:$G$35,V$7),0)</f>
        <v>2461</v>
      </c>
      <c r="W63" s="108" t="n">
        <f aca="false">ROUND(W61*INDEX(Premissas!$C$35:$G$35,W$7),0)</f>
        <v>2599</v>
      </c>
      <c r="X63" s="108" t="n">
        <f aca="false">ROUND(X61*INDEX(Premissas!$C$35:$G$35,X$7),0)</f>
        <v>2726</v>
      </c>
      <c r="Y63" s="108" t="n">
        <f aca="false">ROUND(Y61*INDEX(Premissas!$C$35:$G$35,Y$7),0)</f>
        <v>2843</v>
      </c>
      <c r="Z63" s="108" t="n">
        <f aca="false">ROUND(Z61*INDEX(Premissas!$C$35:$G$35,Z$7),0)</f>
        <v>3683</v>
      </c>
      <c r="AA63" s="108" t="n">
        <f aca="false">ROUND(AA61*INDEX(Premissas!$C$35:$G$35,AA$7),0)</f>
        <v>3993</v>
      </c>
      <c r="AB63" s="108" t="n">
        <f aca="false">ROUND(AB61*INDEX(Premissas!$C$35:$G$35,AB$7),0)</f>
        <v>4281</v>
      </c>
      <c r="AC63" s="108" t="n">
        <f aca="false">ROUND(AC61*INDEX(Premissas!$C$35:$G$35,AC$7),0)</f>
        <v>4548</v>
      </c>
      <c r="AD63" s="108" t="n">
        <f aca="false">ROUND(AD61*INDEX(Premissas!$C$35:$G$35,AD$7),0)</f>
        <v>4797</v>
      </c>
      <c r="AE63" s="108" t="n">
        <f aca="false">ROUND(AE61*INDEX(Premissas!$C$35:$G$35,AE$7),0)</f>
        <v>5028</v>
      </c>
      <c r="AF63" s="108" t="n">
        <f aca="false">ROUND(AF61*INDEX(Premissas!$C$35:$G$35,AF$7),0)</f>
        <v>5242</v>
      </c>
      <c r="AG63" s="108" t="n">
        <f aca="false">ROUND(AG61*INDEX(Premissas!$C$35:$G$35,AG$7),0)</f>
        <v>5442</v>
      </c>
      <c r="AH63" s="108" t="n">
        <f aca="false">ROUND(AH61*INDEX(Premissas!$C$35:$G$35,AH$7),0)</f>
        <v>5627</v>
      </c>
      <c r="AI63" s="108" t="n">
        <f aca="false">ROUND(AI61*INDEX(Premissas!$C$35:$G$35,AI$7),0)</f>
        <v>5799</v>
      </c>
      <c r="AJ63" s="108" t="n">
        <f aca="false">ROUND(AJ61*INDEX(Premissas!$C$35:$G$35,AJ$7),0)</f>
        <v>5959</v>
      </c>
      <c r="AK63" s="108" t="n">
        <f aca="false">ROUND(AK61*INDEX(Premissas!$C$35:$G$35,AK$7),0)</f>
        <v>6108</v>
      </c>
      <c r="AL63" s="108" t="n">
        <f aca="false">ROUND(AL61*INDEX(Premissas!$C$35:$G$35,AL$7),0)</f>
        <v>7672</v>
      </c>
      <c r="AM63" s="108" t="n">
        <f aca="false">ROUND(AM61*INDEX(Premissas!$C$35:$G$35,AM$7),0)</f>
        <v>8163</v>
      </c>
      <c r="AN63" s="108" t="n">
        <f aca="false">ROUND(AN61*INDEX(Premissas!$C$35:$G$35,AN$7),0)</f>
        <v>8621</v>
      </c>
      <c r="AO63" s="108" t="n">
        <f aca="false">ROUND(AO61*INDEX(Premissas!$C$35:$G$35,AO$7),0)</f>
        <v>9048</v>
      </c>
      <c r="AP63" s="108" t="n">
        <f aca="false">ROUND(AP61*INDEX(Premissas!$C$35:$G$35,AP$7),0)</f>
        <v>9447</v>
      </c>
      <c r="AQ63" s="108" t="n">
        <f aca="false">ROUND(AQ61*INDEX(Premissas!$C$35:$G$35,AQ$7),0)</f>
        <v>9820</v>
      </c>
      <c r="AR63" s="108" t="n">
        <f aca="false">ROUND(AR61*INDEX(Premissas!$C$35:$G$35,AR$7),0)</f>
        <v>10168</v>
      </c>
      <c r="AS63" s="108" t="n">
        <f aca="false">ROUND(AS61*INDEX(Premissas!$C$35:$G$35,AS$7),0)</f>
        <v>10493</v>
      </c>
      <c r="AT63" s="108" t="n">
        <f aca="false">ROUND(AT61*INDEX(Premissas!$C$35:$G$35,AT$7),0)</f>
        <v>10796</v>
      </c>
      <c r="AU63" s="108" t="n">
        <f aca="false">ROUND(AU61*INDEX(Premissas!$C$35:$G$35,AU$7),0)</f>
        <v>11079</v>
      </c>
      <c r="AV63" s="108" t="n">
        <f aca="false">ROUND(AV61*INDEX(Premissas!$C$35:$G$35,AV$7),0)</f>
        <v>11343</v>
      </c>
      <c r="AW63" s="108" t="n">
        <f aca="false">ROUND(AW61*INDEX(Premissas!$C$35:$G$35,AW$7),0)</f>
        <v>11590</v>
      </c>
      <c r="AX63" s="108" t="n">
        <f aca="false">ROUND(AX61*INDEX(Premissas!$C$35:$G$35,AX$7),0)</f>
        <v>14383</v>
      </c>
      <c r="AY63" s="108" t="n">
        <f aca="false">ROUND(AY61*INDEX(Premissas!$C$35:$G$35,AY$7),0)</f>
        <v>15230</v>
      </c>
      <c r="AZ63" s="108" t="n">
        <f aca="false">ROUND(AZ61*INDEX(Premissas!$C$35:$G$35,AZ$7),0)</f>
        <v>16024</v>
      </c>
      <c r="BA63" s="108" t="n">
        <f aca="false">ROUND(BA61*INDEX(Premissas!$C$35:$G$35,BA$7),0)</f>
        <v>16768</v>
      </c>
      <c r="BB63" s="108" t="n">
        <f aca="false">ROUND(BB61*INDEX(Premissas!$C$35:$G$35,BB$7),0)</f>
        <v>17466</v>
      </c>
      <c r="BC63" s="108" t="n">
        <f aca="false">ROUND(BC61*INDEX(Premissas!$C$35:$G$35,BC$7),0)</f>
        <v>18121</v>
      </c>
      <c r="BD63" s="108" t="n">
        <f aca="false">ROUND(BD61*INDEX(Premissas!$C$35:$G$35,BD$7),0)</f>
        <v>18734</v>
      </c>
      <c r="BE63" s="108" t="n">
        <f aca="false">ROUND(BE61*INDEX(Premissas!$C$35:$G$35,BE$7),0)</f>
        <v>19309</v>
      </c>
      <c r="BF63" s="108" t="n">
        <f aca="false">ROUND(BF61*INDEX(Premissas!$C$35:$G$35,BF$7),0)</f>
        <v>19849</v>
      </c>
      <c r="BG63" s="108" t="n">
        <f aca="false">ROUND(BG61*INDEX(Premissas!$C$35:$G$35,BG$7),0)</f>
        <v>20354</v>
      </c>
      <c r="BH63" s="108" t="n">
        <f aca="false">ROUND(BH61*INDEX(Premissas!$C$35:$G$35,BH$7),0)</f>
        <v>20828</v>
      </c>
      <c r="BI63" s="108" t="n">
        <f aca="false">ROUND(BI61*INDEX(Premissas!$C$35:$G$35,BI$7),0)</f>
        <v>21272</v>
      </c>
      <c r="BJ63" s="109" t="n">
        <f aca="false">BI63</f>
        <v>21272</v>
      </c>
      <c r="BK63" s="29" t="s">
        <v>571</v>
      </c>
    </row>
    <row r="64" customFormat="false" ht="15" hidden="false" customHeight="false" outlineLevel="0" collapsed="false">
      <c r="A64" s="27" t="s">
        <v>545</v>
      </c>
      <c r="B64" s="108" t="n">
        <f aca="false">B61-B62-B63</f>
        <v>0</v>
      </c>
      <c r="C64" s="108" t="n">
        <f aca="false">C61-C62-C63</f>
        <v>0</v>
      </c>
      <c r="D64" s="108" t="n">
        <f aca="false">D61-D62-D63</f>
        <v>0</v>
      </c>
      <c r="E64" s="108" t="n">
        <f aca="false">E61-E62-E63</f>
        <v>0</v>
      </c>
      <c r="F64" s="108" t="n">
        <f aca="false">F61-F62-F63</f>
        <v>0</v>
      </c>
      <c r="G64" s="108" t="n">
        <f aca="false">G61-G62-G63</f>
        <v>0</v>
      </c>
      <c r="H64" s="108" t="n">
        <f aca="false">H61-H62-H63</f>
        <v>0</v>
      </c>
      <c r="I64" s="108" t="n">
        <f aca="false">I61-I62-I63</f>
        <v>0</v>
      </c>
      <c r="J64" s="108" t="n">
        <f aca="false">J61-J62-J63</f>
        <v>0</v>
      </c>
      <c r="K64" s="108" t="n">
        <f aca="false">K61-K62-K63</f>
        <v>8</v>
      </c>
      <c r="L64" s="108" t="n">
        <f aca="false">L61-L62-L63</f>
        <v>29</v>
      </c>
      <c r="M64" s="108" t="n">
        <f aca="false">M61-M62-M63</f>
        <v>63</v>
      </c>
      <c r="N64" s="108" t="n">
        <f aca="false">N61-N62-N63</f>
        <v>158</v>
      </c>
      <c r="O64" s="108" t="n">
        <f aca="false">O61-O62-O63</f>
        <v>257</v>
      </c>
      <c r="P64" s="108" t="n">
        <f aca="false">P61-P62-P63</f>
        <v>373</v>
      </c>
      <c r="Q64" s="108" t="n">
        <f aca="false">Q61-Q62-Q63</f>
        <v>433</v>
      </c>
      <c r="R64" s="108" t="n">
        <f aca="false">R61-R62-R63</f>
        <v>488</v>
      </c>
      <c r="S64" s="108" t="n">
        <f aca="false">S61-S62-S63</f>
        <v>539</v>
      </c>
      <c r="T64" s="108" t="n">
        <f aca="false">T61-T62-T63</f>
        <v>587</v>
      </c>
      <c r="U64" s="108" t="n">
        <f aca="false">U61-U62-U63</f>
        <v>630</v>
      </c>
      <c r="V64" s="108" t="n">
        <f aca="false">V61-V62-V63</f>
        <v>671</v>
      </c>
      <c r="W64" s="108" t="n">
        <f aca="false">W61-W62-W63</f>
        <v>708</v>
      </c>
      <c r="X64" s="108" t="n">
        <f aca="false">X61-X62-X63</f>
        <v>743</v>
      </c>
      <c r="Y64" s="108" t="n">
        <f aca="false">Y61-Y62-Y63</f>
        <v>776</v>
      </c>
      <c r="Z64" s="108" t="n">
        <f aca="false">Z61-Z62-Z63</f>
        <v>1228</v>
      </c>
      <c r="AA64" s="108" t="n">
        <f aca="false">AA61-AA62-AA63</f>
        <v>1331</v>
      </c>
      <c r="AB64" s="108" t="n">
        <f aca="false">AB61-AB62-AB63</f>
        <v>1427</v>
      </c>
      <c r="AC64" s="108" t="n">
        <f aca="false">AC61-AC62-AC63</f>
        <v>1516</v>
      </c>
      <c r="AD64" s="108" t="n">
        <f aca="false">AD61-AD62-AD63</f>
        <v>1599</v>
      </c>
      <c r="AE64" s="108" t="n">
        <f aca="false">AE61-AE62-AE63</f>
        <v>1675</v>
      </c>
      <c r="AF64" s="108" t="n">
        <f aca="false">AF61-AF62-AF63</f>
        <v>1747</v>
      </c>
      <c r="AG64" s="108" t="n">
        <f aca="false">AG61-AG62-AG63</f>
        <v>1813</v>
      </c>
      <c r="AH64" s="108" t="n">
        <f aca="false">AH61-AH62-AH63</f>
        <v>1876</v>
      </c>
      <c r="AI64" s="108" t="n">
        <f aca="false">AI61-AI62-AI63</f>
        <v>1933</v>
      </c>
      <c r="AJ64" s="108" t="n">
        <f aca="false">AJ61-AJ62-AJ63</f>
        <v>1987</v>
      </c>
      <c r="AK64" s="108" t="n">
        <f aca="false">AK61-AK62-AK63</f>
        <v>2036</v>
      </c>
      <c r="AL64" s="108" t="n">
        <f aca="false">AL61-AL62-AL63</f>
        <v>2951</v>
      </c>
      <c r="AM64" s="108" t="n">
        <f aca="false">AM61-AM62-AM63</f>
        <v>3139</v>
      </c>
      <c r="AN64" s="108" t="n">
        <f aca="false">AN61-AN62-AN63</f>
        <v>3315</v>
      </c>
      <c r="AO64" s="108" t="n">
        <f aca="false">AO61-AO62-AO63</f>
        <v>3480</v>
      </c>
      <c r="AP64" s="108" t="n">
        <f aca="false">AP61-AP62-AP63</f>
        <v>3634</v>
      </c>
      <c r="AQ64" s="108" t="n">
        <f aca="false">AQ61-AQ62-AQ63</f>
        <v>3777</v>
      </c>
      <c r="AR64" s="108" t="n">
        <f aca="false">AR61-AR62-AR63</f>
        <v>3911</v>
      </c>
      <c r="AS64" s="108" t="n">
        <f aca="false">AS61-AS62-AS63</f>
        <v>4035</v>
      </c>
      <c r="AT64" s="108" t="n">
        <f aca="false">AT61-AT62-AT63</f>
        <v>4152</v>
      </c>
      <c r="AU64" s="108" t="n">
        <f aca="false">AU61-AU62-AU63</f>
        <v>4261</v>
      </c>
      <c r="AV64" s="108" t="n">
        <f aca="false">AV61-AV62-AV63</f>
        <v>4363</v>
      </c>
      <c r="AW64" s="108" t="n">
        <f aca="false">AW61-AW62-AW63</f>
        <v>4457</v>
      </c>
      <c r="AX64" s="108" t="n">
        <f aca="false">AX61-AX62-AX63</f>
        <v>6164</v>
      </c>
      <c r="AY64" s="108" t="n">
        <f aca="false">AY61-AY62-AY63</f>
        <v>6527</v>
      </c>
      <c r="AZ64" s="108" t="n">
        <f aca="false">AZ61-AZ62-AZ63</f>
        <v>6868</v>
      </c>
      <c r="BA64" s="108" t="n">
        <f aca="false">BA61-BA62-BA63</f>
        <v>7187</v>
      </c>
      <c r="BB64" s="108" t="n">
        <f aca="false">BB61-BB62-BB63</f>
        <v>7486</v>
      </c>
      <c r="BC64" s="108" t="n">
        <f aca="false">BC61-BC62-BC63</f>
        <v>7766</v>
      </c>
      <c r="BD64" s="108" t="n">
        <f aca="false">BD61-BD62-BD63</f>
        <v>8029</v>
      </c>
      <c r="BE64" s="108" t="n">
        <f aca="false">BE61-BE62-BE63</f>
        <v>8276</v>
      </c>
      <c r="BF64" s="108" t="n">
        <f aca="false">BF61-BF62-BF63</f>
        <v>8506</v>
      </c>
      <c r="BG64" s="108" t="n">
        <f aca="false">BG61-BG62-BG63</f>
        <v>8723</v>
      </c>
      <c r="BH64" s="108" t="n">
        <f aca="false">BH61-BH62-BH63</f>
        <v>8926</v>
      </c>
      <c r="BI64" s="108" t="n">
        <f aca="false">BI61-BI62-BI63</f>
        <v>9117</v>
      </c>
      <c r="BJ64" s="109" t="n">
        <f aca="false">BI64</f>
        <v>9117</v>
      </c>
      <c r="BK64" s="29" t="s">
        <v>571</v>
      </c>
    </row>
    <row r="65" customFormat="false" ht="15" hidden="false" customHeight="false" outlineLevel="0" collapsed="false">
      <c r="A65" s="27" t="s">
        <v>573</v>
      </c>
      <c r="B65" s="110" t="n">
        <f aca="false">B62*Premissas!$B$29*(1+Premissas!$B$32)^(B$6-2026)</f>
        <v>0</v>
      </c>
      <c r="C65" s="110" t="n">
        <f aca="false">C62*Premissas!$B$29*(1+Premissas!$B$32)^(C$6-2026)</f>
        <v>0</v>
      </c>
      <c r="D65" s="110" t="n">
        <f aca="false">D62*Premissas!$B$29*(1+Premissas!$B$32)^(D$6-2026)</f>
        <v>0</v>
      </c>
      <c r="E65" s="110" t="n">
        <f aca="false">E62*Premissas!$B$29*(1+Premissas!$B$32)^(E$6-2026)</f>
        <v>0</v>
      </c>
      <c r="F65" s="110" t="n">
        <f aca="false">F62*Premissas!$B$29*(1+Premissas!$B$32)^(F$6-2026)</f>
        <v>0</v>
      </c>
      <c r="G65" s="110" t="n">
        <f aca="false">G62*Premissas!$B$29*(1+Premissas!$B$32)^(G$6-2026)</f>
        <v>0</v>
      </c>
      <c r="H65" s="110" t="n">
        <f aca="false">H62*Premissas!$B$29*(1+Premissas!$B$32)^(H$6-2026)</f>
        <v>0</v>
      </c>
      <c r="I65" s="110" t="n">
        <f aca="false">I62*Premissas!$B$29*(1+Premissas!$B$32)^(I$6-2026)</f>
        <v>0</v>
      </c>
      <c r="J65" s="110" t="n">
        <f aca="false">J62*Premissas!$B$29*(1+Premissas!$B$32)^(J$6-2026)</f>
        <v>0</v>
      </c>
      <c r="K65" s="110" t="n">
        <f aca="false">K62*Premissas!$B$29*(1+Premissas!$B$32)^(K$6-2026)</f>
        <v>2248.7</v>
      </c>
      <c r="L65" s="110" t="n">
        <f aca="false">L62*Premissas!$B$29*(1+Premissas!$B$32)^(L$6-2026)</f>
        <v>8636.6</v>
      </c>
      <c r="M65" s="110" t="n">
        <f aca="false">M62*Premissas!$B$29*(1+Premissas!$B$32)^(M$6-2026)</f>
        <v>18686.1</v>
      </c>
      <c r="N65" s="110" t="n">
        <f aca="false">N62*Premissas!$B$29*(1+Premissas!$B$32)^(N$6-2026)</f>
        <v>39594.632</v>
      </c>
      <c r="O65" s="110" t="n">
        <f aca="false">O62*Premissas!$B$29*(1+Premissas!$B$32)^(O$6-2026)</f>
        <v>64070.9355</v>
      </c>
      <c r="P65" s="110" t="n">
        <f aca="false">P62*Premissas!$B$29*(1+Premissas!$B$32)^(P$6-2026)</f>
        <v>93039.067</v>
      </c>
      <c r="Q65" s="110" t="n">
        <f aca="false">Q62*Premissas!$B$29*(1+Premissas!$B$32)^(Q$6-2026)</f>
        <v>107991.0315</v>
      </c>
      <c r="R65" s="110" t="n">
        <f aca="false">R62*Premissas!$B$29*(1+Premissas!$B$32)^(R$6-2026)</f>
        <v>121840.8345</v>
      </c>
      <c r="S65" s="110" t="n">
        <f aca="false">S62*Premissas!$B$29*(1+Premissas!$B$32)^(S$6-2026)</f>
        <v>134630.067</v>
      </c>
      <c r="T65" s="110" t="n">
        <f aca="false">T62*Premissas!$B$29*(1+Premissas!$B$32)^(T$6-2026)</f>
        <v>146441.911</v>
      </c>
      <c r="U65" s="110" t="n">
        <f aca="false">U62*Premissas!$B$29*(1+Premissas!$B$32)^(U$6-2026)</f>
        <v>157401.1395</v>
      </c>
      <c r="V65" s="110" t="n">
        <f aca="false">V62*Premissas!$B$29*(1+Premissas!$B$32)^(V$6-2026)</f>
        <v>167507.7525</v>
      </c>
      <c r="W65" s="110" t="n">
        <f aca="false">W62*Premissas!$B$29*(1+Premissas!$B$32)^(W$6-2026)</f>
        <v>176865.7275</v>
      </c>
      <c r="X65" s="110" t="n">
        <f aca="false">X62*Premissas!$B$29*(1+Premissas!$B$32)^(X$6-2026)</f>
        <v>185516.6555</v>
      </c>
      <c r="Y65" s="110" t="n">
        <f aca="false">Y62*Premissas!$B$29*(1+Premissas!$B$32)^(Y$6-2026)</f>
        <v>193502.1275</v>
      </c>
      <c r="Z65" s="110" t="n">
        <f aca="false">Z62*Premissas!$B$29*(1+Premissas!$B$32)^(Z$6-2026)</f>
        <v>226787.82071</v>
      </c>
      <c r="AA65" s="110" t="n">
        <f aca="false">AA62*Premissas!$B$29*(1+Premissas!$B$32)^(AA$6-2026)</f>
        <v>245846.1686175</v>
      </c>
      <c r="AB65" s="110" t="n">
        <f aca="false">AB62*Premissas!$B$29*(1+Premissas!$B$32)^(AB$6-2026)</f>
        <v>263557.17608</v>
      </c>
      <c r="AC65" s="110" t="n">
        <f aca="false">AC62*Premissas!$B$29*(1+Premissas!$B$32)^(AC$6-2026)</f>
        <v>280029.499585</v>
      </c>
      <c r="AD65" s="110" t="n">
        <f aca="false">AD62*Premissas!$B$29*(1+Premissas!$B$32)^(AD$6-2026)</f>
        <v>295328.333025</v>
      </c>
      <c r="AE65" s="110" t="n">
        <f aca="false">AE62*Premissas!$B$29*(1+Premissas!$B$32)^(AE$6-2026)</f>
        <v>309562.3328875</v>
      </c>
      <c r="AF65" s="110" t="n">
        <f aca="false">AF62*Premissas!$B$29*(1+Premissas!$B$32)^(AF$6-2026)</f>
        <v>322774.9617675</v>
      </c>
      <c r="AG65" s="110" t="n">
        <f aca="false">AG62*Premissas!$B$29*(1+Premissas!$B$32)^(AG$6-2026)</f>
        <v>335053.144855</v>
      </c>
      <c r="AH65" s="110" t="n">
        <f aca="false">AH62*Premissas!$B$29*(1+Premissas!$B$32)^(AH$6-2026)</f>
        <v>346462.0760425</v>
      </c>
      <c r="AI65" s="110" t="n">
        <f aca="false">AI62*Premissas!$B$29*(1+Premissas!$B$32)^(AI$6-2026)</f>
        <v>357088.68052</v>
      </c>
      <c r="AJ65" s="110" t="n">
        <f aca="false">AJ62*Premissas!$B$29*(1+Premissas!$B$32)^(AJ$6-2026)</f>
        <v>366932.9582875</v>
      </c>
      <c r="AK65" s="110" t="n">
        <f aca="false">AK62*Premissas!$B$29*(1+Premissas!$B$32)^(AK$6-2026)</f>
        <v>376081.834535</v>
      </c>
      <c r="AL65" s="110" t="n">
        <f aca="false">AL62*Premissas!$B$29*(1+Premissas!$B$32)^(AL$6-2026)</f>
        <v>428863.353185437</v>
      </c>
      <c r="AM65" s="110" t="n">
        <f aca="false">AM62*Premissas!$B$29*(1+Premissas!$B$32)^(AM$6-2026)</f>
        <v>456296.073897537</v>
      </c>
      <c r="AN65" s="110" t="n">
        <f aca="false">AN62*Premissas!$B$29*(1+Premissas!$B$32)^(AN$6-2026)</f>
        <v>481889.34893275</v>
      </c>
      <c r="AO65" s="110" t="n">
        <f aca="false">AO62*Premissas!$B$29*(1+Premissas!$B$32)^(AO$6-2026)</f>
        <v>505802.142732287</v>
      </c>
      <c r="AP65" s="110" t="n">
        <f aca="false">AP62*Premissas!$B$29*(1+Premissas!$B$32)^(AP$6-2026)</f>
        <v>528102.582913812</v>
      </c>
      <c r="AQ65" s="110" t="n">
        <f aca="false">AQ62*Premissas!$B$29*(1+Premissas!$B$32)^(AQ$6-2026)</f>
        <v>548926.92471265</v>
      </c>
      <c r="AR65" s="110" t="n">
        <f aca="false">AR62*Premissas!$B$29*(1+Premissas!$B$32)^(AR$6-2026)</f>
        <v>568366.00495235</v>
      </c>
      <c r="AS65" s="110" t="n">
        <f aca="false">AS62*Premissas!$B$29*(1+Premissas!$B$32)^(AS$6-2026)</f>
        <v>586533.36966235</v>
      </c>
      <c r="AT65" s="110" t="n">
        <f aca="false">AT62*Premissas!$B$29*(1+Premissas!$B$32)^(AT$6-2026)</f>
        <v>603474.437254425</v>
      </c>
      <c r="AU65" s="110" t="n">
        <f aca="false">AU62*Premissas!$B$29*(1+Premissas!$B$32)^(AU$6-2026)</f>
        <v>619302.753758012</v>
      </c>
      <c r="AV65" s="110" t="n">
        <f aca="false">AV62*Premissas!$B$29*(1+Premissas!$B$32)^(AV$6-2026)</f>
        <v>634063.737584887</v>
      </c>
      <c r="AW65" s="110" t="n">
        <f aca="false">AW62*Premissas!$B$29*(1+Premissas!$B$32)^(AW$6-2026)</f>
        <v>647870.934764487</v>
      </c>
      <c r="AX65" s="110" t="n">
        <f aca="false">AX62*Premissas!$B$29*(1+Premissas!$B$32)^(AX$6-2026)</f>
        <v>731416.854218276</v>
      </c>
      <c r="AY65" s="110" t="n">
        <f aca="false">AY62*Premissas!$B$29*(1+Premissas!$B$32)^(AY$6-2026)</f>
        <v>774488.83729495</v>
      </c>
      <c r="AZ65" s="110" t="n">
        <f aca="false">AZ62*Premissas!$B$29*(1+Premissas!$B$32)^(AZ$6-2026)</f>
        <v>814855.472674246</v>
      </c>
      <c r="BA65" s="110" t="n">
        <f aca="false">BA62*Premissas!$B$29*(1+Premissas!$B$32)^(BA$6-2026)</f>
        <v>852706.609317384</v>
      </c>
      <c r="BB65" s="110" t="n">
        <f aca="false">BB62*Premissas!$B$29*(1+Premissas!$B$32)^(BB$6-2026)</f>
        <v>888208.365065431</v>
      </c>
      <c r="BC65" s="110" t="n">
        <f aca="false">BC62*Premissas!$B$29*(1+Premissas!$B$32)^(BC$6-2026)</f>
        <v>921479.395519148</v>
      </c>
      <c r="BD65" s="110" t="n">
        <f aca="false">BD62*Premissas!$B$29*(1+Premissas!$B$32)^(BD$6-2026)</f>
        <v>952685.818519603</v>
      </c>
      <c r="BE65" s="110" t="n">
        <f aca="false">BE62*Premissas!$B$29*(1+Premissas!$B$32)^(BE$6-2026)</f>
        <v>981922.558547406</v>
      </c>
      <c r="BF65" s="110" t="n">
        <f aca="false">BF62*Premissas!$B$29*(1+Premissas!$B$32)^(BF$6-2026)</f>
        <v>1009355.73344362</v>
      </c>
      <c r="BG65" s="110" t="n">
        <f aca="false">BG62*Premissas!$B$29*(1+Premissas!$B$32)^(BG$6-2026)</f>
        <v>1035056.53656871</v>
      </c>
      <c r="BH65" s="110" t="n">
        <f aca="false">BH62*Premissas!$B$29*(1+Premissas!$B$32)^(BH$6-2026)</f>
        <v>1059167.35464359</v>
      </c>
      <c r="BI65" s="110" t="n">
        <f aca="false">BI62*Premissas!$B$29*(1+Premissas!$B$32)^(BI$6-2026)</f>
        <v>1081759.38102871</v>
      </c>
      <c r="BJ65" s="111" t="n">
        <f aca="false">SUM(B65:BI65)</f>
        <v>23056072.8491046</v>
      </c>
    </row>
    <row r="66" customFormat="false" ht="15" hidden="false" customHeight="false" outlineLevel="0" collapsed="false">
      <c r="A66" s="27" t="s">
        <v>574</v>
      </c>
      <c r="B66" s="110" t="n">
        <f aca="false">B63*Premissas!$B$30*(1+Premissas!$B$32)^(B$6-2026)</f>
        <v>0</v>
      </c>
      <c r="C66" s="110" t="n">
        <f aca="false">C63*Premissas!$B$30*(1+Premissas!$B$32)^(C$6-2026)</f>
        <v>0</v>
      </c>
      <c r="D66" s="110" t="n">
        <f aca="false">D63*Premissas!$B$30*(1+Premissas!$B$32)^(D$6-2026)</f>
        <v>0</v>
      </c>
      <c r="E66" s="110" t="n">
        <f aca="false">E63*Premissas!$B$30*(1+Premissas!$B$32)^(E$6-2026)</f>
        <v>0</v>
      </c>
      <c r="F66" s="110" t="n">
        <f aca="false">F63*Premissas!$B$30*(1+Premissas!$B$32)^(F$6-2026)</f>
        <v>0</v>
      </c>
      <c r="G66" s="110" t="n">
        <f aca="false">G63*Premissas!$B$30*(1+Premissas!$B$32)^(G$6-2026)</f>
        <v>0</v>
      </c>
      <c r="H66" s="110" t="n">
        <f aca="false">H63*Premissas!$B$30*(1+Premissas!$B$32)^(H$6-2026)</f>
        <v>0</v>
      </c>
      <c r="I66" s="110" t="n">
        <f aca="false">I63*Premissas!$B$30*(1+Premissas!$B$32)^(I$6-2026)</f>
        <v>0</v>
      </c>
      <c r="J66" s="110" t="n">
        <f aca="false">J63*Premissas!$B$30*(1+Premissas!$B$32)^(J$6-2026)</f>
        <v>0</v>
      </c>
      <c r="K66" s="110" t="n">
        <f aca="false">K63*Premissas!$B$30*(1+Premissas!$B$32)^(K$6-2026)</f>
        <v>1197</v>
      </c>
      <c r="L66" s="110" t="n">
        <f aca="false">L63*Premissas!$B$30*(1+Premissas!$B$32)^(L$6-2026)</f>
        <v>4628.4</v>
      </c>
      <c r="M66" s="110" t="n">
        <f aca="false">M63*Premissas!$B$30*(1+Premissas!$B$32)^(M$6-2026)</f>
        <v>9975</v>
      </c>
      <c r="N66" s="110" t="n">
        <f aca="false">N63*Premissas!$B$30*(1+Premissas!$B$32)^(N$6-2026)</f>
        <v>24266.781</v>
      </c>
      <c r="O66" s="110" t="n">
        <f aca="false">O63*Premissas!$B$30*(1+Premissas!$B$32)^(O$6-2026)</f>
        <v>39235.4655</v>
      </c>
      <c r="P66" s="110" t="n">
        <f aca="false">P63*Premissas!$B$30*(1+Premissas!$B$32)^(P$6-2026)</f>
        <v>56997.7485</v>
      </c>
      <c r="Q66" s="110" t="n">
        <f aca="false">Q63*Premissas!$B$30*(1+Premissas!$B$32)^(Q$6-2026)</f>
        <v>66170.7585</v>
      </c>
      <c r="R66" s="110" t="n">
        <f aca="false">R63*Premissas!$B$30*(1+Premissas!$B$32)^(R$6-2026)</f>
        <v>74634.945</v>
      </c>
      <c r="S66" s="110" t="n">
        <f aca="false">S63*Premissas!$B$30*(1+Premissas!$B$32)^(S$6-2026)</f>
        <v>82473.699</v>
      </c>
      <c r="T66" s="110" t="n">
        <f aca="false">T63*Premissas!$B$30*(1+Premissas!$B$32)^(T$6-2026)</f>
        <v>89728.716</v>
      </c>
      <c r="U66" s="110" t="n">
        <f aca="false">U63*Premissas!$B$30*(1+Premissas!$B$32)^(U$6-2026)</f>
        <v>96441.6915</v>
      </c>
      <c r="V66" s="110" t="n">
        <f aca="false">V63*Premissas!$B$30*(1+Premissas!$B$32)^(V$6-2026)</f>
        <v>102612.6255</v>
      </c>
      <c r="W66" s="110" t="n">
        <f aca="false">W63*Premissas!$B$30*(1+Premissas!$B$32)^(W$6-2026)</f>
        <v>108366.6045</v>
      </c>
      <c r="X66" s="110" t="n">
        <f aca="false">X63*Premissas!$B$30*(1+Premissas!$B$32)^(X$6-2026)</f>
        <v>113661.933</v>
      </c>
      <c r="Y66" s="110" t="n">
        <f aca="false">Y63*Premissas!$B$30*(1+Premissas!$B$32)^(Y$6-2026)</f>
        <v>118540.3065</v>
      </c>
      <c r="Z66" s="110" t="n">
        <f aca="false">Z63*Premissas!$B$30*(1+Premissas!$B$32)^(Z$6-2026)</f>
        <v>160474.9301925</v>
      </c>
      <c r="AA66" s="110" t="n">
        <f aca="false">AA63*Premissas!$B$30*(1+Premissas!$B$32)^(AA$6-2026)</f>
        <v>173982.1874175</v>
      </c>
      <c r="AB66" s="110" t="n">
        <f aca="false">AB63*Premissas!$B$30*(1+Premissas!$B$32)^(AB$6-2026)</f>
        <v>186530.8650975</v>
      </c>
      <c r="AC66" s="110" t="n">
        <f aca="false">AC63*Premissas!$B$30*(1+Premissas!$B$32)^(AC$6-2026)</f>
        <v>198164.53503</v>
      </c>
      <c r="AD66" s="110" t="n">
        <f aca="false">AD63*Premissas!$B$30*(1+Premissas!$B$32)^(AD$6-2026)</f>
        <v>209013.9126075</v>
      </c>
      <c r="AE66" s="110" t="n">
        <f aca="false">AE63*Premissas!$B$30*(1+Premissas!$B$32)^(AE$6-2026)</f>
        <v>219078.99783</v>
      </c>
      <c r="AF66" s="110" t="n">
        <f aca="false">AF63*Premissas!$B$30*(1+Premissas!$B$32)^(AF$6-2026)</f>
        <v>228403.362495</v>
      </c>
      <c r="AG66" s="110" t="n">
        <f aca="false">AG63*Premissas!$B$30*(1+Premissas!$B$32)^(AG$6-2026)</f>
        <v>237117.721995</v>
      </c>
      <c r="AH66" s="110" t="n">
        <f aca="false">AH63*Premissas!$B$30*(1+Premissas!$B$32)^(AH$6-2026)</f>
        <v>245178.5045325</v>
      </c>
      <c r="AI66" s="110" t="n">
        <f aca="false">AI63*Premissas!$B$30*(1+Premissas!$B$32)^(AI$6-2026)</f>
        <v>252672.8537025</v>
      </c>
      <c r="AJ66" s="110" t="n">
        <f aca="false">AJ63*Premissas!$B$30*(1+Premissas!$B$32)^(AJ$6-2026)</f>
        <v>259644.3413025</v>
      </c>
      <c r="AK66" s="110" t="n">
        <f aca="false">AK63*Premissas!$B$30*(1+Premissas!$B$32)^(AK$6-2026)</f>
        <v>266136.53913</v>
      </c>
      <c r="AL66" s="110" t="n">
        <f aca="false">AL63*Premissas!$B$30*(1+Premissas!$B$32)^(AL$6-2026)</f>
        <v>349325.5577889</v>
      </c>
      <c r="AM66" s="110" t="n">
        <f aca="false">AM63*Premissas!$B$30*(1+Premissas!$B$32)^(AM$6-2026)</f>
        <v>371682.029227163</v>
      </c>
      <c r="AN66" s="110" t="n">
        <f aca="false">AN63*Premissas!$B$30*(1+Premissas!$B$32)^(AN$6-2026)</f>
        <v>392535.927228637</v>
      </c>
      <c r="AO66" s="110" t="n">
        <f aca="false">AO63*Premissas!$B$30*(1+Premissas!$B$32)^(AO$6-2026)</f>
        <v>411978.3168501</v>
      </c>
      <c r="AP66" s="110" t="n">
        <f aca="false">AP63*Premissas!$B$30*(1+Premissas!$B$32)^(AP$6-2026)</f>
        <v>430145.795676712</v>
      </c>
      <c r="AQ66" s="110" t="n">
        <f aca="false">AQ63*Premissas!$B$30*(1+Premissas!$B$32)^(AQ$6-2026)</f>
        <v>447129.42876525</v>
      </c>
      <c r="AR66" s="110" t="n">
        <f aca="false">AR63*Premissas!$B$30*(1+Premissas!$B$32)^(AR$6-2026)</f>
        <v>462974.7486441</v>
      </c>
      <c r="AS66" s="110" t="n">
        <f aca="false">AS63*Premissas!$B$30*(1+Premissas!$B$32)^(AS$6-2026)</f>
        <v>477772.820370037</v>
      </c>
      <c r="AT66" s="110" t="n">
        <f aca="false">AT63*Premissas!$B$30*(1+Premissas!$B$32)^(AT$6-2026)</f>
        <v>491569.17647145</v>
      </c>
      <c r="AU66" s="110" t="n">
        <f aca="false">AU63*Premissas!$B$30*(1+Premissas!$B$32)^(AU$6-2026)</f>
        <v>504454.882005112</v>
      </c>
      <c r="AV66" s="110" t="n">
        <f aca="false">AV63*Premissas!$B$30*(1+Premissas!$B$32)^(AV$6-2026)</f>
        <v>516475.469499412</v>
      </c>
      <c r="AW66" s="110" t="n">
        <f aca="false">AW63*Premissas!$B$30*(1+Premissas!$B$32)^(AW$6-2026)</f>
        <v>527722.004011125</v>
      </c>
      <c r="AX66" s="110" t="n">
        <f aca="false">AX63*Premissas!$B$30*(1+Premissas!$B$32)^(AX$6-2026)</f>
        <v>684364.601808296</v>
      </c>
      <c r="AY66" s="110" t="n">
        <f aca="false">AY63*Premissas!$B$30*(1+Premissas!$B$32)^(AY$6-2026)</f>
        <v>724666.125671998</v>
      </c>
      <c r="AZ66" s="110" t="n">
        <f aca="false">AZ63*Premissas!$B$30*(1+Premissas!$B$32)^(AZ$6-2026)</f>
        <v>762445.830450958</v>
      </c>
      <c r="BA66" s="110" t="n">
        <f aca="false">BA63*Premissas!$B$30*(1+Premissas!$B$32)^(BA$6-2026)</f>
        <v>797846.460621672</v>
      </c>
      <c r="BB66" s="110" t="n">
        <f aca="false">BB63*Premissas!$B$30*(1+Premissas!$B$32)^(BB$6-2026)</f>
        <v>831058.342152798</v>
      </c>
      <c r="BC66" s="110" t="n">
        <f aca="false">BC63*Premissas!$B$30*(1+Premissas!$B$32)^(BC$6-2026)</f>
        <v>862224.219520832</v>
      </c>
      <c r="BD66" s="110" t="n">
        <f aca="false">BD63*Premissas!$B$30*(1+Premissas!$B$32)^(BD$6-2026)</f>
        <v>891391.674217939</v>
      </c>
      <c r="BE66" s="110" t="n">
        <f aca="false">BE63*Premissas!$B$30*(1+Premissas!$B$32)^(BE$6-2026)</f>
        <v>918751.032212778</v>
      </c>
      <c r="BF66" s="110" t="n">
        <f aca="false">BF63*Premissas!$B$30*(1+Premissas!$B$32)^(BF$6-2026)</f>
        <v>944445.037981844</v>
      </c>
      <c r="BG66" s="110" t="n">
        <f aca="false">BG63*Premissas!$B$30*(1+Premissas!$B$32)^(BG$6-2026)</f>
        <v>968473.691525138</v>
      </c>
      <c r="BH66" s="110" t="n">
        <f aca="false">BH63*Premissas!$B$30*(1+Premissas!$B$32)^(BH$6-2026)</f>
        <v>991027.318811318</v>
      </c>
      <c r="BI66" s="110" t="n">
        <f aca="false">BI63*Premissas!$B$30*(1+Premissas!$B$32)^(BI$6-2026)</f>
        <v>1012153.50133255</v>
      </c>
      <c r="BJ66" s="111" t="n">
        <f aca="false">SUM(B66:BI66)</f>
        <v>19397944.4186786</v>
      </c>
    </row>
    <row r="67" customFormat="false" ht="15" hidden="false" customHeight="false" outlineLevel="0" collapsed="false">
      <c r="A67" s="27" t="s">
        <v>575</v>
      </c>
      <c r="B67" s="110" t="n">
        <f aca="false">B64*Premissas!$B$31*(1+Premissas!$B$32)^(B$6-2026)</f>
        <v>0</v>
      </c>
      <c r="C67" s="110" t="n">
        <f aca="false">C64*Premissas!$B$31*(1+Premissas!$B$32)^(C$6-2026)</f>
        <v>0</v>
      </c>
      <c r="D67" s="110" t="n">
        <f aca="false">D64*Premissas!$B$31*(1+Premissas!$B$32)^(D$6-2026)</f>
        <v>0</v>
      </c>
      <c r="E67" s="110" t="n">
        <f aca="false">E64*Premissas!$B$31*(1+Premissas!$B$32)^(E$6-2026)</f>
        <v>0</v>
      </c>
      <c r="F67" s="110" t="n">
        <f aca="false">F64*Premissas!$B$31*(1+Premissas!$B$32)^(F$6-2026)</f>
        <v>0</v>
      </c>
      <c r="G67" s="110" t="n">
        <f aca="false">G64*Premissas!$B$31*(1+Premissas!$B$32)^(G$6-2026)</f>
        <v>0</v>
      </c>
      <c r="H67" s="110" t="n">
        <f aca="false">H64*Premissas!$B$31*(1+Premissas!$B$32)^(H$6-2026)</f>
        <v>0</v>
      </c>
      <c r="I67" s="110" t="n">
        <f aca="false">I64*Premissas!$B$31*(1+Premissas!$B$32)^(I$6-2026)</f>
        <v>0</v>
      </c>
      <c r="J67" s="110" t="n">
        <f aca="false">J64*Premissas!$B$31*(1+Premissas!$B$32)^(J$6-2026)</f>
        <v>0</v>
      </c>
      <c r="K67" s="110" t="n">
        <f aca="false">K64*Premissas!$B$31*(1+Premissas!$B$32)^(K$6-2026)</f>
        <v>639.2</v>
      </c>
      <c r="L67" s="110" t="n">
        <f aca="false">L64*Premissas!$B$31*(1+Premissas!$B$32)^(L$6-2026)</f>
        <v>2317.1</v>
      </c>
      <c r="M67" s="110" t="n">
        <f aca="false">M64*Premissas!$B$31*(1+Premissas!$B$32)^(M$6-2026)</f>
        <v>5033.7</v>
      </c>
      <c r="N67" s="110" t="n">
        <f aca="false">N64*Premissas!$B$31*(1+Premissas!$B$32)^(N$6-2026)</f>
        <v>13192.289</v>
      </c>
      <c r="O67" s="110" t="n">
        <f aca="false">O64*Premissas!$B$31*(1+Premissas!$B$32)^(O$6-2026)</f>
        <v>21458.3435</v>
      </c>
      <c r="P67" s="110" t="n">
        <f aca="false">P64*Premissas!$B$31*(1+Premissas!$B$32)^(P$6-2026)</f>
        <v>31143.8215</v>
      </c>
      <c r="Q67" s="110" t="n">
        <f aca="false">Q64*Premissas!$B$31*(1+Premissas!$B$32)^(Q$6-2026)</f>
        <v>36153.5515</v>
      </c>
      <c r="R67" s="110" t="n">
        <f aca="false">R64*Premissas!$B$31*(1+Premissas!$B$32)^(R$6-2026)</f>
        <v>40745.804</v>
      </c>
      <c r="S67" s="110" t="n">
        <f aca="false">S64*Premissas!$B$31*(1+Premissas!$B$32)^(S$6-2026)</f>
        <v>45004.0745</v>
      </c>
      <c r="T67" s="110" t="n">
        <f aca="false">T64*Premissas!$B$31*(1+Premissas!$B$32)^(T$6-2026)</f>
        <v>49011.8585</v>
      </c>
      <c r="U67" s="110" t="n">
        <f aca="false">U64*Premissas!$B$31*(1+Premissas!$B$32)^(U$6-2026)</f>
        <v>52602.165</v>
      </c>
      <c r="V67" s="110" t="n">
        <f aca="false">V64*Premissas!$B$31*(1+Premissas!$B$32)^(V$6-2026)</f>
        <v>56025.4805</v>
      </c>
      <c r="W67" s="110" t="n">
        <f aca="false">W64*Premissas!$B$31*(1+Premissas!$B$32)^(W$6-2026)</f>
        <v>59114.814</v>
      </c>
      <c r="X67" s="110" t="n">
        <f aca="false">X64*Premissas!$B$31*(1+Premissas!$B$32)^(X$6-2026)</f>
        <v>62037.1565</v>
      </c>
      <c r="Y67" s="110" t="n">
        <f aca="false">Y64*Premissas!$B$31*(1+Premissas!$B$32)^(Y$6-2026)</f>
        <v>64792.508</v>
      </c>
      <c r="Z67" s="110" t="n">
        <f aca="false">Z64*Premissas!$B$31*(1+Premissas!$B$32)^(Z$6-2026)</f>
        <v>107146.43533</v>
      </c>
      <c r="AA67" s="110" t="n">
        <f aca="false">AA64*Premissas!$B$31*(1+Premissas!$B$32)^(AA$6-2026)</f>
        <v>116133.4734725</v>
      </c>
      <c r="AB67" s="110" t="n">
        <f aca="false">AB64*Premissas!$B$31*(1+Premissas!$B$32)^(AB$6-2026)</f>
        <v>124509.7420325</v>
      </c>
      <c r="AC67" s="110" t="n">
        <f aca="false">AC64*Premissas!$B$31*(1+Premissas!$B$32)^(AC$6-2026)</f>
        <v>132275.24101</v>
      </c>
      <c r="AD67" s="110" t="n">
        <f aca="false">AD64*Premissas!$B$31*(1+Premissas!$B$32)^(AD$6-2026)</f>
        <v>139517.2232025</v>
      </c>
      <c r="AE67" s="110" t="n">
        <f aca="false">AE64*Premissas!$B$31*(1+Premissas!$B$32)^(AE$6-2026)</f>
        <v>146148.4358125</v>
      </c>
      <c r="AF67" s="110" t="n">
        <f aca="false">AF64*Premissas!$B$31*(1+Premissas!$B$32)^(AF$6-2026)</f>
        <v>152430.6372325</v>
      </c>
      <c r="AG67" s="110" t="n">
        <f aca="false">AG64*Premissas!$B$31*(1+Premissas!$B$32)^(AG$6-2026)</f>
        <v>158189.3218675</v>
      </c>
      <c r="AH67" s="110" t="n">
        <f aca="false">AH64*Premissas!$B$31*(1+Premissas!$B$32)^(AH$6-2026)</f>
        <v>163686.24811</v>
      </c>
      <c r="AI67" s="110" t="n">
        <f aca="false">AI64*Premissas!$B$31*(1+Premissas!$B$32)^(AI$6-2026)</f>
        <v>168659.6575675</v>
      </c>
      <c r="AJ67" s="110" t="n">
        <f aca="false">AJ64*Premissas!$B$31*(1+Premissas!$B$32)^(AJ$6-2026)</f>
        <v>173371.3086325</v>
      </c>
      <c r="AK67" s="110" t="n">
        <f aca="false">AK64*Premissas!$B$31*(1+Premissas!$B$32)^(AK$6-2026)</f>
        <v>177646.69571</v>
      </c>
      <c r="AL67" s="110" t="n">
        <f aca="false">AL64*Premissas!$B$31*(1+Premissas!$B$32)^(AL$6-2026)</f>
        <v>269069.740666512</v>
      </c>
      <c r="AM67" s="110" t="n">
        <f aca="false">AM64*Premissas!$B$31*(1+Premissas!$B$32)^(AM$6-2026)</f>
        <v>286211.425263363</v>
      </c>
      <c r="AN67" s="110" t="n">
        <f aca="false">AN64*Premissas!$B$31*(1+Premissas!$B$32)^(AN$6-2026)</f>
        <v>302258.959779562</v>
      </c>
      <c r="AO67" s="110" t="n">
        <f aca="false">AO64*Premissas!$B$31*(1+Premissas!$B$32)^(AO$6-2026)</f>
        <v>317303.5233885</v>
      </c>
      <c r="AP67" s="110" t="n">
        <f aca="false">AP64*Premissas!$B$31*(1+Premissas!$B$32)^(AP$6-2026)</f>
        <v>331345.116090175</v>
      </c>
      <c r="AQ67" s="110" t="n">
        <f aca="false">AQ64*Premissas!$B$31*(1+Premissas!$B$32)^(AQ$6-2026)</f>
        <v>344383.737884588</v>
      </c>
      <c r="AR67" s="110" t="n">
        <f aca="false">AR64*Premissas!$B$31*(1+Premissas!$B$32)^(AR$6-2026)</f>
        <v>356601.747118512</v>
      </c>
      <c r="AS67" s="110" t="n">
        <f aca="false">AS64*Premissas!$B$31*(1+Premissas!$B$32)^(AS$6-2026)</f>
        <v>367907.964618562</v>
      </c>
      <c r="AT67" s="110" t="n">
        <f aca="false">AT64*Premissas!$B$31*(1+Premissas!$B$32)^(AT$6-2026)</f>
        <v>378575.9279049</v>
      </c>
      <c r="AU67" s="110" t="n">
        <f aca="false">AU64*Premissas!$B$31*(1+Premissas!$B$32)^(AU$6-2026)</f>
        <v>388514.457804137</v>
      </c>
      <c r="AV67" s="110" t="n">
        <f aca="false">AV64*Premissas!$B$31*(1+Premissas!$B$32)^(AV$6-2026)</f>
        <v>397814.733489662</v>
      </c>
      <c r="AW67" s="110" t="n">
        <f aca="false">AW64*Premissas!$B$31*(1+Premissas!$B$32)^(AW$6-2026)</f>
        <v>406385.575788088</v>
      </c>
      <c r="AX67" s="110" t="n">
        <f aca="false">AX64*Premissas!$B$31*(1+Premissas!$B$32)^(AX$6-2026)</f>
        <v>587319.703874775</v>
      </c>
      <c r="AY67" s="110" t="n">
        <f aca="false">AY64*Premissas!$B$31*(1+Premissas!$B$32)^(AY$6-2026)</f>
        <v>621907.155611722</v>
      </c>
      <c r="AZ67" s="110" t="n">
        <f aca="false">AZ64*Premissas!$B$31*(1+Premissas!$B$32)^(AZ$6-2026)</f>
        <v>654398.398152491</v>
      </c>
      <c r="BA67" s="110" t="n">
        <f aca="false">BA64*Premissas!$B$31*(1+Premissas!$B$32)^(BA$6-2026)</f>
        <v>684793.431497081</v>
      </c>
      <c r="BB67" s="110" t="n">
        <f aca="false">BB64*Premissas!$B$31*(1+Premissas!$B$32)^(BB$6-2026)</f>
        <v>713282.820117872</v>
      </c>
      <c r="BC67" s="110" t="n">
        <f aca="false">BC64*Premissas!$B$31*(1+Premissas!$B$32)^(BC$6-2026)</f>
        <v>739961.846251054</v>
      </c>
      <c r="BD67" s="110" t="n">
        <f aca="false">BD64*Premissas!$B$31*(1+Premissas!$B$32)^(BD$6-2026)</f>
        <v>765021.074369008</v>
      </c>
      <c r="BE67" s="110" t="n">
        <f aca="false">BE64*Premissas!$B$31*(1+Premissas!$B$32)^(BE$6-2026)</f>
        <v>788555.786707923</v>
      </c>
      <c r="BF67" s="110" t="n">
        <f aca="false">BF64*Premissas!$B$31*(1+Premissas!$B$32)^(BF$6-2026)</f>
        <v>810470.701031608</v>
      </c>
      <c r="BG67" s="110" t="n">
        <f aca="false">BG64*Premissas!$B$31*(1+Premissas!$B$32)^(BG$6-2026)</f>
        <v>831146.946284825</v>
      </c>
      <c r="BH67" s="110" t="n">
        <f aca="false">BH64*Premissas!$B$31*(1+Premissas!$B$32)^(BH$6-2026)</f>
        <v>850489.240231382</v>
      </c>
      <c r="BI67" s="110" t="n">
        <f aca="false">BI64*Premissas!$B$31*(1+Premissas!$B$32)^(BI$6-2026)</f>
        <v>868688.14734366</v>
      </c>
      <c r="BJ67" s="111" t="n">
        <f aca="false">SUM(B67:BI67)</f>
        <v>15361394.44775</v>
      </c>
    </row>
    <row r="68" customFormat="false" ht="15" hidden="false" customHeight="false" outlineLevel="0" collapsed="false">
      <c r="A68" s="51" t="s">
        <v>576</v>
      </c>
      <c r="B68" s="144" t="n">
        <f aca="false">SUM(B65:B67)</f>
        <v>0</v>
      </c>
      <c r="C68" s="144" t="n">
        <f aca="false">SUM(C65:C67)</f>
        <v>0</v>
      </c>
      <c r="D68" s="144" t="n">
        <f aca="false">SUM(D65:D67)</f>
        <v>0</v>
      </c>
      <c r="E68" s="144" t="n">
        <f aca="false">SUM(E65:E67)</f>
        <v>0</v>
      </c>
      <c r="F68" s="144" t="n">
        <f aca="false">SUM(F65:F67)</f>
        <v>0</v>
      </c>
      <c r="G68" s="144" t="n">
        <f aca="false">SUM(G65:G67)</f>
        <v>0</v>
      </c>
      <c r="H68" s="144" t="n">
        <f aca="false">SUM(H65:H67)</f>
        <v>0</v>
      </c>
      <c r="I68" s="144" t="n">
        <f aca="false">SUM(I65:I67)</f>
        <v>0</v>
      </c>
      <c r="J68" s="144" t="n">
        <f aca="false">SUM(J65:J67)</f>
        <v>0</v>
      </c>
      <c r="K68" s="144" t="n">
        <f aca="false">SUM(K65:K67)</f>
        <v>4084.9</v>
      </c>
      <c r="L68" s="144" t="n">
        <f aca="false">SUM(L65:L67)</f>
        <v>15582.1</v>
      </c>
      <c r="M68" s="144" t="n">
        <f aca="false">SUM(M65:M67)</f>
        <v>33694.8</v>
      </c>
      <c r="N68" s="144" t="n">
        <f aca="false">SUM(N65:N67)</f>
        <v>77053.702</v>
      </c>
      <c r="O68" s="144" t="n">
        <f aca="false">SUM(O65:O67)</f>
        <v>124764.7445</v>
      </c>
      <c r="P68" s="144" t="n">
        <f aca="false">SUM(P65:P67)</f>
        <v>181180.637</v>
      </c>
      <c r="Q68" s="144" t="n">
        <f aca="false">SUM(Q65:Q67)</f>
        <v>210315.3415</v>
      </c>
      <c r="R68" s="144" t="n">
        <f aca="false">SUM(R65:R67)</f>
        <v>237221.5835</v>
      </c>
      <c r="S68" s="144" t="n">
        <f aca="false">SUM(S65:S67)</f>
        <v>262107.8405</v>
      </c>
      <c r="T68" s="144" t="n">
        <f aca="false">SUM(T65:T67)</f>
        <v>285182.4855</v>
      </c>
      <c r="U68" s="144" t="n">
        <f aca="false">SUM(U65:U67)</f>
        <v>306444.996</v>
      </c>
      <c r="V68" s="144" t="n">
        <f aca="false">SUM(V65:V67)</f>
        <v>326145.8585</v>
      </c>
      <c r="W68" s="144" t="n">
        <f aca="false">SUM(W65:W67)</f>
        <v>344347.146</v>
      </c>
      <c r="X68" s="144" t="n">
        <f aca="false">SUM(X65:X67)</f>
        <v>361215.745</v>
      </c>
      <c r="Y68" s="144" t="n">
        <f aca="false">SUM(Y65:Y67)</f>
        <v>376834.942</v>
      </c>
      <c r="Z68" s="144" t="n">
        <f aca="false">SUM(Z65:Z67)</f>
        <v>494409.1862325</v>
      </c>
      <c r="AA68" s="144" t="n">
        <f aca="false">SUM(AA65:AA67)</f>
        <v>535961.8295075</v>
      </c>
      <c r="AB68" s="144" t="n">
        <f aca="false">SUM(AB65:AB67)</f>
        <v>574597.78321</v>
      </c>
      <c r="AC68" s="144" t="n">
        <f aca="false">SUM(AC65:AC67)</f>
        <v>610469.275625</v>
      </c>
      <c r="AD68" s="144" t="n">
        <f aca="false">SUM(AD65:AD67)</f>
        <v>643859.468835</v>
      </c>
      <c r="AE68" s="144" t="n">
        <f aca="false">SUM(AE65:AE67)</f>
        <v>674789.76653</v>
      </c>
      <c r="AF68" s="144" t="n">
        <f aca="false">SUM(AF65:AF67)</f>
        <v>703608.961495</v>
      </c>
      <c r="AG68" s="144" t="n">
        <f aca="false">SUM(AG65:AG67)</f>
        <v>730360.1887175</v>
      </c>
      <c r="AH68" s="144" t="n">
        <f aca="false">SUM(AH65:AH67)</f>
        <v>755326.828685</v>
      </c>
      <c r="AI68" s="144" t="n">
        <f aca="false">SUM(AI65:AI67)</f>
        <v>778421.19179</v>
      </c>
      <c r="AJ68" s="144" t="n">
        <f aca="false">SUM(AJ65:AJ67)</f>
        <v>799948.6082225</v>
      </c>
      <c r="AK68" s="144" t="n">
        <f aca="false">SUM(AK65:AK67)</f>
        <v>819865.069375</v>
      </c>
      <c r="AL68" s="144" t="n">
        <f aca="false">SUM(AL65:AL67)</f>
        <v>1047258.65164085</v>
      </c>
      <c r="AM68" s="144" t="n">
        <f aca="false">SUM(AM65:AM67)</f>
        <v>1114189.52838806</v>
      </c>
      <c r="AN68" s="144" t="n">
        <f aca="false">SUM(AN65:AN67)</f>
        <v>1176684.23594095</v>
      </c>
      <c r="AO68" s="144" t="n">
        <f aca="false">SUM(AO65:AO67)</f>
        <v>1235083.98297089</v>
      </c>
      <c r="AP68" s="144" t="n">
        <f aca="false">SUM(AP65:AP67)</f>
        <v>1289593.4946807</v>
      </c>
      <c r="AQ68" s="144" t="n">
        <f aca="false">SUM(AQ65:AQ67)</f>
        <v>1340440.09136249</v>
      </c>
      <c r="AR68" s="144" t="n">
        <f aca="false">SUM(AR65:AR67)</f>
        <v>1387942.50071496</v>
      </c>
      <c r="AS68" s="144" t="n">
        <f aca="false">SUM(AS65:AS67)</f>
        <v>1432214.15465095</v>
      </c>
      <c r="AT68" s="144" t="n">
        <f aca="false">SUM(AT65:AT67)</f>
        <v>1473619.54163077</v>
      </c>
      <c r="AU68" s="144" t="n">
        <f aca="false">SUM(AU65:AU67)</f>
        <v>1512272.09356726</v>
      </c>
      <c r="AV68" s="144" t="n">
        <f aca="false">SUM(AV65:AV67)</f>
        <v>1548353.94057396</v>
      </c>
      <c r="AW68" s="144" t="n">
        <f aca="false">SUM(AW65:AW67)</f>
        <v>1581978.5145637</v>
      </c>
      <c r="AX68" s="144" t="n">
        <f aca="false">SUM(AX65:AX67)</f>
        <v>2003101.15990135</v>
      </c>
      <c r="AY68" s="144" t="n">
        <f aca="false">SUM(AY65:AY67)</f>
        <v>2121062.11857867</v>
      </c>
      <c r="AZ68" s="144" t="n">
        <f aca="false">SUM(AZ65:AZ67)</f>
        <v>2231699.7012777</v>
      </c>
      <c r="BA68" s="144" t="n">
        <f aca="false">SUM(BA65:BA67)</f>
        <v>2335346.50143614</v>
      </c>
      <c r="BB68" s="144" t="n">
        <f aca="false">SUM(BB65:BB67)</f>
        <v>2432549.5273361</v>
      </c>
      <c r="BC68" s="144" t="n">
        <f aca="false">SUM(BC65:BC67)</f>
        <v>2523665.46129103</v>
      </c>
      <c r="BD68" s="144" t="n">
        <f aca="false">SUM(BD65:BD67)</f>
        <v>2609098.56710655</v>
      </c>
      <c r="BE68" s="144" t="n">
        <f aca="false">SUM(BE65:BE67)</f>
        <v>2689229.37746811</v>
      </c>
      <c r="BF68" s="144" t="n">
        <f aca="false">SUM(BF65:BF67)</f>
        <v>2764271.47245708</v>
      </c>
      <c r="BG68" s="144" t="n">
        <f aca="false">SUM(BG65:BG67)</f>
        <v>2834677.17437868</v>
      </c>
      <c r="BH68" s="144" t="n">
        <f aca="false">SUM(BH65:BH67)</f>
        <v>2900683.91368629</v>
      </c>
      <c r="BI68" s="144" t="n">
        <f aca="false">SUM(BI65:BI67)</f>
        <v>2962601.02970492</v>
      </c>
      <c r="BJ68" s="111" t="n">
        <f aca="false">SUM(B68:BI68)</f>
        <v>57815411.7155331</v>
      </c>
    </row>
    <row r="69" customFormat="false" ht="15" hidden="false" customHeight="false" outlineLevel="0" collapsed="false">
      <c r="A69" s="27" t="s">
        <v>577</v>
      </c>
      <c r="B69" s="110" t="n">
        <f aca="false">B59*INDEX(Premissas!$C$68:$G$68,B$7)*Premissas!$B$67*Premissas!$B$66</f>
        <v>0</v>
      </c>
      <c r="C69" s="110" t="n">
        <f aca="false">C59*INDEX(Premissas!$C$68:$G$68,C$7)*Premissas!$B$67*Premissas!$B$66</f>
        <v>0</v>
      </c>
      <c r="D69" s="110" t="n">
        <f aca="false">D59*INDEX(Premissas!$C$68:$G$68,D$7)*Premissas!$B$67*Premissas!$B$66</f>
        <v>0</v>
      </c>
      <c r="E69" s="110" t="n">
        <f aca="false">E59*INDEX(Premissas!$C$68:$G$68,E$7)*Premissas!$B$67*Premissas!$B$66</f>
        <v>0</v>
      </c>
      <c r="F69" s="110" t="n">
        <f aca="false">F59*INDEX(Premissas!$C$68:$G$68,F$7)*Premissas!$B$67*Premissas!$B$66</f>
        <v>0</v>
      </c>
      <c r="G69" s="110" t="n">
        <f aca="false">G59*INDEX(Premissas!$C$68:$G$68,G$7)*Premissas!$B$67*Premissas!$B$66</f>
        <v>0</v>
      </c>
      <c r="H69" s="110" t="n">
        <f aca="false">H59*INDEX(Premissas!$C$68:$G$68,H$7)*Premissas!$B$67*Premissas!$B$66</f>
        <v>0</v>
      </c>
      <c r="I69" s="110" t="n">
        <f aca="false">I59*INDEX(Premissas!$C$68:$G$68,I$7)*Premissas!$B$67*Premissas!$B$66</f>
        <v>0</v>
      </c>
      <c r="J69" s="110" t="n">
        <f aca="false">J59*INDEX(Premissas!$C$68:$G$68,J$7)*Premissas!$B$67*Premissas!$B$66</f>
        <v>0</v>
      </c>
      <c r="K69" s="110" t="n">
        <f aca="false">K59*INDEX(Premissas!$C$68:$G$68,K$7)*Premissas!$B$67*Premissas!$B$66</f>
        <v>0</v>
      </c>
      <c r="L69" s="110" t="n">
        <f aca="false">L59*INDEX(Premissas!$C$68:$G$68,L$7)*Premissas!$B$67*Premissas!$B$66</f>
        <v>0</v>
      </c>
      <c r="M69" s="110" t="n">
        <f aca="false">M59*INDEX(Premissas!$C$68:$G$68,M$7)*Premissas!$B$67*Premissas!$B$66</f>
        <v>0</v>
      </c>
      <c r="N69" s="110" t="n">
        <f aca="false">N59*INDEX(Premissas!$C$68:$G$68,N$7)*Premissas!$B$67*Premissas!$B$66</f>
        <v>3856.46297568</v>
      </c>
      <c r="O69" s="110" t="n">
        <f aca="false">O59*INDEX(Premissas!$C$68:$G$68,O$7)*Premissas!$B$67*Premissas!$B$66</f>
        <v>4991.83195990886</v>
      </c>
      <c r="P69" s="110" t="n">
        <f aca="false">P59*INDEX(Premissas!$C$68:$G$68,P$7)*Premissas!$B$67*Premissas!$B$66</f>
        <v>6041.82119652372</v>
      </c>
      <c r="Q69" s="110" t="n">
        <f aca="false">Q59*INDEX(Premissas!$C$68:$G$68,Q$7)*Premissas!$B$67*Premissas!$B$66</f>
        <v>7012.85124254513</v>
      </c>
      <c r="R69" s="110" t="n">
        <f aca="false">R59*INDEX(Premissas!$C$68:$G$68,R$7)*Premissas!$B$67*Premissas!$B$66</f>
        <v>7910.85982910574</v>
      </c>
      <c r="S69" s="110" t="n">
        <f aca="false">S59*INDEX(Premissas!$C$68:$G$68,S$7)*Premissas!$B$67*Premissas!$B$66</f>
        <v>8741.33816995699</v>
      </c>
      <c r="T69" s="110" t="n">
        <f aca="false">T59*INDEX(Premissas!$C$68:$G$68,T$7)*Premissas!$B$67*Premissas!$B$66</f>
        <v>9509.36453957622</v>
      </c>
      <c r="U69" s="110" t="n">
        <f aca="false">U59*INDEX(Premissas!$C$68:$G$68,U$7)*Premissas!$B$67*Premissas!$B$66</f>
        <v>10219.6353262001</v>
      </c>
      <c r="V69" s="110" t="n">
        <f aca="false">V59*INDEX(Premissas!$C$68:$G$68,V$7)*Premissas!$B$67*Premissas!$B$66</f>
        <v>10876.4937496698</v>
      </c>
      <c r="W69" s="110" t="n">
        <f aca="false">W59*INDEX(Premissas!$C$68:$G$68,W$7)*Premissas!$B$67*Premissas!$B$66</f>
        <v>11483.9564196947</v>
      </c>
      <c r="X69" s="110" t="n">
        <f aca="false">X59*INDEX(Premissas!$C$68:$G$68,X$7)*Premissas!$B$67*Premissas!$B$66</f>
        <v>12045.7378969336</v>
      </c>
      <c r="Y69" s="110" t="n">
        <f aca="false">Y59*INDEX(Premissas!$C$68:$G$68,Y$7)*Premissas!$B$67*Premissas!$B$66</f>
        <v>12565.2734070842</v>
      </c>
      <c r="Z69" s="110" t="n">
        <f aca="false">Z59*INDEX(Premissas!$C$68:$G$68,Z$7)*Premissas!$B$67*Premissas!$B$66</f>
        <v>23025.2031008071</v>
      </c>
      <c r="AA69" s="110" t="n">
        <f aca="false">AA59*INDEX(Premissas!$C$68:$G$68,AA$7)*Premissas!$B$67*Premissas!$B$66</f>
        <v>24961.0350440172</v>
      </c>
      <c r="AB69" s="110" t="n">
        <f aca="false">AB59*INDEX(Premissas!$C$68:$G$68,AB$7)*Premissas!$B$67*Premissas!$B$66</f>
        <v>26760.0268988258</v>
      </c>
      <c r="AC69" s="110" t="n">
        <f aca="false">AC59*INDEX(Premissas!$C$68:$G$68,AC$7)*Premissas!$B$67*Premissas!$B$66</f>
        <v>28431.8516174016</v>
      </c>
      <c r="AD69" s="110" t="n">
        <f aca="false">AD59*INDEX(Premissas!$C$68:$G$68,AD$7)*Premissas!$B$67*Premissas!$B$66</f>
        <v>29985.4983902707</v>
      </c>
      <c r="AE69" s="110" t="n">
        <f aca="false">AE59*INDEX(Premissas!$C$68:$G$68,AE$7)*Premissas!$B$67*Premissas!$B$66</f>
        <v>31429.3209800592</v>
      </c>
      <c r="AF69" s="110" t="n">
        <f aca="false">AF59*INDEX(Premissas!$C$68:$G$68,AF$7)*Premissas!$B$67*Premissas!$B$66</f>
        <v>32771.0826386208</v>
      </c>
      <c r="AG69" s="110" t="n">
        <f aca="false">AG59*INDEX(Premissas!$C$68:$G$68,AG$7)*Premissas!$B$67*Premissas!$B$66</f>
        <v>34017.997849062</v>
      </c>
      <c r="AH69" s="110" t="n">
        <f aca="false">AH59*INDEX(Premissas!$C$68:$G$68,AH$7)*Premissas!$B$67*Premissas!$B$66</f>
        <v>35176.7711171075</v>
      </c>
      <c r="AI69" s="110" t="n">
        <f aca="false">AI59*INDEX(Premissas!$C$68:$G$68,AI$7)*Premissas!$B$67*Premissas!$B$66</f>
        <v>36253.6330203814</v>
      </c>
      <c r="AJ69" s="110" t="n">
        <f aca="false">AJ59*INDEX(Premissas!$C$68:$G$68,AJ$7)*Premissas!$B$67*Premissas!$B$66</f>
        <v>37254.3737094367</v>
      </c>
      <c r="AK69" s="110" t="n">
        <f aca="false">AK59*INDEX(Premissas!$C$68:$G$68,AK$7)*Premissas!$B$67*Premissas!$B$66</f>
        <v>38184.374040664</v>
      </c>
      <c r="AL69" s="110" t="n">
        <f aca="false">AL59*INDEX(Premissas!$C$68:$G$68,AL$7)*Premissas!$B$67*Premissas!$B$66</f>
        <v>65587.686208654</v>
      </c>
      <c r="AM69" s="110" t="n">
        <f aca="false">AM59*INDEX(Premissas!$C$68:$G$68,AM$7)*Premissas!$B$67*Premissas!$B$66</f>
        <v>69781.8495876997</v>
      </c>
      <c r="AN69" s="110" t="n">
        <f aca="false">AN59*INDEX(Premissas!$C$68:$G$68,AN$7)*Premissas!$B$67*Premissas!$B$66</f>
        <v>73697.3245670637</v>
      </c>
      <c r="AO69" s="110" t="n">
        <f aca="false">AO59*INDEX(Premissas!$C$68:$G$68,AO$7)*Premissas!$B$67*Premissas!$B$66</f>
        <v>77352.6290768069</v>
      </c>
      <c r="AP69" s="110" t="n">
        <f aca="false">AP59*INDEX(Premissas!$C$68:$G$68,AP$7)*Premissas!$B$67*Premissas!$B$66</f>
        <v>80765.0505912764</v>
      </c>
      <c r="AQ69" s="110" t="n">
        <f aca="false">AQ59*INDEX(Premissas!$C$68:$G$68,AQ$7)*Premissas!$B$67*Premissas!$B$66</f>
        <v>83950.7278888521</v>
      </c>
      <c r="AR69" s="110" t="n">
        <f aca="false">AR59*INDEX(Premissas!$C$68:$G$68,AR$7)*Premissas!$B$67*Premissas!$B$66</f>
        <v>86924.7273790253</v>
      </c>
      <c r="AS69" s="110" t="n">
        <f aca="false">AS59*INDEX(Premissas!$C$68:$G$68,AS$7)*Premissas!$B$67*Premissas!$B$66</f>
        <v>89701.1143577949</v>
      </c>
      <c r="AT69" s="110" t="n">
        <f aca="false">AT59*INDEX(Premissas!$C$68:$G$68,AT$7)*Premissas!$B$67*Premissas!$B$66</f>
        <v>92293.0195283745</v>
      </c>
      <c r="AU69" s="110" t="n">
        <f aca="false">AU59*INDEX(Premissas!$C$68:$G$68,AU$7)*Premissas!$B$67*Premissas!$B$66</f>
        <v>94712.7011018181</v>
      </c>
      <c r="AV69" s="110" t="n">
        <f aca="false">AV59*INDEX(Premissas!$C$68:$G$68,AV$7)*Premissas!$B$67*Premissas!$B$66</f>
        <v>96971.6027712619</v>
      </c>
      <c r="AW69" s="110" t="n">
        <f aca="false">AW59*INDEX(Premissas!$C$68:$G$68,AW$7)*Premissas!$B$67*Premissas!$B$66</f>
        <v>99080.4078339686</v>
      </c>
      <c r="AX69" s="110" t="n">
        <f aca="false">AX59*INDEX(Premissas!$C$68:$G$68,AX$7)*Premissas!$B$67*Premissas!$B$66</f>
        <v>132150.286005186</v>
      </c>
      <c r="AY69" s="110" t="n">
        <f aca="false">AY59*INDEX(Premissas!$C$68:$G$68,AY$7)*Premissas!$B$67*Premissas!$B$66</f>
        <v>139931.658886206</v>
      </c>
      <c r="AZ69" s="110" t="n">
        <f aca="false">AZ59*INDEX(Premissas!$C$68:$G$68,AZ$7)*Premissas!$B$67*Premissas!$B$66</f>
        <v>147227.007864488</v>
      </c>
      <c r="BA69" s="110" t="n">
        <f aca="false">BA59*INDEX(Premissas!$C$68:$G$68,BA$7)*Premissas!$B$67*Premissas!$B$66</f>
        <v>154066.689952559</v>
      </c>
      <c r="BB69" s="110" t="n">
        <f aca="false">BB59*INDEX(Premissas!$C$68:$G$68,BB$7)*Premissas!$B$67*Premissas!$B$66</f>
        <v>160479.166066471</v>
      </c>
      <c r="BC69" s="110" t="n">
        <f aca="false">BC59*INDEX(Premissas!$C$68:$G$68,BC$7)*Premissas!$B$67*Premissas!$B$66</f>
        <v>166491.119455825</v>
      </c>
      <c r="BD69" s="110" t="n">
        <f aca="false">BD59*INDEX(Premissas!$C$68:$G$68,BD$7)*Premissas!$B$67*Premissas!$B$66</f>
        <v>172127.566736676</v>
      </c>
      <c r="BE69" s="110" t="n">
        <f aca="false">BE59*INDEX(Premissas!$C$68:$G$68,BE$7)*Premissas!$B$67*Premissas!$B$66</f>
        <v>177411.961989316</v>
      </c>
      <c r="BF69" s="110" t="n">
        <f aca="false">BF59*INDEX(Premissas!$C$68:$G$68,BF$7)*Premissas!$B$67*Premissas!$B$66</f>
        <v>182366.294354139</v>
      </c>
      <c r="BG69" s="110" t="n">
        <f aca="false">BG59*INDEX(Premissas!$C$68:$G$68,BG$7)*Premissas!$B$67*Premissas!$B$66</f>
        <v>187011.179531655</v>
      </c>
      <c r="BH69" s="110" t="n">
        <f aca="false">BH59*INDEX(Premissas!$C$68:$G$68,BH$7)*Premissas!$B$67*Premissas!$B$66</f>
        <v>191365.945567438</v>
      </c>
      <c r="BI69" s="110" t="n">
        <f aca="false">BI59*INDEX(Premissas!$C$68:$G$68,BI$7)*Premissas!$B$67*Premissas!$B$66</f>
        <v>195448.713278943</v>
      </c>
      <c r="BJ69" s="111" t="n">
        <f aca="false">SUM(B69:BI69)</f>
        <v>3500403.22570103</v>
      </c>
    </row>
    <row r="70" customFormat="false" ht="15" hidden="false" customHeight="false" outlineLevel="0" collapsed="false">
      <c r="A70" s="27" t="s">
        <v>578</v>
      </c>
      <c r="B70" s="110" t="n">
        <f aca="false">Aportes!B100</f>
        <v>0</v>
      </c>
      <c r="C70" s="110" t="n">
        <f aca="false">Aportes!C100</f>
        <v>0</v>
      </c>
      <c r="D70" s="110" t="n">
        <f aca="false">Aportes!D100</f>
        <v>0</v>
      </c>
      <c r="E70" s="110" t="n">
        <f aca="false">Aportes!E100</f>
        <v>0</v>
      </c>
      <c r="F70" s="110" t="n">
        <f aca="false">Aportes!F100</f>
        <v>0</v>
      </c>
      <c r="G70" s="110" t="n">
        <f aca="false">Aportes!G100</f>
        <v>0</v>
      </c>
      <c r="H70" s="110" t="n">
        <f aca="false">Aportes!H100</f>
        <v>0</v>
      </c>
      <c r="I70" s="110" t="n">
        <f aca="false">Aportes!I100</f>
        <v>0</v>
      </c>
      <c r="J70" s="110" t="n">
        <f aca="false">Aportes!J100</f>
        <v>0</v>
      </c>
      <c r="K70" s="110" t="n">
        <f aca="false">Aportes!K100</f>
        <v>0</v>
      </c>
      <c r="L70" s="110" t="n">
        <f aca="false">Aportes!L100</f>
        <v>0</v>
      </c>
      <c r="M70" s="110" t="n">
        <f aca="false">Aportes!M100</f>
        <v>0</v>
      </c>
      <c r="N70" s="110" t="n">
        <f aca="false">Aportes!N100</f>
        <v>0</v>
      </c>
      <c r="O70" s="110" t="n">
        <f aca="false">Aportes!O100</f>
        <v>0</v>
      </c>
      <c r="P70" s="110" t="n">
        <f aca="false">Aportes!P100</f>
        <v>0</v>
      </c>
      <c r="Q70" s="110" t="n">
        <f aca="false">Aportes!Q100</f>
        <v>0</v>
      </c>
      <c r="R70" s="110" t="n">
        <f aca="false">Aportes!R100</f>
        <v>0</v>
      </c>
      <c r="S70" s="110" t="n">
        <f aca="false">Aportes!S100</f>
        <v>0</v>
      </c>
      <c r="T70" s="110" t="n">
        <f aca="false">Aportes!T100</f>
        <v>0</v>
      </c>
      <c r="U70" s="110" t="n">
        <f aca="false">Aportes!U100</f>
        <v>0</v>
      </c>
      <c r="V70" s="110" t="n">
        <f aca="false">Aportes!V100</f>
        <v>0</v>
      </c>
      <c r="W70" s="110" t="n">
        <f aca="false">Aportes!W100</f>
        <v>0</v>
      </c>
      <c r="X70" s="110" t="n">
        <f aca="false">Aportes!X100</f>
        <v>0</v>
      </c>
      <c r="Y70" s="110" t="n">
        <f aca="false">Aportes!Y100</f>
        <v>0</v>
      </c>
      <c r="Z70" s="110" t="n">
        <f aca="false">Aportes!Z100</f>
        <v>0</v>
      </c>
      <c r="AA70" s="110" t="n">
        <f aca="false">Aportes!AA100</f>
        <v>0</v>
      </c>
      <c r="AB70" s="110" t="n">
        <f aca="false">Aportes!AB100</f>
        <v>0</v>
      </c>
      <c r="AC70" s="110" t="n">
        <f aca="false">Aportes!AC100</f>
        <v>0</v>
      </c>
      <c r="AD70" s="110" t="n">
        <f aca="false">Aportes!AD100</f>
        <v>0</v>
      </c>
      <c r="AE70" s="110" t="n">
        <f aca="false">Aportes!AE100</f>
        <v>0</v>
      </c>
      <c r="AF70" s="110" t="n">
        <f aca="false">Aportes!AF100</f>
        <v>0</v>
      </c>
      <c r="AG70" s="110" t="n">
        <f aca="false">Aportes!AG100</f>
        <v>0</v>
      </c>
      <c r="AH70" s="110" t="n">
        <f aca="false">Aportes!AH100</f>
        <v>0</v>
      </c>
      <c r="AI70" s="110" t="n">
        <f aca="false">Aportes!AI100</f>
        <v>0</v>
      </c>
      <c r="AJ70" s="110" t="n">
        <f aca="false">Aportes!AJ100</f>
        <v>0</v>
      </c>
      <c r="AK70" s="110" t="n">
        <f aca="false">Aportes!AK100</f>
        <v>0</v>
      </c>
      <c r="AL70" s="110" t="n">
        <f aca="false">Aportes!AL100</f>
        <v>0</v>
      </c>
      <c r="AM70" s="110" t="n">
        <f aca="false">Aportes!AM100</f>
        <v>0</v>
      </c>
      <c r="AN70" s="110" t="n">
        <f aca="false">Aportes!AN100</f>
        <v>0</v>
      </c>
      <c r="AO70" s="110" t="n">
        <f aca="false">Aportes!AO100</f>
        <v>0</v>
      </c>
      <c r="AP70" s="110" t="n">
        <f aca="false">Aportes!AP100</f>
        <v>0</v>
      </c>
      <c r="AQ70" s="110" t="n">
        <f aca="false">Aportes!AQ100</f>
        <v>0</v>
      </c>
      <c r="AR70" s="110" t="n">
        <f aca="false">Aportes!AR100</f>
        <v>0</v>
      </c>
      <c r="AS70" s="110" t="n">
        <f aca="false">Aportes!AS100</f>
        <v>0</v>
      </c>
      <c r="AT70" s="110" t="n">
        <f aca="false">Aportes!AT100</f>
        <v>0</v>
      </c>
      <c r="AU70" s="110" t="n">
        <f aca="false">Aportes!AU100</f>
        <v>0</v>
      </c>
      <c r="AV70" s="110" t="n">
        <f aca="false">Aportes!AV100</f>
        <v>0</v>
      </c>
      <c r="AW70" s="110" t="n">
        <f aca="false">Aportes!AW100</f>
        <v>0</v>
      </c>
      <c r="AX70" s="110" t="n">
        <f aca="false">Aportes!AX100</f>
        <v>0</v>
      </c>
      <c r="AY70" s="110" t="n">
        <f aca="false">Aportes!AY100</f>
        <v>0</v>
      </c>
      <c r="AZ70" s="110" t="n">
        <f aca="false">Aportes!AZ100</f>
        <v>0</v>
      </c>
      <c r="BA70" s="110" t="n">
        <f aca="false">Aportes!BA100</f>
        <v>0</v>
      </c>
      <c r="BB70" s="110" t="n">
        <f aca="false">Aportes!BB100</f>
        <v>0</v>
      </c>
      <c r="BC70" s="110" t="n">
        <f aca="false">Aportes!BC100</f>
        <v>0</v>
      </c>
      <c r="BD70" s="110" t="n">
        <f aca="false">Aportes!BD100</f>
        <v>0</v>
      </c>
      <c r="BE70" s="110" t="n">
        <f aca="false">Aportes!BE100</f>
        <v>0</v>
      </c>
      <c r="BF70" s="110" t="n">
        <f aca="false">Aportes!BF100</f>
        <v>0</v>
      </c>
      <c r="BG70" s="110" t="n">
        <f aca="false">Aportes!BG100</f>
        <v>0</v>
      </c>
      <c r="BH70" s="110" t="n">
        <f aca="false">Aportes!BH100</f>
        <v>0</v>
      </c>
      <c r="BI70" s="110" t="n">
        <f aca="false">Aportes!BI100</f>
        <v>0</v>
      </c>
      <c r="BJ70" s="111" t="n">
        <f aca="false">SUM(B70:BI70)</f>
        <v>0</v>
      </c>
    </row>
    <row r="71" customFormat="false" ht="15" hidden="false" customHeight="false" outlineLevel="0" collapsed="false">
      <c r="A71" s="51" t="s">
        <v>524</v>
      </c>
      <c r="B71" s="111" t="n">
        <f aca="false">SUM(B68:B70)</f>
        <v>0</v>
      </c>
      <c r="C71" s="111" t="n">
        <f aca="false">SUM(C68:C70)</f>
        <v>0</v>
      </c>
      <c r="D71" s="111" t="n">
        <f aca="false">SUM(D68:D70)</f>
        <v>0</v>
      </c>
      <c r="E71" s="111" t="n">
        <f aca="false">SUM(E68:E70)</f>
        <v>0</v>
      </c>
      <c r="F71" s="111" t="n">
        <f aca="false">SUM(F68:F70)</f>
        <v>0</v>
      </c>
      <c r="G71" s="111" t="n">
        <f aca="false">SUM(G68:G70)</f>
        <v>0</v>
      </c>
      <c r="H71" s="111" t="n">
        <f aca="false">SUM(H68:H70)</f>
        <v>0</v>
      </c>
      <c r="I71" s="111" t="n">
        <f aca="false">SUM(I68:I70)</f>
        <v>0</v>
      </c>
      <c r="J71" s="111" t="n">
        <f aca="false">SUM(J68:J70)</f>
        <v>0</v>
      </c>
      <c r="K71" s="111" t="n">
        <f aca="false">SUM(K68:K70)</f>
        <v>4084.9</v>
      </c>
      <c r="L71" s="111" t="n">
        <f aca="false">SUM(L68:L70)</f>
        <v>15582.1</v>
      </c>
      <c r="M71" s="111" t="n">
        <f aca="false">SUM(M68:M70)</f>
        <v>33694.8</v>
      </c>
      <c r="N71" s="111" t="n">
        <f aca="false">SUM(N68:N70)</f>
        <v>80910.16497568</v>
      </c>
      <c r="O71" s="111" t="n">
        <f aca="false">SUM(O68:O70)</f>
        <v>129756.576459909</v>
      </c>
      <c r="P71" s="111" t="n">
        <f aca="false">SUM(P68:P70)</f>
        <v>187222.458196524</v>
      </c>
      <c r="Q71" s="111" t="n">
        <f aca="false">SUM(Q68:Q70)</f>
        <v>217328.192742545</v>
      </c>
      <c r="R71" s="111" t="n">
        <f aca="false">SUM(R68:R70)</f>
        <v>245132.443329106</v>
      </c>
      <c r="S71" s="111" t="n">
        <f aca="false">SUM(S68:S70)</f>
        <v>270849.178669957</v>
      </c>
      <c r="T71" s="111" t="n">
        <f aca="false">SUM(T68:T70)</f>
        <v>294691.850039576</v>
      </c>
      <c r="U71" s="111" t="n">
        <f aca="false">SUM(U68:U70)</f>
        <v>316664.6313262</v>
      </c>
      <c r="V71" s="111" t="n">
        <f aca="false">SUM(V68:V70)</f>
        <v>337022.35224967</v>
      </c>
      <c r="W71" s="111" t="n">
        <f aca="false">SUM(W68:W70)</f>
        <v>355831.102419695</v>
      </c>
      <c r="X71" s="111" t="n">
        <f aca="false">SUM(X68:X70)</f>
        <v>373261.482896934</v>
      </c>
      <c r="Y71" s="111" t="n">
        <f aca="false">SUM(Y68:Y70)</f>
        <v>389400.215407084</v>
      </c>
      <c r="Z71" s="111" t="n">
        <f aca="false">SUM(Z68:Z70)</f>
        <v>517434.389333307</v>
      </c>
      <c r="AA71" s="111" t="n">
        <f aca="false">SUM(AA68:AA70)</f>
        <v>560922.864551517</v>
      </c>
      <c r="AB71" s="111" t="n">
        <f aca="false">SUM(AB68:AB70)</f>
        <v>601357.810108826</v>
      </c>
      <c r="AC71" s="111" t="n">
        <f aca="false">SUM(AC68:AC70)</f>
        <v>638901.127242402</v>
      </c>
      <c r="AD71" s="111" t="n">
        <f aca="false">SUM(AD68:AD70)</f>
        <v>673844.967225271</v>
      </c>
      <c r="AE71" s="111" t="n">
        <f aca="false">SUM(AE68:AE70)</f>
        <v>706219.087510059</v>
      </c>
      <c r="AF71" s="111" t="n">
        <f aca="false">SUM(AF68:AF70)</f>
        <v>736380.044133621</v>
      </c>
      <c r="AG71" s="111" t="n">
        <f aca="false">SUM(AG68:AG70)</f>
        <v>764378.186566562</v>
      </c>
      <c r="AH71" s="111" t="n">
        <f aca="false">SUM(AH68:AH70)</f>
        <v>790503.599802107</v>
      </c>
      <c r="AI71" s="111" t="n">
        <f aca="false">SUM(AI68:AI70)</f>
        <v>814674.824810381</v>
      </c>
      <c r="AJ71" s="111" t="n">
        <f aca="false">SUM(AJ68:AJ70)</f>
        <v>837202.981931937</v>
      </c>
      <c r="AK71" s="111" t="n">
        <f aca="false">SUM(AK68:AK70)</f>
        <v>858049.443415664</v>
      </c>
      <c r="AL71" s="111" t="n">
        <f aca="false">SUM(AL68:AL70)</f>
        <v>1112846.3378495</v>
      </c>
      <c r="AM71" s="111" t="n">
        <f aca="false">SUM(AM68:AM70)</f>
        <v>1183971.37797576</v>
      </c>
      <c r="AN71" s="111" t="n">
        <f aca="false">SUM(AN68:AN70)</f>
        <v>1250381.56050801</v>
      </c>
      <c r="AO71" s="111" t="n">
        <f aca="false">SUM(AO68:AO70)</f>
        <v>1312436.61204769</v>
      </c>
      <c r="AP71" s="111" t="n">
        <f aca="false">SUM(AP68:AP70)</f>
        <v>1370358.54527198</v>
      </c>
      <c r="AQ71" s="111" t="n">
        <f aca="false">SUM(AQ68:AQ70)</f>
        <v>1424390.81925134</v>
      </c>
      <c r="AR71" s="111" t="n">
        <f aca="false">SUM(AR68:AR70)</f>
        <v>1474867.22809399</v>
      </c>
      <c r="AS71" s="111" t="n">
        <f aca="false">SUM(AS68:AS70)</f>
        <v>1521915.26900874</v>
      </c>
      <c r="AT71" s="111" t="n">
        <f aca="false">SUM(AT68:AT70)</f>
        <v>1565912.56115915</v>
      </c>
      <c r="AU71" s="111" t="n">
        <f aca="false">SUM(AU68:AU70)</f>
        <v>1606984.79466908</v>
      </c>
      <c r="AV71" s="111" t="n">
        <f aca="false">SUM(AV68:AV70)</f>
        <v>1645325.54334522</v>
      </c>
      <c r="AW71" s="111" t="n">
        <f aca="false">SUM(AW68:AW70)</f>
        <v>1681058.92239767</v>
      </c>
      <c r="AX71" s="111" t="n">
        <f aca="false">SUM(AX68:AX70)</f>
        <v>2135251.44590653</v>
      </c>
      <c r="AY71" s="111" t="n">
        <f aca="false">SUM(AY68:AY70)</f>
        <v>2260993.77746488</v>
      </c>
      <c r="AZ71" s="111" t="n">
        <f aca="false">SUM(AZ68:AZ70)</f>
        <v>2378926.70914218</v>
      </c>
      <c r="BA71" s="111" t="n">
        <f aca="false">SUM(BA68:BA70)</f>
        <v>2489413.1913887</v>
      </c>
      <c r="BB71" s="111" t="n">
        <f aca="false">SUM(BB68:BB70)</f>
        <v>2593028.69340257</v>
      </c>
      <c r="BC71" s="111" t="n">
        <f aca="false">SUM(BC68:BC70)</f>
        <v>2690156.58074686</v>
      </c>
      <c r="BD71" s="111" t="n">
        <f aca="false">SUM(BD68:BD70)</f>
        <v>2781226.13384323</v>
      </c>
      <c r="BE71" s="111" t="n">
        <f aca="false">SUM(BE68:BE70)</f>
        <v>2866641.33945742</v>
      </c>
      <c r="BF71" s="111" t="n">
        <f aca="false">SUM(BF68:BF70)</f>
        <v>2946637.76681122</v>
      </c>
      <c r="BG71" s="111" t="n">
        <f aca="false">SUM(BG68:BG70)</f>
        <v>3021688.35391033</v>
      </c>
      <c r="BH71" s="111" t="n">
        <f aca="false">SUM(BH68:BH70)</f>
        <v>3092049.85925373</v>
      </c>
      <c r="BI71" s="111" t="n">
        <f aca="false">SUM(BI68:BI70)</f>
        <v>3158049.74298386</v>
      </c>
      <c r="BJ71" s="111" t="n">
        <f aca="false">SUM(B71:BI71)</f>
        <v>61315814.9412342</v>
      </c>
    </row>
    <row r="72" customFormat="false" ht="15" hidden="false" customHeight="false" outlineLevel="0" collapsed="false">
      <c r="A72" s="27" t="s">
        <v>579</v>
      </c>
      <c r="B72" s="110" t="n">
        <f aca="false">B71*12</f>
        <v>0</v>
      </c>
      <c r="C72" s="110" t="n">
        <f aca="false">SUM($B71:B71)/1*12</f>
        <v>0</v>
      </c>
      <c r="D72" s="110" t="n">
        <f aca="false">SUM($B71:C71)/2*12</f>
        <v>0</v>
      </c>
      <c r="E72" s="110" t="n">
        <f aca="false">SUM($B71:D71)/3*12</f>
        <v>0</v>
      </c>
      <c r="F72" s="110" t="n">
        <f aca="false">SUM($B71:E71)/4*12</f>
        <v>0</v>
      </c>
      <c r="G72" s="110" t="n">
        <f aca="false">SUM($B71:F71)/5*12</f>
        <v>0</v>
      </c>
      <c r="H72" s="110" t="n">
        <f aca="false">SUM($B71:G71)/6*12</f>
        <v>0</v>
      </c>
      <c r="I72" s="110" t="n">
        <f aca="false">SUM($B71:H71)/7*12</f>
        <v>0</v>
      </c>
      <c r="J72" s="110" t="n">
        <f aca="false">SUM($B71:I71)/8*12</f>
        <v>0</v>
      </c>
      <c r="K72" s="110" t="n">
        <f aca="false">SUM($B71:J71)/9*12</f>
        <v>0</v>
      </c>
      <c r="L72" s="110" t="n">
        <f aca="false">SUM($B71:K71)/10*12</f>
        <v>4901.88</v>
      </c>
      <c r="M72" s="110" t="n">
        <f aca="false">SUM($B71:L71)/11*12</f>
        <v>21454.9090909091</v>
      </c>
      <c r="N72" s="110" t="n">
        <f aca="false">SUM(B71:M71)</f>
        <v>53361.8</v>
      </c>
      <c r="O72" s="110" t="n">
        <f aca="false">SUM(C71:N71)</f>
        <v>134271.96497568</v>
      </c>
      <c r="P72" s="110" t="n">
        <f aca="false">SUM(D71:O71)</f>
        <v>264028.541435589</v>
      </c>
      <c r="Q72" s="110" t="n">
        <f aca="false">SUM(E71:P71)</f>
        <v>451250.999632113</v>
      </c>
      <c r="R72" s="110" t="n">
        <f aca="false">SUM(F71:Q71)</f>
        <v>668579.192374658</v>
      </c>
      <c r="S72" s="110" t="n">
        <f aca="false">SUM(G71:R71)</f>
        <v>913711.635703763</v>
      </c>
      <c r="T72" s="110" t="n">
        <f aca="false">SUM(H71:S71)</f>
        <v>1184560.81437372</v>
      </c>
      <c r="U72" s="110" t="n">
        <f aca="false">SUM(I71:T71)</f>
        <v>1479252.6644133</v>
      </c>
      <c r="V72" s="110" t="n">
        <f aca="false">SUM(J71:U71)</f>
        <v>1795917.2957395</v>
      </c>
      <c r="W72" s="110" t="n">
        <f aca="false">SUM(K71:V71)</f>
        <v>2132939.64798917</v>
      </c>
      <c r="X72" s="110" t="n">
        <f aca="false">SUM(L71:W71)</f>
        <v>2484685.85040886</v>
      </c>
      <c r="Y72" s="110" t="n">
        <f aca="false">SUM(M71:X71)</f>
        <v>2842365.23330579</v>
      </c>
      <c r="Z72" s="110" t="n">
        <f aca="false">SUM(N71:Y71)</f>
        <v>3198070.64871288</v>
      </c>
      <c r="AA72" s="110" t="n">
        <f aca="false">SUM(O71:Z71)</f>
        <v>3634594.87307051</v>
      </c>
      <c r="AB72" s="110" t="n">
        <f aca="false">SUM(P71:AA71)</f>
        <v>4065761.16116211</v>
      </c>
      <c r="AC72" s="110" t="n">
        <f aca="false">SUM(Q71:AB71)</f>
        <v>4479896.51307442</v>
      </c>
      <c r="AD72" s="110" t="n">
        <f aca="false">SUM(R71:AC71)</f>
        <v>4901469.44757427</v>
      </c>
      <c r="AE72" s="110" t="n">
        <f aca="false">SUM(S71:AD71)</f>
        <v>5330181.97147044</v>
      </c>
      <c r="AF72" s="110" t="n">
        <f aca="false">SUM(T71:AE71)</f>
        <v>5765551.88031054</v>
      </c>
      <c r="AG72" s="110" t="n">
        <f aca="false">SUM(U71:AF71)</f>
        <v>6207240.07440458</v>
      </c>
      <c r="AH72" s="110" t="n">
        <f aca="false">SUM(V71:AG71)</f>
        <v>6654953.62964495</v>
      </c>
      <c r="AI72" s="110" t="n">
        <f aca="false">SUM(W71:AH71)</f>
        <v>7108434.87719738</v>
      </c>
      <c r="AJ72" s="110" t="n">
        <f aca="false">SUM(X71:AI71)</f>
        <v>7567278.59958807</v>
      </c>
      <c r="AK72" s="110" t="n">
        <f aca="false">SUM(Y71:AJ71)</f>
        <v>8031220.09862307</v>
      </c>
      <c r="AL72" s="110" t="n">
        <f aca="false">SUM(Z71:AK71)</f>
        <v>8499869.32663165</v>
      </c>
      <c r="AM72" s="110" t="n">
        <f aca="false">SUM(AA71:AL71)</f>
        <v>9095281.27514785</v>
      </c>
      <c r="AN72" s="110" t="n">
        <f aca="false">SUM(AB71:AM71)</f>
        <v>9718329.78857209</v>
      </c>
      <c r="AO72" s="110" t="n">
        <f aca="false">SUM(AC71:AN71)</f>
        <v>10367353.5389713</v>
      </c>
      <c r="AP72" s="110" t="n">
        <f aca="false">SUM(AD71:AO71)</f>
        <v>11040889.0237766</v>
      </c>
      <c r="AQ72" s="110" t="n">
        <f aca="false">SUM(AE71:AP71)</f>
        <v>11737402.6018233</v>
      </c>
      <c r="AR72" s="110" t="n">
        <f aca="false">SUM(AF71:AQ71)</f>
        <v>12455574.3335646</v>
      </c>
      <c r="AS72" s="110" t="n">
        <f aca="false">SUM(AG71:AR71)</f>
        <v>13194061.5175249</v>
      </c>
      <c r="AT72" s="110" t="n">
        <f aca="false">SUM(AH71:AS71)</f>
        <v>13951598.5999671</v>
      </c>
      <c r="AU72" s="110" t="n">
        <f aca="false">SUM(AI71:AT71)</f>
        <v>14727007.5613242</v>
      </c>
      <c r="AV72" s="110" t="n">
        <f aca="false">SUM(AJ71:AU71)</f>
        <v>15519317.5311829</v>
      </c>
      <c r="AW72" s="110" t="n">
        <f aca="false">SUM(AK71:AV71)</f>
        <v>16327440.0925961</v>
      </c>
      <c r="AX72" s="110" t="n">
        <f aca="false">SUM(AL71:AW71)</f>
        <v>17150449.5715781</v>
      </c>
      <c r="AY72" s="110" t="n">
        <f aca="false">SUM(AM71:AX71)</f>
        <v>18172854.6796352</v>
      </c>
      <c r="AZ72" s="110" t="n">
        <f aca="false">SUM(AN71:AY71)</f>
        <v>19249877.0791243</v>
      </c>
      <c r="BA72" s="110" t="n">
        <f aca="false">SUM(AO71:AZ71)</f>
        <v>20378422.2277585</v>
      </c>
      <c r="BB72" s="110" t="n">
        <f aca="false">SUM(AP71:BA71)</f>
        <v>21555398.8070995</v>
      </c>
      <c r="BC72" s="110" t="n">
        <f aca="false">SUM(AQ71:BB71)</f>
        <v>22778068.9552301</v>
      </c>
      <c r="BD72" s="110" t="n">
        <f aca="false">SUM(AR71:BC71)</f>
        <v>24043834.7167256</v>
      </c>
      <c r="BE72" s="110" t="n">
        <f aca="false">SUM(AS71:BD71)</f>
        <v>25350193.6224748</v>
      </c>
      <c r="BF72" s="110" t="n">
        <f aca="false">SUM(AT71:BE71)</f>
        <v>26694919.6929235</v>
      </c>
      <c r="BG72" s="110" t="n">
        <f aca="false">SUM(AU71:BF71)</f>
        <v>28075644.8985756</v>
      </c>
      <c r="BH72" s="110" t="n">
        <f aca="false">SUM(AV71:BG71)</f>
        <v>29490348.4578168</v>
      </c>
      <c r="BI72" s="110" t="n">
        <f aca="false">SUM(AW71:BH71)</f>
        <v>30937072.7737253</v>
      </c>
      <c r="BJ72" s="111" t="n">
        <f aca="false">BI72</f>
        <v>30937072.7737253</v>
      </c>
      <c r="BK72" s="29" t="s">
        <v>571</v>
      </c>
    </row>
    <row r="73" customFormat="false" ht="15" hidden="false" customHeight="false" outlineLevel="0" collapsed="false">
      <c r="A73" s="27" t="s">
        <v>527</v>
      </c>
      <c r="B73" s="168" t="n">
        <f aca="false">IF(Premissas!$B$23=3,Premissas!$B$24,IF(B72&gt;Premissas!$B$25,Premissas!$B$24,IFERROR(MAX(Tributos!$C$24,(INDEX(Tributos!$C$24:$C$29,MATCH(B72,Tributos!$B$24:$B$29,1))*B72-INDEX(Tributos!$D$24:$D$29,MATCH(B72,Tributos!$B$24:$B$29,1)))/B72),Tributos!$C$24)))</f>
        <v>0.155</v>
      </c>
      <c r="C73" s="168" t="n">
        <f aca="false">IF(Premissas!$B$23=3,Premissas!$B$24,IF(C72&gt;Premissas!$B$25,Premissas!$B$24,IFERROR(MAX(Tributos!$C$24,(INDEX(Tributos!$C$24:$C$29,MATCH(C72,Tributos!$B$24:$B$29,1))*C72-INDEX(Tributos!$D$24:$D$29,MATCH(C72,Tributos!$B$24:$B$29,1)))/C72),Tributos!$C$24)))</f>
        <v>0.155</v>
      </c>
      <c r="D73" s="168" t="n">
        <f aca="false">IF(Premissas!$B$23=3,Premissas!$B$24,IF(D72&gt;Premissas!$B$25,Premissas!$B$24,IFERROR(MAX(Tributos!$C$24,(INDEX(Tributos!$C$24:$C$29,MATCH(D72,Tributos!$B$24:$B$29,1))*D72-INDEX(Tributos!$D$24:$D$29,MATCH(D72,Tributos!$B$24:$B$29,1)))/D72),Tributos!$C$24)))</f>
        <v>0.155</v>
      </c>
      <c r="E73" s="168" t="n">
        <f aca="false">IF(Premissas!$B$23=3,Premissas!$B$24,IF(E72&gt;Premissas!$B$25,Premissas!$B$24,IFERROR(MAX(Tributos!$C$24,(INDEX(Tributos!$C$24:$C$29,MATCH(E72,Tributos!$B$24:$B$29,1))*E72-INDEX(Tributos!$D$24:$D$29,MATCH(E72,Tributos!$B$24:$B$29,1)))/E72),Tributos!$C$24)))</f>
        <v>0.155</v>
      </c>
      <c r="F73" s="168" t="n">
        <f aca="false">IF(Premissas!$B$23=3,Premissas!$B$24,IF(F72&gt;Premissas!$B$25,Premissas!$B$24,IFERROR(MAX(Tributos!$C$24,(INDEX(Tributos!$C$24:$C$29,MATCH(F72,Tributos!$B$24:$B$29,1))*F72-INDEX(Tributos!$D$24:$D$29,MATCH(F72,Tributos!$B$24:$B$29,1)))/F72),Tributos!$C$24)))</f>
        <v>0.155</v>
      </c>
      <c r="G73" s="168" t="n">
        <f aca="false">IF(Premissas!$B$23=3,Premissas!$B$24,IF(G72&gt;Premissas!$B$25,Premissas!$B$24,IFERROR(MAX(Tributos!$C$24,(INDEX(Tributos!$C$24:$C$29,MATCH(G72,Tributos!$B$24:$B$29,1))*G72-INDEX(Tributos!$D$24:$D$29,MATCH(G72,Tributos!$B$24:$B$29,1)))/G72),Tributos!$C$24)))</f>
        <v>0.155</v>
      </c>
      <c r="H73" s="168" t="n">
        <f aca="false">IF(Premissas!$B$23=3,Premissas!$B$24,IF(H72&gt;Premissas!$B$25,Premissas!$B$24,IFERROR(MAX(Tributos!$C$24,(INDEX(Tributos!$C$24:$C$29,MATCH(H72,Tributos!$B$24:$B$29,1))*H72-INDEX(Tributos!$D$24:$D$29,MATCH(H72,Tributos!$B$24:$B$29,1)))/H72),Tributos!$C$24)))</f>
        <v>0.155</v>
      </c>
      <c r="I73" s="168" t="n">
        <f aca="false">IF(Premissas!$B$23=3,Premissas!$B$24,IF(I72&gt;Premissas!$B$25,Premissas!$B$24,IFERROR(MAX(Tributos!$C$24,(INDEX(Tributos!$C$24:$C$29,MATCH(I72,Tributos!$B$24:$B$29,1))*I72-INDEX(Tributos!$D$24:$D$29,MATCH(I72,Tributos!$B$24:$B$29,1)))/I72),Tributos!$C$24)))</f>
        <v>0.155</v>
      </c>
      <c r="J73" s="168" t="n">
        <f aca="false">IF(Premissas!$B$23=3,Premissas!$B$24,IF(J72&gt;Premissas!$B$25,Premissas!$B$24,IFERROR(MAX(Tributos!$C$24,(INDEX(Tributos!$C$24:$C$29,MATCH(J72,Tributos!$B$24:$B$29,1))*J72-INDEX(Tributos!$D$24:$D$29,MATCH(J72,Tributos!$B$24:$B$29,1)))/J72),Tributos!$C$24)))</f>
        <v>0.155</v>
      </c>
      <c r="K73" s="168" t="n">
        <f aca="false">IF(Premissas!$B$23=3,Premissas!$B$24,IF(K72&gt;Premissas!$B$25,Premissas!$B$24,IFERROR(MAX(Tributos!$C$24,(INDEX(Tributos!$C$24:$C$29,MATCH(K72,Tributos!$B$24:$B$29,1))*K72-INDEX(Tributos!$D$24:$D$29,MATCH(K72,Tributos!$B$24:$B$29,1)))/K72),Tributos!$C$24)))</f>
        <v>0.155</v>
      </c>
      <c r="L73" s="168" t="n">
        <f aca="false">IF(Premissas!$B$23=3,Premissas!$B$24,IF(L72&gt;Premissas!$B$25,Premissas!$B$24,IFERROR(MAX(Tributos!$C$24,(INDEX(Tributos!$C$24:$C$29,MATCH(L72,Tributos!$B$24:$B$29,1))*L72-INDEX(Tributos!$D$24:$D$29,MATCH(L72,Tributos!$B$24:$B$29,1)))/L72),Tributos!$C$24)))</f>
        <v>0.155</v>
      </c>
      <c r="M73" s="168" t="n">
        <f aca="false">IF(Premissas!$B$23=3,Premissas!$B$24,IF(M72&gt;Premissas!$B$25,Premissas!$B$24,IFERROR(MAX(Tributos!$C$24,(INDEX(Tributos!$C$24:$C$29,MATCH(M72,Tributos!$B$24:$B$29,1))*M72-INDEX(Tributos!$D$24:$D$29,MATCH(M72,Tributos!$B$24:$B$29,1)))/M72),Tributos!$C$24)))</f>
        <v>0.155</v>
      </c>
      <c r="N73" s="168" t="n">
        <f aca="false">IF(Premissas!$B$23=3,Premissas!$B$24,IF(N72&gt;Premissas!$B$25,Premissas!$B$24,IFERROR(MAX(Tributos!$C$24,(INDEX(Tributos!$C$24:$C$29,MATCH(N72,Tributos!$B$24:$B$29,1))*N72-INDEX(Tributos!$D$24:$D$29,MATCH(N72,Tributos!$B$24:$B$29,1)))/N72),Tributos!$C$24)))</f>
        <v>0.155</v>
      </c>
      <c r="O73" s="168" t="n">
        <f aca="false">IF(Premissas!$B$23=3,Premissas!$B$24,IF(O72&gt;Premissas!$B$25,Premissas!$B$24,IFERROR(MAX(Tributos!$C$24,(INDEX(Tributos!$C$24:$C$29,MATCH(O72,Tributos!$B$24:$B$29,1))*O72-INDEX(Tributos!$D$24:$D$29,MATCH(O72,Tributos!$B$24:$B$29,1)))/O72),Tributos!$C$24)))</f>
        <v>0.155</v>
      </c>
      <c r="P73" s="168" t="n">
        <f aca="false">IF(Premissas!$B$23=3,Premissas!$B$24,IF(P72&gt;Premissas!$B$25,Premissas!$B$24,IFERROR(MAX(Tributos!$C$24,(INDEX(Tributos!$C$24:$C$29,MATCH(P72,Tributos!$B$24:$B$29,1))*P72-INDEX(Tributos!$D$24:$D$29,MATCH(P72,Tributos!$B$24:$B$29,1)))/P72),Tributos!$C$24)))</f>
        <v>0.162956388064971</v>
      </c>
      <c r="Q73" s="168" t="n">
        <f aca="false">IF(Premissas!$B$23=3,Premissas!$B$24,IF(Q72&gt;Premissas!$B$25,Premissas!$B$24,IFERROR(MAX(Tributos!$C$24,(INDEX(Tributos!$C$24:$C$29,MATCH(Q72,Tributos!$B$24:$B$29,1))*Q72-INDEX(Tributos!$D$24:$D$29,MATCH(Q72,Tributos!$B$24:$B$29,1)))/Q72),Tributos!$C$24)))</f>
        <v>0.173060990428673</v>
      </c>
      <c r="R73" s="168" t="n">
        <f aca="false">IF(Premissas!$B$23=3,Premissas!$B$24,IF(R72&gt;Premissas!$B$25,Premissas!$B$24,IFERROR(MAX(Tributos!$C$24,(INDEX(Tributos!$C$24:$C$29,MATCH(R72,Tributos!$B$24:$B$29,1))*R72-INDEX(Tributos!$D$24:$D$29,MATCH(R72,Tributos!$B$24:$B$29,1)))/R72),Tributos!$C$24)))</f>
        <v>0.180192479645026</v>
      </c>
      <c r="S73" s="168" t="n">
        <f aca="false">IF(Premissas!$B$23=3,Premissas!$B$24,IF(S72&gt;Premissas!$B$25,Premissas!$B$24,IFERROR(MAX(Tributos!$C$24,(INDEX(Tributos!$C$24:$C$29,MATCH(S72,Tributos!$B$24:$B$29,1))*S72-INDEX(Tributos!$D$24:$D$29,MATCH(S72,Tributos!$B$24:$B$29,1)))/S72),Tributos!$C$24)))</f>
        <v>0.18628512395836</v>
      </c>
      <c r="T73" s="168" t="n">
        <f aca="false">IF(Premissas!$B$23=3,Premissas!$B$24,IF(T72&gt;Premissas!$B$25,Premissas!$B$24,IFERROR(MAX(Tributos!$C$24,(INDEX(Tributos!$C$24:$C$29,MATCH(T72,Tributos!$B$24:$B$29,1))*T72-INDEX(Tributos!$D$24:$D$29,MATCH(T72,Tributos!$B$24:$B$29,1)))/T72),Tributos!$C$24)))</f>
        <v>0.190564270071655</v>
      </c>
      <c r="U73" s="168" t="n">
        <f aca="false">IF(Premissas!$B$23=3,Premissas!$B$24,IF(U72&gt;Premissas!$B$25,Premissas!$B$24,IFERROR(MAX(Tributos!$C$24,(INDEX(Tributos!$C$24:$C$29,MATCH(U72,Tributos!$B$24:$B$29,1))*U72-INDEX(Tributos!$D$24:$D$29,MATCH(U72,Tributos!$B$24:$B$29,1)))/U72),Tributos!$C$24)))</f>
        <v>0.193440108703957</v>
      </c>
      <c r="V73" s="168" t="n">
        <f aca="false">IF(Premissas!$B$23=3,Premissas!$B$24,IF(V72&gt;Premissas!$B$25,Premissas!$B$24,IFERROR(MAX(Tributos!$C$24,(INDEX(Tributos!$C$24:$C$29,MATCH(V72,Tributos!$B$24:$B$29,1))*V72-INDEX(Tributos!$D$24:$D$29,MATCH(V72,Tributos!$B$24:$B$29,1)))/V72),Tributos!$C$24)))</f>
        <v>0.195478403409463</v>
      </c>
      <c r="W73" s="168" t="n">
        <f aca="false">IF(Premissas!$B$23=3,Premissas!$B$24,IF(W72&gt;Premissas!$B$25,Premissas!$B$24,IFERROR(MAX(Tributos!$C$24,(INDEX(Tributos!$C$24:$C$29,MATCH(W72,Tributos!$B$24:$B$29,1))*W72-INDEX(Tributos!$D$24:$D$29,MATCH(W72,Tributos!$B$24:$B$29,1)))/W72),Tributos!$C$24)))</f>
        <v>0.200885252164287</v>
      </c>
      <c r="X73" s="168" t="n">
        <f aca="false">IF(Premissas!$B$23=3,Premissas!$B$24,IF(X72&gt;Premissas!$B$25,Premissas!$B$24,IFERROR(MAX(Tributos!$C$24,(INDEX(Tributos!$C$24:$C$29,MATCH(X72,Tributos!$B$24:$B$29,1))*X72-INDEX(Tributos!$D$24:$D$29,MATCH(X72,Tributos!$B$24:$B$29,1)))/X72),Tributos!$C$24)))</f>
        <v>0.205006900775894</v>
      </c>
      <c r="Y73" s="168" t="n">
        <f aca="false">IF(Premissas!$B$23=3,Premissas!$B$24,IF(Y72&gt;Premissas!$B$25,Premissas!$B$24,IFERROR(MAX(Tributos!$C$24,(INDEX(Tributos!$C$24:$C$29,MATCH(Y72,Tributos!$B$24:$B$29,1))*Y72-INDEX(Tributos!$D$24:$D$29,MATCH(Y72,Tributos!$B$24:$B$29,1)))/Y72),Tributos!$C$24)))</f>
        <v>0.208151998458068</v>
      </c>
      <c r="Z73" s="168" t="n">
        <f aca="false">IF(Premissas!$B$23=3,Premissas!$B$24,IF(Z72&gt;Premissas!$B$25,Premissas!$B$24,IFERROR(MAX(Tributos!$C$24,(INDEX(Tributos!$C$24:$C$29,MATCH(Z72,Tributos!$B$24:$B$29,1))*Z72-INDEX(Tributos!$D$24:$D$29,MATCH(Z72,Tributos!$B$24:$B$29,1)))/Z72),Tributos!$C$24)))</f>
        <v>0.210582042480834</v>
      </c>
      <c r="AA73" s="168" t="n">
        <f aca="false">IF(Premissas!$B$23=3,Premissas!$B$24,IF(AA72&gt;Premissas!$B$25,Premissas!$B$24,IFERROR(MAX(Tributos!$C$24,(INDEX(Tributos!$C$24:$C$29,MATCH(AA72,Tributos!$B$24:$B$29,1))*AA72-INDEX(Tributos!$D$24:$D$29,MATCH(AA72,Tributos!$B$24:$B$29,1)))/AA72),Tributos!$C$24)))</f>
        <v>0.156427732977621</v>
      </c>
      <c r="AB73" s="168" t="n">
        <f aca="false">IF(Premissas!$B$23=3,Premissas!$B$24,IF(AB72&gt;Premissas!$B$25,Premissas!$B$24,IFERROR(MAX(Tributos!$C$24,(INDEX(Tributos!$C$24:$C$29,MATCH(AB72,Tributos!$B$24:$B$29,1))*AB72-INDEX(Tributos!$D$24:$D$29,MATCH(AB72,Tributos!$B$24:$B$29,1)))/AB72),Tributos!$C$24)))</f>
        <v>0.172183541139034</v>
      </c>
      <c r="AC73" s="168" t="n">
        <f aca="false">IF(Premissas!$B$23=3,Premissas!$B$24,IF(AC72&gt;Premissas!$B$25,Premissas!$B$24,IFERROR(MAX(Tributos!$C$24,(INDEX(Tributos!$C$24:$C$29,MATCH(AC72,Tributos!$B$24:$B$29,1))*AC72-INDEX(Tributos!$D$24:$D$29,MATCH(AC72,Tributos!$B$24:$B$29,1)))/AC72),Tributos!$C$24)))</f>
        <v>0.184461501303874</v>
      </c>
      <c r="AD73" s="168" t="n">
        <f aca="false">IF(Premissas!$B$23=3,Premissas!$B$24,IF(AD72&gt;Premissas!$B$25,Premissas!$B$24,IFERROR(MAX(Tributos!$C$24,(INDEX(Tributos!$C$24:$C$29,MATCH(AD72,Tributos!$B$24:$B$29,1))*AD72-INDEX(Tributos!$D$24:$D$29,MATCH(AD72,Tributos!$B$24:$B$29,1)))/AD72),Tributos!$C$24)))</f>
        <v>0.1633</v>
      </c>
      <c r="AE73" s="168" t="n">
        <f aca="false">IF(Premissas!$B$23=3,Premissas!$B$24,IF(AE72&gt;Premissas!$B$25,Premissas!$B$24,IFERROR(MAX(Tributos!$C$24,(INDEX(Tributos!$C$24:$C$29,MATCH(AE72,Tributos!$B$24:$B$29,1))*AE72-INDEX(Tributos!$D$24:$D$29,MATCH(AE72,Tributos!$B$24:$B$29,1)))/AE72),Tributos!$C$24)))</f>
        <v>0.1633</v>
      </c>
      <c r="AF73" s="168" t="n">
        <f aca="false">IF(Premissas!$B$23=3,Premissas!$B$24,IF(AF72&gt;Premissas!$B$25,Premissas!$B$24,IFERROR(MAX(Tributos!$C$24,(INDEX(Tributos!$C$24:$C$29,MATCH(AF72,Tributos!$B$24:$B$29,1))*AF72-INDEX(Tributos!$D$24:$D$29,MATCH(AF72,Tributos!$B$24:$B$29,1)))/AF72),Tributos!$C$24)))</f>
        <v>0.1633</v>
      </c>
      <c r="AG73" s="168" t="n">
        <f aca="false">IF(Premissas!$B$23=3,Premissas!$B$24,IF(AG72&gt;Premissas!$B$25,Premissas!$B$24,IFERROR(MAX(Tributos!$C$24,(INDEX(Tributos!$C$24:$C$29,MATCH(AG72,Tributos!$B$24:$B$29,1))*AG72-INDEX(Tributos!$D$24:$D$29,MATCH(AG72,Tributos!$B$24:$B$29,1)))/AG72),Tributos!$C$24)))</f>
        <v>0.1633</v>
      </c>
      <c r="AH73" s="168" t="n">
        <f aca="false">IF(Premissas!$B$23=3,Premissas!$B$24,IF(AH72&gt;Premissas!$B$25,Premissas!$B$24,IFERROR(MAX(Tributos!$C$24,(INDEX(Tributos!$C$24:$C$29,MATCH(AH72,Tributos!$B$24:$B$29,1))*AH72-INDEX(Tributos!$D$24:$D$29,MATCH(AH72,Tributos!$B$24:$B$29,1)))/AH72),Tributos!$C$24)))</f>
        <v>0.1633</v>
      </c>
      <c r="AI73" s="168" t="n">
        <f aca="false">IF(Premissas!$B$23=3,Premissas!$B$24,IF(AI72&gt;Premissas!$B$25,Premissas!$B$24,IFERROR(MAX(Tributos!$C$24,(INDEX(Tributos!$C$24:$C$29,MATCH(AI72,Tributos!$B$24:$B$29,1))*AI72-INDEX(Tributos!$D$24:$D$29,MATCH(AI72,Tributos!$B$24:$B$29,1)))/AI72),Tributos!$C$24)))</f>
        <v>0.1633</v>
      </c>
      <c r="AJ73" s="168" t="n">
        <f aca="false">IF(Premissas!$B$23=3,Premissas!$B$24,IF(AJ72&gt;Premissas!$B$25,Premissas!$B$24,IFERROR(MAX(Tributos!$C$24,(INDEX(Tributos!$C$24:$C$29,MATCH(AJ72,Tributos!$B$24:$B$29,1))*AJ72-INDEX(Tributos!$D$24:$D$29,MATCH(AJ72,Tributos!$B$24:$B$29,1)))/AJ72),Tributos!$C$24)))</f>
        <v>0.1633</v>
      </c>
      <c r="AK73" s="168" t="n">
        <f aca="false">IF(Premissas!$B$23=3,Premissas!$B$24,IF(AK72&gt;Premissas!$B$25,Premissas!$B$24,IFERROR(MAX(Tributos!$C$24,(INDEX(Tributos!$C$24:$C$29,MATCH(AK72,Tributos!$B$24:$B$29,1))*AK72-INDEX(Tributos!$D$24:$D$29,MATCH(AK72,Tributos!$B$24:$B$29,1)))/AK72),Tributos!$C$24)))</f>
        <v>0.1633</v>
      </c>
      <c r="AL73" s="168" t="n">
        <f aca="false">IF(Premissas!$B$23=3,Premissas!$B$24,IF(AL72&gt;Premissas!$B$25,Premissas!$B$24,IFERROR(MAX(Tributos!$C$24,(INDEX(Tributos!$C$24:$C$29,MATCH(AL72,Tributos!$B$24:$B$29,1))*AL72-INDEX(Tributos!$D$24:$D$29,MATCH(AL72,Tributos!$B$24:$B$29,1)))/AL72),Tributos!$C$24)))</f>
        <v>0.1633</v>
      </c>
      <c r="AM73" s="168" t="n">
        <f aca="false">IF(Premissas!$B$23=3,Premissas!$B$24,IF(AM72&gt;Premissas!$B$25,Premissas!$B$24,IFERROR(MAX(Tributos!$C$24,(INDEX(Tributos!$C$24:$C$29,MATCH(AM72,Tributos!$B$24:$B$29,1))*AM72-INDEX(Tributos!$D$24:$D$29,MATCH(AM72,Tributos!$B$24:$B$29,1)))/AM72),Tributos!$C$24)))</f>
        <v>0.1633</v>
      </c>
      <c r="AN73" s="168" t="n">
        <f aca="false">IF(Premissas!$B$23=3,Premissas!$B$24,IF(AN72&gt;Premissas!$B$25,Premissas!$B$24,IFERROR(MAX(Tributos!$C$24,(INDEX(Tributos!$C$24:$C$29,MATCH(AN72,Tributos!$B$24:$B$29,1))*AN72-INDEX(Tributos!$D$24:$D$29,MATCH(AN72,Tributos!$B$24:$B$29,1)))/AN72),Tributos!$C$24)))</f>
        <v>0.1633</v>
      </c>
      <c r="AO73" s="168" t="n">
        <f aca="false">IF(Premissas!$B$23=3,Premissas!$B$24,IF(AO72&gt;Premissas!$B$25,Premissas!$B$24,IFERROR(MAX(Tributos!$C$24,(INDEX(Tributos!$C$24:$C$29,MATCH(AO72,Tributos!$B$24:$B$29,1))*AO72-INDEX(Tributos!$D$24:$D$29,MATCH(AO72,Tributos!$B$24:$B$29,1)))/AO72),Tributos!$C$24)))</f>
        <v>0.1633</v>
      </c>
      <c r="AP73" s="168" t="n">
        <f aca="false">IF(Premissas!$B$23=3,Premissas!$B$24,IF(AP72&gt;Premissas!$B$25,Premissas!$B$24,IFERROR(MAX(Tributos!$C$24,(INDEX(Tributos!$C$24:$C$29,MATCH(AP72,Tributos!$B$24:$B$29,1))*AP72-INDEX(Tributos!$D$24:$D$29,MATCH(AP72,Tributos!$B$24:$B$29,1)))/AP72),Tributos!$C$24)))</f>
        <v>0.1633</v>
      </c>
      <c r="AQ73" s="168" t="n">
        <f aca="false">IF(Premissas!$B$23=3,Premissas!$B$24,IF(AQ72&gt;Premissas!$B$25,Premissas!$B$24,IFERROR(MAX(Tributos!$C$24,(INDEX(Tributos!$C$24:$C$29,MATCH(AQ72,Tributos!$B$24:$B$29,1))*AQ72-INDEX(Tributos!$D$24:$D$29,MATCH(AQ72,Tributos!$B$24:$B$29,1)))/AQ72),Tributos!$C$24)))</f>
        <v>0.1633</v>
      </c>
      <c r="AR73" s="168" t="n">
        <f aca="false">IF(Premissas!$B$23=3,Premissas!$B$24,IF(AR72&gt;Premissas!$B$25,Premissas!$B$24,IFERROR(MAX(Tributos!$C$24,(INDEX(Tributos!$C$24:$C$29,MATCH(AR72,Tributos!$B$24:$B$29,1))*AR72-INDEX(Tributos!$D$24:$D$29,MATCH(AR72,Tributos!$B$24:$B$29,1)))/AR72),Tributos!$C$24)))</f>
        <v>0.1633</v>
      </c>
      <c r="AS73" s="168" t="n">
        <f aca="false">IF(Premissas!$B$23=3,Premissas!$B$24,IF(AS72&gt;Premissas!$B$25,Premissas!$B$24,IFERROR(MAX(Tributos!$C$24,(INDEX(Tributos!$C$24:$C$29,MATCH(AS72,Tributos!$B$24:$B$29,1))*AS72-INDEX(Tributos!$D$24:$D$29,MATCH(AS72,Tributos!$B$24:$B$29,1)))/AS72),Tributos!$C$24)))</f>
        <v>0.1633</v>
      </c>
      <c r="AT73" s="168" t="n">
        <f aca="false">IF(Premissas!$B$23=3,Premissas!$B$24,IF(AT72&gt;Premissas!$B$25,Premissas!$B$24,IFERROR(MAX(Tributos!$C$24,(INDEX(Tributos!$C$24:$C$29,MATCH(AT72,Tributos!$B$24:$B$29,1))*AT72-INDEX(Tributos!$D$24:$D$29,MATCH(AT72,Tributos!$B$24:$B$29,1)))/AT72),Tributos!$C$24)))</f>
        <v>0.1633</v>
      </c>
      <c r="AU73" s="168" t="n">
        <f aca="false">IF(Premissas!$B$23=3,Premissas!$B$24,IF(AU72&gt;Premissas!$B$25,Premissas!$B$24,IFERROR(MAX(Tributos!$C$24,(INDEX(Tributos!$C$24:$C$29,MATCH(AU72,Tributos!$B$24:$B$29,1))*AU72-INDEX(Tributos!$D$24:$D$29,MATCH(AU72,Tributos!$B$24:$B$29,1)))/AU72),Tributos!$C$24)))</f>
        <v>0.1633</v>
      </c>
      <c r="AV73" s="168" t="n">
        <f aca="false">IF(Premissas!$B$23=3,Premissas!$B$24,IF(AV72&gt;Premissas!$B$25,Premissas!$B$24,IFERROR(MAX(Tributos!$C$24,(INDEX(Tributos!$C$24:$C$29,MATCH(AV72,Tributos!$B$24:$B$29,1))*AV72-INDEX(Tributos!$D$24:$D$29,MATCH(AV72,Tributos!$B$24:$B$29,1)))/AV72),Tributos!$C$24)))</f>
        <v>0.1633</v>
      </c>
      <c r="AW73" s="168" t="n">
        <f aca="false">IF(Premissas!$B$23=3,Premissas!$B$24,IF(AW72&gt;Premissas!$B$25,Premissas!$B$24,IFERROR(MAX(Tributos!$C$24,(INDEX(Tributos!$C$24:$C$29,MATCH(AW72,Tributos!$B$24:$B$29,1))*AW72-INDEX(Tributos!$D$24:$D$29,MATCH(AW72,Tributos!$B$24:$B$29,1)))/AW72),Tributos!$C$24)))</f>
        <v>0.1633</v>
      </c>
      <c r="AX73" s="168" t="n">
        <f aca="false">IF(Premissas!$B$23=3,Premissas!$B$24,IF(AX72&gt;Premissas!$B$25,Premissas!$B$24,IFERROR(MAX(Tributos!$C$24,(INDEX(Tributos!$C$24:$C$29,MATCH(AX72,Tributos!$B$24:$B$29,1))*AX72-INDEX(Tributos!$D$24:$D$29,MATCH(AX72,Tributos!$B$24:$B$29,1)))/AX72),Tributos!$C$24)))</f>
        <v>0.1633</v>
      </c>
      <c r="AY73" s="168" t="n">
        <f aca="false">IF(Premissas!$B$23=3,Premissas!$B$24,IF(AY72&gt;Premissas!$B$25,Premissas!$B$24,IFERROR(MAX(Tributos!$C$24,(INDEX(Tributos!$C$24:$C$29,MATCH(AY72,Tributos!$B$24:$B$29,1))*AY72-INDEX(Tributos!$D$24:$D$29,MATCH(AY72,Tributos!$B$24:$B$29,1)))/AY72),Tributos!$C$24)))</f>
        <v>0.1633</v>
      </c>
      <c r="AZ73" s="168" t="n">
        <f aca="false">IF(Premissas!$B$23=3,Premissas!$B$24,IF(AZ72&gt;Premissas!$B$25,Premissas!$B$24,IFERROR(MAX(Tributos!$C$24,(INDEX(Tributos!$C$24:$C$29,MATCH(AZ72,Tributos!$B$24:$B$29,1))*AZ72-INDEX(Tributos!$D$24:$D$29,MATCH(AZ72,Tributos!$B$24:$B$29,1)))/AZ72),Tributos!$C$24)))</f>
        <v>0.1633</v>
      </c>
      <c r="BA73" s="168" t="n">
        <f aca="false">IF(Premissas!$B$23=3,Premissas!$B$24,IF(BA72&gt;Premissas!$B$25,Premissas!$B$24,IFERROR(MAX(Tributos!$C$24,(INDEX(Tributos!$C$24:$C$29,MATCH(BA72,Tributos!$B$24:$B$29,1))*BA72-INDEX(Tributos!$D$24:$D$29,MATCH(BA72,Tributos!$B$24:$B$29,1)))/BA72),Tributos!$C$24)))</f>
        <v>0.1633</v>
      </c>
      <c r="BB73" s="168" t="n">
        <f aca="false">IF(Premissas!$B$23=3,Premissas!$B$24,IF(BB72&gt;Premissas!$B$25,Premissas!$B$24,IFERROR(MAX(Tributos!$C$24,(INDEX(Tributos!$C$24:$C$29,MATCH(BB72,Tributos!$B$24:$B$29,1))*BB72-INDEX(Tributos!$D$24:$D$29,MATCH(BB72,Tributos!$B$24:$B$29,1)))/BB72),Tributos!$C$24)))</f>
        <v>0.1633</v>
      </c>
      <c r="BC73" s="168" t="n">
        <f aca="false">IF(Premissas!$B$23=3,Premissas!$B$24,IF(BC72&gt;Premissas!$B$25,Premissas!$B$24,IFERROR(MAX(Tributos!$C$24,(INDEX(Tributos!$C$24:$C$29,MATCH(BC72,Tributos!$B$24:$B$29,1))*BC72-INDEX(Tributos!$D$24:$D$29,MATCH(BC72,Tributos!$B$24:$B$29,1)))/BC72),Tributos!$C$24)))</f>
        <v>0.1633</v>
      </c>
      <c r="BD73" s="168" t="n">
        <f aca="false">IF(Premissas!$B$23=3,Premissas!$B$24,IF(BD72&gt;Premissas!$B$25,Premissas!$B$24,IFERROR(MAX(Tributos!$C$24,(INDEX(Tributos!$C$24:$C$29,MATCH(BD72,Tributos!$B$24:$B$29,1))*BD72-INDEX(Tributos!$D$24:$D$29,MATCH(BD72,Tributos!$B$24:$B$29,1)))/BD72),Tributos!$C$24)))</f>
        <v>0.1633</v>
      </c>
      <c r="BE73" s="168" t="n">
        <f aca="false">IF(Premissas!$B$23=3,Premissas!$B$24,IF(BE72&gt;Premissas!$B$25,Premissas!$B$24,IFERROR(MAX(Tributos!$C$24,(INDEX(Tributos!$C$24:$C$29,MATCH(BE72,Tributos!$B$24:$B$29,1))*BE72-INDEX(Tributos!$D$24:$D$29,MATCH(BE72,Tributos!$B$24:$B$29,1)))/BE72),Tributos!$C$24)))</f>
        <v>0.1633</v>
      </c>
      <c r="BF73" s="168" t="n">
        <f aca="false">IF(Premissas!$B$23=3,Premissas!$B$24,IF(BF72&gt;Premissas!$B$25,Premissas!$B$24,IFERROR(MAX(Tributos!$C$24,(INDEX(Tributos!$C$24:$C$29,MATCH(BF72,Tributos!$B$24:$B$29,1))*BF72-INDEX(Tributos!$D$24:$D$29,MATCH(BF72,Tributos!$B$24:$B$29,1)))/BF72),Tributos!$C$24)))</f>
        <v>0.1633</v>
      </c>
      <c r="BG73" s="168" t="n">
        <f aca="false">IF(Premissas!$B$23=3,Premissas!$B$24,IF(BG72&gt;Premissas!$B$25,Premissas!$B$24,IFERROR(MAX(Tributos!$C$24,(INDEX(Tributos!$C$24:$C$29,MATCH(BG72,Tributos!$B$24:$B$29,1))*BG72-INDEX(Tributos!$D$24:$D$29,MATCH(BG72,Tributos!$B$24:$B$29,1)))/BG72),Tributos!$C$24)))</f>
        <v>0.1633</v>
      </c>
      <c r="BH73" s="168" t="n">
        <f aca="false">IF(Premissas!$B$23=3,Premissas!$B$24,IF(BH72&gt;Premissas!$B$25,Premissas!$B$24,IFERROR(MAX(Tributos!$C$24,(INDEX(Tributos!$C$24:$C$29,MATCH(BH72,Tributos!$B$24:$B$29,1))*BH72-INDEX(Tributos!$D$24:$D$29,MATCH(BH72,Tributos!$B$24:$B$29,1)))/BH72),Tributos!$C$24)))</f>
        <v>0.1633</v>
      </c>
      <c r="BI73" s="168" t="n">
        <f aca="false">IF(Premissas!$B$23=3,Premissas!$B$24,IF(BI72&gt;Premissas!$B$25,Premissas!$B$24,IFERROR(MAX(Tributos!$C$24,(INDEX(Tributos!$C$24:$C$29,MATCH(BI72,Tributos!$B$24:$B$29,1))*BI72-INDEX(Tributos!$D$24:$D$29,MATCH(BI72,Tributos!$B$24:$B$29,1)))/BI72),Tributos!$C$24)))</f>
        <v>0.1633</v>
      </c>
      <c r="BJ73" s="169" t="n">
        <f aca="false">IFERROR(-BJ74/BJ71,0)</f>
        <v>0.165331049713446</v>
      </c>
      <c r="BK73" s="29" t="s">
        <v>580</v>
      </c>
    </row>
    <row r="74" customFormat="false" ht="15" hidden="false" customHeight="false" outlineLevel="0" collapsed="false">
      <c r="A74" s="27" t="s">
        <v>456</v>
      </c>
      <c r="B74" s="110" t="n">
        <f aca="false">-B71*B73</f>
        <v>-0</v>
      </c>
      <c r="C74" s="110" t="n">
        <f aca="false">-C71*C73</f>
        <v>-0</v>
      </c>
      <c r="D74" s="110" t="n">
        <f aca="false">-D71*D73</f>
        <v>-0</v>
      </c>
      <c r="E74" s="110" t="n">
        <f aca="false">-E71*E73</f>
        <v>-0</v>
      </c>
      <c r="F74" s="110" t="n">
        <f aca="false">-F71*F73</f>
        <v>-0</v>
      </c>
      <c r="G74" s="110" t="n">
        <f aca="false">-G71*G73</f>
        <v>-0</v>
      </c>
      <c r="H74" s="110" t="n">
        <f aca="false">-H71*H73</f>
        <v>-0</v>
      </c>
      <c r="I74" s="110" t="n">
        <f aca="false">-I71*I73</f>
        <v>-0</v>
      </c>
      <c r="J74" s="110" t="n">
        <f aca="false">-J71*J73</f>
        <v>-0</v>
      </c>
      <c r="K74" s="110" t="n">
        <f aca="false">-K71*K73</f>
        <v>-633.1595</v>
      </c>
      <c r="L74" s="110" t="n">
        <f aca="false">-L71*L73</f>
        <v>-2415.2255</v>
      </c>
      <c r="M74" s="110" t="n">
        <f aca="false">-M71*M73</f>
        <v>-5222.694</v>
      </c>
      <c r="N74" s="110" t="n">
        <f aca="false">-N71*N73</f>
        <v>-12541.0755712304</v>
      </c>
      <c r="O74" s="110" t="n">
        <f aca="false">-O71*O73</f>
        <v>-20112.2693512859</v>
      </c>
      <c r="P74" s="110" t="n">
        <f aca="false">-P71*P73</f>
        <v>-30509.0955523505</v>
      </c>
      <c r="Q74" s="110" t="n">
        <f aca="false">-Q71*Q73</f>
        <v>-37611.0322840983</v>
      </c>
      <c r="R74" s="110" t="n">
        <f aca="false">-R71*R73</f>
        <v>-44171.0228049153</v>
      </c>
      <c r="S74" s="110" t="n">
        <f aca="false">-S71*S73</f>
        <v>-50455.1728225529</v>
      </c>
      <c r="T74" s="110" t="n">
        <f aca="false">-T71*T73</f>
        <v>-56157.7372988573</v>
      </c>
      <c r="U74" s="110" t="n">
        <f aca="false">-U71*U73</f>
        <v>-61255.6407064385</v>
      </c>
      <c r="V74" s="110" t="n">
        <f aca="false">-V71*V73</f>
        <v>-65880.591331067</v>
      </c>
      <c r="W74" s="110" t="n">
        <f aca="false">-W71*W73</f>
        <v>-71481.2207374764</v>
      </c>
      <c r="X74" s="110" t="n">
        <f aca="false">-X71*X73</f>
        <v>-76521.1797877149</v>
      </c>
      <c r="Y74" s="110" t="n">
        <f aca="false">-Y71*Y73</f>
        <v>-81054.4330369866</v>
      </c>
      <c r="Z74" s="110" t="n">
        <f aca="false">-Z71*Z73</f>
        <v>-108962.390555631</v>
      </c>
      <c r="AA74" s="110" t="n">
        <f aca="false">-AA71*AA73</f>
        <v>-87743.8920771071</v>
      </c>
      <c r="AB74" s="110" t="n">
        <f aca="false">-AB71*AB73</f>
        <v>-103543.917236153</v>
      </c>
      <c r="AC74" s="110" t="n">
        <f aca="false">-AC71*AC73</f>
        <v>-117852.661115871</v>
      </c>
      <c r="AD74" s="110" t="n">
        <f aca="false">-AD71*AD73</f>
        <v>-110038.883147887</v>
      </c>
      <c r="AE74" s="110" t="n">
        <f aca="false">-AE71*AE73</f>
        <v>-115325.576990393</v>
      </c>
      <c r="AF74" s="110" t="n">
        <f aca="false">-AF71*AF73</f>
        <v>-120250.86120702</v>
      </c>
      <c r="AG74" s="110" t="n">
        <f aca="false">-AG71*AG73</f>
        <v>-124822.95786632</v>
      </c>
      <c r="AH74" s="110" t="n">
        <f aca="false">-AH71*AH73</f>
        <v>-129089.237847684</v>
      </c>
      <c r="AI74" s="110" t="n">
        <f aca="false">-AI71*AI73</f>
        <v>-133036.398891535</v>
      </c>
      <c r="AJ74" s="110" t="n">
        <f aca="false">-AJ71*AJ73</f>
        <v>-136715.246949485</v>
      </c>
      <c r="AK74" s="110" t="n">
        <f aca="false">-AK71*AK73</f>
        <v>-140119.474109778</v>
      </c>
      <c r="AL74" s="110" t="n">
        <f aca="false">-AL71*AL73</f>
        <v>-181727.806970824</v>
      </c>
      <c r="AM74" s="110" t="n">
        <f aca="false">-AM71*AM73</f>
        <v>-193342.526023442</v>
      </c>
      <c r="AN74" s="110" t="n">
        <f aca="false">-AN71*AN73</f>
        <v>-204187.308830959</v>
      </c>
      <c r="AO74" s="110" t="n">
        <f aca="false">-AO71*AO73</f>
        <v>-214320.898747388</v>
      </c>
      <c r="AP74" s="110" t="n">
        <f aca="false">-AP71*AP73</f>
        <v>-223779.550442914</v>
      </c>
      <c r="AQ74" s="110" t="n">
        <f aca="false">-AQ71*AQ73</f>
        <v>-232603.020783744</v>
      </c>
      <c r="AR74" s="110" t="n">
        <f aca="false">-AR71*AR73</f>
        <v>-240845.818347748</v>
      </c>
      <c r="AS74" s="110" t="n">
        <f aca="false">-AS71*AS73</f>
        <v>-248528.763429128</v>
      </c>
      <c r="AT74" s="110" t="n">
        <f aca="false">-AT71*AT73</f>
        <v>-255713.521237289</v>
      </c>
      <c r="AU74" s="110" t="n">
        <f aca="false">-AU71*AU73</f>
        <v>-262420.616969461</v>
      </c>
      <c r="AV74" s="110" t="n">
        <f aca="false">-AV71*AV73</f>
        <v>-268681.661228275</v>
      </c>
      <c r="AW74" s="110" t="n">
        <f aca="false">-AW71*AW73</f>
        <v>-274516.922027539</v>
      </c>
      <c r="AX74" s="110" t="n">
        <f aca="false">-AX71*AX73</f>
        <v>-348686.561116537</v>
      </c>
      <c r="AY74" s="110" t="n">
        <f aca="false">-AY71*AY73</f>
        <v>-369220.283860014</v>
      </c>
      <c r="AZ74" s="110" t="n">
        <f aca="false">-AZ71*AZ73</f>
        <v>-388478.731602918</v>
      </c>
      <c r="BA74" s="110" t="n">
        <f aca="false">-BA71*BA73</f>
        <v>-406521.174153774</v>
      </c>
      <c r="BB74" s="110" t="n">
        <f aca="false">-BB71*BB73</f>
        <v>-423441.58563264</v>
      </c>
      <c r="BC74" s="110" t="n">
        <f aca="false">-BC71*BC73</f>
        <v>-439302.569635962</v>
      </c>
      <c r="BD74" s="110" t="n">
        <f aca="false">-BD71*BD73</f>
        <v>-454174.227656599</v>
      </c>
      <c r="BE74" s="110" t="n">
        <f aca="false">-BE71*BE73</f>
        <v>-468122.530733397</v>
      </c>
      <c r="BF74" s="110" t="n">
        <f aca="false">-BF71*BF73</f>
        <v>-481185.947320271</v>
      </c>
      <c r="BG74" s="110" t="n">
        <f aca="false">-BG71*BG73</f>
        <v>-493441.708193557</v>
      </c>
      <c r="BH74" s="110" t="n">
        <f aca="false">-BH71*BH73</f>
        <v>-504931.742016134</v>
      </c>
      <c r="BI74" s="110" t="n">
        <f aca="false">-BI71*BI73</f>
        <v>-515709.523029265</v>
      </c>
      <c r="BJ74" s="111" t="n">
        <f aca="false">SUM(B74:BI74)</f>
        <v>-10137408.0482696</v>
      </c>
    </row>
    <row r="75" customFormat="false" ht="15" hidden="false" customHeight="false" outlineLevel="0" collapsed="false">
      <c r="A75" s="27" t="s">
        <v>424</v>
      </c>
      <c r="B75" s="110" t="n">
        <f aca="false">-B68*Premissas!$B$62*INDEX(Premissas!$C$63:$G$63,B$7)</f>
        <v>-0</v>
      </c>
      <c r="C75" s="110" t="n">
        <f aca="false">-C68*Premissas!$B$62*INDEX(Premissas!$C$63:$G$63,C$7)</f>
        <v>-0</v>
      </c>
      <c r="D75" s="110" t="n">
        <f aca="false">-D68*Premissas!$B$62*INDEX(Premissas!$C$63:$G$63,D$7)</f>
        <v>-0</v>
      </c>
      <c r="E75" s="110" t="n">
        <f aca="false">-E68*Premissas!$B$62*INDEX(Premissas!$C$63:$G$63,E$7)</f>
        <v>-0</v>
      </c>
      <c r="F75" s="110" t="n">
        <f aca="false">-F68*Premissas!$B$62*INDEX(Premissas!$C$63:$G$63,F$7)</f>
        <v>-0</v>
      </c>
      <c r="G75" s="110" t="n">
        <f aca="false">-G68*Premissas!$B$62*INDEX(Premissas!$C$63:$G$63,G$7)</f>
        <v>-0</v>
      </c>
      <c r="H75" s="110" t="n">
        <f aca="false">-H68*Premissas!$B$62*INDEX(Premissas!$C$63:$G$63,H$7)</f>
        <v>-0</v>
      </c>
      <c r="I75" s="110" t="n">
        <f aca="false">-I68*Premissas!$B$62*INDEX(Premissas!$C$63:$G$63,I$7)</f>
        <v>-0</v>
      </c>
      <c r="J75" s="110" t="n">
        <f aca="false">-J68*Premissas!$B$62*INDEX(Premissas!$C$63:$G$63,J$7)</f>
        <v>-0</v>
      </c>
      <c r="K75" s="110" t="n">
        <f aca="false">-K68*Premissas!$B$62*INDEX(Premissas!$C$63:$G$63,K$7)</f>
        <v>-520.82475</v>
      </c>
      <c r="L75" s="110" t="n">
        <f aca="false">-L68*Premissas!$B$62*INDEX(Premissas!$C$63:$G$63,L$7)</f>
        <v>-1986.71775</v>
      </c>
      <c r="M75" s="110" t="n">
        <f aca="false">-M68*Premissas!$B$62*INDEX(Premissas!$C$63:$G$63,M$7)</f>
        <v>-4296.087</v>
      </c>
      <c r="N75" s="110" t="n">
        <f aca="false">-N68*Premissas!$B$62*INDEX(Premissas!$C$63:$G$63,N$7)</f>
        <v>-9246.44424</v>
      </c>
      <c r="O75" s="110" t="n">
        <f aca="false">-O68*Premissas!$B$62*INDEX(Premissas!$C$63:$G$63,O$7)</f>
        <v>-14971.76934</v>
      </c>
      <c r="P75" s="110" t="n">
        <f aca="false">-P68*Premissas!$B$62*INDEX(Premissas!$C$63:$G$63,P$7)</f>
        <v>-21741.67644</v>
      </c>
      <c r="Q75" s="110" t="n">
        <f aca="false">-Q68*Premissas!$B$62*INDEX(Premissas!$C$63:$G$63,Q$7)</f>
        <v>-25237.84098</v>
      </c>
      <c r="R75" s="110" t="n">
        <f aca="false">-R68*Premissas!$B$62*INDEX(Premissas!$C$63:$G$63,R$7)</f>
        <v>-28466.59002</v>
      </c>
      <c r="S75" s="110" t="n">
        <f aca="false">-S68*Premissas!$B$62*INDEX(Premissas!$C$63:$G$63,S$7)</f>
        <v>-31452.94086</v>
      </c>
      <c r="T75" s="110" t="n">
        <f aca="false">-T68*Premissas!$B$62*INDEX(Premissas!$C$63:$G$63,T$7)</f>
        <v>-34221.89826</v>
      </c>
      <c r="U75" s="110" t="n">
        <f aca="false">-U68*Premissas!$B$62*INDEX(Premissas!$C$63:$G$63,U$7)</f>
        <v>-36773.39952</v>
      </c>
      <c r="V75" s="110" t="n">
        <f aca="false">-V68*Premissas!$B$62*INDEX(Premissas!$C$63:$G$63,V$7)</f>
        <v>-39137.50302</v>
      </c>
      <c r="W75" s="110" t="n">
        <f aca="false">-W68*Premissas!$B$62*INDEX(Premissas!$C$63:$G$63,W$7)</f>
        <v>-41321.65752</v>
      </c>
      <c r="X75" s="110" t="n">
        <f aca="false">-X68*Premissas!$B$62*INDEX(Premissas!$C$63:$G$63,X$7)</f>
        <v>-43345.8894</v>
      </c>
      <c r="Y75" s="110" t="n">
        <f aca="false">-Y68*Premissas!$B$62*INDEX(Premissas!$C$63:$G$63,Y$7)</f>
        <v>-45220.19304</v>
      </c>
      <c r="Z75" s="110" t="n">
        <f aca="false">-Z68*Premissas!$B$62*INDEX(Premissas!$C$63:$G$63,Z$7)</f>
        <v>-55621.0334511562</v>
      </c>
      <c r="AA75" s="110" t="n">
        <f aca="false">-AA68*Premissas!$B$62*INDEX(Premissas!$C$63:$G$63,AA$7)</f>
        <v>-60295.7058195937</v>
      </c>
      <c r="AB75" s="110" t="n">
        <f aca="false">-AB68*Premissas!$B$62*INDEX(Premissas!$C$63:$G$63,AB$7)</f>
        <v>-64642.250611125</v>
      </c>
      <c r="AC75" s="110" t="n">
        <f aca="false">-AC68*Premissas!$B$62*INDEX(Premissas!$C$63:$G$63,AC$7)</f>
        <v>-68677.7935078125</v>
      </c>
      <c r="AD75" s="110" t="n">
        <f aca="false">-AD68*Premissas!$B$62*INDEX(Premissas!$C$63:$G$63,AD$7)</f>
        <v>-72434.1902439375</v>
      </c>
      <c r="AE75" s="110" t="n">
        <f aca="false">-AE68*Premissas!$B$62*INDEX(Premissas!$C$63:$G$63,AE$7)</f>
        <v>-75913.848734625</v>
      </c>
      <c r="AF75" s="110" t="n">
        <f aca="false">-AF68*Premissas!$B$62*INDEX(Premissas!$C$63:$G$63,AF$7)</f>
        <v>-79156.0081681875</v>
      </c>
      <c r="AG75" s="110" t="n">
        <f aca="false">-AG68*Premissas!$B$62*INDEX(Premissas!$C$63:$G$63,AG$7)</f>
        <v>-82165.5212307187</v>
      </c>
      <c r="AH75" s="110" t="n">
        <f aca="false">-AH68*Premissas!$B$62*INDEX(Premissas!$C$63:$G$63,AH$7)</f>
        <v>-84974.2682270625</v>
      </c>
      <c r="AI75" s="110" t="n">
        <f aca="false">-AI68*Premissas!$B$62*INDEX(Premissas!$C$63:$G$63,AI$7)</f>
        <v>-87572.384076375</v>
      </c>
      <c r="AJ75" s="110" t="n">
        <f aca="false">-AJ68*Premissas!$B$62*INDEX(Premissas!$C$63:$G$63,AJ$7)</f>
        <v>-89994.2184250312</v>
      </c>
      <c r="AK75" s="110" t="n">
        <f aca="false">-AK68*Premissas!$B$62*INDEX(Premissas!$C$63:$G$63,AK$7)</f>
        <v>-92234.8203046875</v>
      </c>
      <c r="AL75" s="110" t="n">
        <f aca="false">-AL68*Premissas!$B$62*INDEX(Premissas!$C$63:$G$63,AL$7)</f>
        <v>-113103.934377212</v>
      </c>
      <c r="AM75" s="110" t="n">
        <f aca="false">-AM68*Premissas!$B$62*INDEX(Premissas!$C$63:$G$63,AM$7)</f>
        <v>-120332.469065911</v>
      </c>
      <c r="AN75" s="110" t="n">
        <f aca="false">-AN68*Premissas!$B$62*INDEX(Premissas!$C$63:$G$63,AN$7)</f>
        <v>-127081.897481623</v>
      </c>
      <c r="AO75" s="110" t="n">
        <f aca="false">-AO68*Premissas!$B$62*INDEX(Premissas!$C$63:$G$63,AO$7)</f>
        <v>-133389.070160856</v>
      </c>
      <c r="AP75" s="110" t="n">
        <f aca="false">-AP68*Premissas!$B$62*INDEX(Premissas!$C$63:$G$63,AP$7)</f>
        <v>-139276.097425516</v>
      </c>
      <c r="AQ75" s="110" t="n">
        <f aca="false">-AQ68*Premissas!$B$62*INDEX(Premissas!$C$63:$G$63,AQ$7)</f>
        <v>-144767.529867149</v>
      </c>
      <c r="AR75" s="110" t="n">
        <f aca="false">-AR68*Premissas!$B$62*INDEX(Premissas!$C$63:$G$63,AR$7)</f>
        <v>-149897.790077216</v>
      </c>
      <c r="AS75" s="110" t="n">
        <f aca="false">-AS68*Premissas!$B$62*INDEX(Premissas!$C$63:$G$63,AS$7)</f>
        <v>-154679.128702303</v>
      </c>
      <c r="AT75" s="110" t="n">
        <f aca="false">-AT68*Premissas!$B$62*INDEX(Premissas!$C$63:$G$63,AT$7)</f>
        <v>-159150.910496124</v>
      </c>
      <c r="AU75" s="110" t="n">
        <f aca="false">-AU68*Premissas!$B$62*INDEX(Premissas!$C$63:$G$63,AU$7)</f>
        <v>-163325.386105264</v>
      </c>
      <c r="AV75" s="110" t="n">
        <f aca="false">-AV68*Premissas!$B$62*INDEX(Premissas!$C$63:$G$63,AV$7)</f>
        <v>-167222.225581988</v>
      </c>
      <c r="AW75" s="110" t="n">
        <f aca="false">-AW68*Premissas!$B$62*INDEX(Premissas!$C$63:$G$63,AW$7)</f>
        <v>-170853.67957288</v>
      </c>
      <c r="AX75" s="110" t="n">
        <f aca="false">-AX68*Premissas!$B$62*INDEX(Premissas!$C$63:$G$63,AX$7)</f>
        <v>-210325.621789641</v>
      </c>
      <c r="AY75" s="110" t="n">
        <f aca="false">-AY68*Premissas!$B$62*INDEX(Premissas!$C$63:$G$63,AY$7)</f>
        <v>-222711.52245076</v>
      </c>
      <c r="AZ75" s="110" t="n">
        <f aca="false">-AZ68*Premissas!$B$62*INDEX(Premissas!$C$63:$G$63,AZ$7)</f>
        <v>-234328.468634158</v>
      </c>
      <c r="BA75" s="110" t="n">
        <f aca="false">-BA68*Premissas!$B$62*INDEX(Premissas!$C$63:$G$63,BA$7)</f>
        <v>-245211.382650794</v>
      </c>
      <c r="BB75" s="110" t="n">
        <f aca="false">-BB68*Premissas!$B$62*INDEX(Premissas!$C$63:$G$63,BB$7)</f>
        <v>-255417.700370291</v>
      </c>
      <c r="BC75" s="110" t="n">
        <f aca="false">-BC68*Premissas!$B$62*INDEX(Premissas!$C$63:$G$63,BC$7)</f>
        <v>-264984.873435559</v>
      </c>
      <c r="BD75" s="110" t="n">
        <f aca="false">-BD68*Premissas!$B$62*INDEX(Premissas!$C$63:$G$63,BD$7)</f>
        <v>-273955.349546188</v>
      </c>
      <c r="BE75" s="110" t="n">
        <f aca="false">-BE68*Premissas!$B$62*INDEX(Premissas!$C$63:$G$63,BE$7)</f>
        <v>-282369.084634151</v>
      </c>
      <c r="BF75" s="110" t="n">
        <f aca="false">-BF68*Premissas!$B$62*INDEX(Premissas!$C$63:$G$63,BF$7)</f>
        <v>-290248.504607993</v>
      </c>
      <c r="BG75" s="110" t="n">
        <f aca="false">-BG68*Premissas!$B$62*INDEX(Premissas!$C$63:$G$63,BG$7)</f>
        <v>-297641.103309761</v>
      </c>
      <c r="BH75" s="110" t="n">
        <f aca="false">-BH68*Premissas!$B$62*INDEX(Premissas!$C$63:$G$63,BH$7)</f>
        <v>-304571.81093706</v>
      </c>
      <c r="BI75" s="110" t="n">
        <f aca="false">-BI68*Premissas!$B$62*INDEX(Premissas!$C$63:$G$63,BI$7)</f>
        <v>-311073.108119017</v>
      </c>
      <c r="BJ75" s="111" t="n">
        <f aca="false">SUM(B75:BI75)</f>
        <v>-6227542.12433972</v>
      </c>
    </row>
    <row r="76" customFormat="false" ht="15" hidden="false" customHeight="false" outlineLevel="0" collapsed="false">
      <c r="A76" s="27" t="s">
        <v>426</v>
      </c>
      <c r="B76" s="110" t="n">
        <f aca="false">-(B68*(1-INDEX(Premissas!$C$63:$G$63,B$7))+B69)*Premissas!$B$64</f>
        <v>-0</v>
      </c>
      <c r="C76" s="110" t="n">
        <f aca="false">-(C68*(1-INDEX(Premissas!$C$63:$G$63,C$7))+C69)*Premissas!$B$64</f>
        <v>-0</v>
      </c>
      <c r="D76" s="110" t="n">
        <f aca="false">-(D68*(1-INDEX(Premissas!$C$63:$G$63,D$7))+D69)*Premissas!$B$64</f>
        <v>-0</v>
      </c>
      <c r="E76" s="110" t="n">
        <f aca="false">-(E68*(1-INDEX(Premissas!$C$63:$G$63,E$7))+E69)*Premissas!$B$64</f>
        <v>-0</v>
      </c>
      <c r="F76" s="110" t="n">
        <f aca="false">-(F68*(1-INDEX(Premissas!$C$63:$G$63,F$7))+F69)*Premissas!$B$64</f>
        <v>-0</v>
      </c>
      <c r="G76" s="110" t="n">
        <f aca="false">-(G68*(1-INDEX(Premissas!$C$63:$G$63,G$7))+G69)*Premissas!$B$64</f>
        <v>-0</v>
      </c>
      <c r="H76" s="110" t="n">
        <f aca="false">-(H68*(1-INDEX(Premissas!$C$63:$G$63,H$7))+H69)*Premissas!$B$64</f>
        <v>-0</v>
      </c>
      <c r="I76" s="110" t="n">
        <f aca="false">-(I68*(1-INDEX(Premissas!$C$63:$G$63,I$7))+I69)*Premissas!$B$64</f>
        <v>-0</v>
      </c>
      <c r="J76" s="110" t="n">
        <f aca="false">-(J68*(1-INDEX(Premissas!$C$63:$G$63,J$7))+J69)*Premissas!$B$64</f>
        <v>-0</v>
      </c>
      <c r="K76" s="110" t="n">
        <f aca="false">-(K68*(1-INDEX(Premissas!$C$63:$G$63,K$7))+K69)*Premissas!$B$64</f>
        <v>-27.573075</v>
      </c>
      <c r="L76" s="110" t="n">
        <f aca="false">-(L68*(1-INDEX(Premissas!$C$63:$G$63,L$7))+L69)*Premissas!$B$64</f>
        <v>-105.179175</v>
      </c>
      <c r="M76" s="110" t="n">
        <f aca="false">-(M68*(1-INDEX(Premissas!$C$63:$G$63,M$7))+M69)*Premissas!$B$64</f>
        <v>-227.4399</v>
      </c>
      <c r="N76" s="110" t="n">
        <f aca="false">-(N68*(1-INDEX(Premissas!$C$63:$G$63,N$7))+N69)*Premissas!$B$64</f>
        <v>-867.0241519056</v>
      </c>
      <c r="O76" s="110" t="n">
        <f aca="false">-(O68*(1-INDEX(Premissas!$C$63:$G$63,O$7))+O69)*Premissas!$B$64</f>
        <v>-1347.5151386959</v>
      </c>
      <c r="P76" s="110" t="n">
        <f aca="false">-(P68*(1-INDEX(Premissas!$C$63:$G$63,P$7))+P69)*Premissas!$B$64</f>
        <v>-1902.50768684357</v>
      </c>
      <c r="Q76" s="110" t="n">
        <f aca="false">-(Q68*(1-INDEX(Premissas!$C$63:$G$63,Q$7))+Q69)*Premissas!$B$64</f>
        <v>-2208.41637941453</v>
      </c>
      <c r="R76" s="110" t="n">
        <f aca="false">-(R68*(1-INDEX(Premissas!$C$63:$G$63,R$7))+R69)*Premissas!$B$64</f>
        <v>-2490.98294380976</v>
      </c>
      <c r="S76" s="110" t="n">
        <f aca="false">-(S68*(1-INDEX(Premissas!$C$63:$G$63,S$7))+S69)*Premissas!$B$64</f>
        <v>-2752.33078214806</v>
      </c>
      <c r="T76" s="110" t="n">
        <f aca="false">-(T68*(1-INDEX(Premissas!$C$63:$G$63,T$7))+T69)*Premissas!$B$64</f>
        <v>-2994.56377378093</v>
      </c>
      <c r="U76" s="110" t="n">
        <f aca="false">-(U68*(1-INDEX(Premissas!$C$63:$G$63,U$7))+U69)*Premissas!$B$64</f>
        <v>-3217.888553679</v>
      </c>
      <c r="V76" s="110" t="n">
        <f aca="false">-(V68*(1-INDEX(Premissas!$C$63:$G$63,V$7))+V69)*Premissas!$B$64</f>
        <v>-3424.75494523514</v>
      </c>
      <c r="W76" s="110" t="n">
        <f aca="false">-(W68*(1-INDEX(Premissas!$C$63:$G$63,W$7))+W69)*Premissas!$B$64</f>
        <v>-3615.90235288626</v>
      </c>
      <c r="X76" s="110" t="n">
        <f aca="false">-(X68*(1-INDEX(Premissas!$C$63:$G$63,X$7))+X69)*Premissas!$B$64</f>
        <v>-3792.99991036201</v>
      </c>
      <c r="Y76" s="110" t="n">
        <f aca="false">-(Y68*(1-INDEX(Premissas!$C$63:$G$63,Y$7))+Y69)*Premissas!$B$64</f>
        <v>-3956.95178131879</v>
      </c>
      <c r="Z76" s="110" t="n">
        <f aca="false">-(Z68*(1-INDEX(Premissas!$C$63:$G$63,Z$7))+Z69)*Premissas!$B$64</f>
        <v>-6598.23748465194</v>
      </c>
      <c r="AA76" s="110" t="n">
        <f aca="false">-(AA68*(1-INDEX(Premissas!$C$63:$G$63,AA$7))+AA69)*Premissas!$B$64</f>
        <v>-7152.81715894015</v>
      </c>
      <c r="AB76" s="110" t="n">
        <f aca="false">-(AB68*(1-INDEX(Premissas!$C$63:$G$63,AB$7))+AB69)*Premissas!$B$64</f>
        <v>-7668.42627155966</v>
      </c>
      <c r="AC76" s="110" t="n">
        <f aca="false">-(AC68*(1-INDEX(Premissas!$C$63:$G$63,AC$7))+AC69)*Premissas!$B$64</f>
        <v>-8147.21267356432</v>
      </c>
      <c r="AD76" s="110" t="n">
        <f aca="false">-(AD68*(1-INDEX(Premissas!$C$63:$G$63,AD$7))+AD69)*Premissas!$B$64</f>
        <v>-8592.76645195593</v>
      </c>
      <c r="AE76" s="110" t="n">
        <f aca="false">-(AE68*(1-INDEX(Premissas!$C$63:$G$63,AE$7))+AE69)*Premissas!$B$64</f>
        <v>-9005.70431756516</v>
      </c>
      <c r="AF76" s="110" t="n">
        <f aca="false">-(AF68*(1-INDEX(Premissas!$C$63:$G$63,AF$7))+AF69)*Premissas!$B$64</f>
        <v>-9390.29953555668</v>
      </c>
      <c r="AG76" s="110" t="n">
        <f aca="false">-(AG68*(1-INDEX(Premissas!$C$63:$G$63,AG$7))+AG69)*Premissas!$B$64</f>
        <v>-9747.36202627966</v>
      </c>
      <c r="AH76" s="110" t="n">
        <f aca="false">-(AH68*(1-INDEX(Premissas!$C$63:$G$63,AH$7))+AH69)*Premissas!$B$64</f>
        <v>-10080.3815229761</v>
      </c>
      <c r="AI76" s="110" t="n">
        <f aca="false">-(AI68*(1-INDEX(Premissas!$C$63:$G$63,AI$7))+AI69)*Premissas!$B$64</f>
        <v>-10388.6518935547</v>
      </c>
      <c r="AJ76" s="110" t="n">
        <f aca="false">-(AJ68*(1-INDEX(Premissas!$C$63:$G$63,AJ$7))+AJ69)*Premissas!$B$64</f>
        <v>-10675.8686594278</v>
      </c>
      <c r="AK76" s="110" t="n">
        <f aca="false">-(AK68*(1-INDEX(Premissas!$C$63:$G$63,AK$7))+AK69)*Premissas!$B$64</f>
        <v>-10941.7788622986</v>
      </c>
      <c r="AL76" s="110" t="n">
        <f aca="false">-(AL68*(1-INDEX(Premissas!$C$63:$G$63,AL$7))+AL69)*Premissas!$B$64</f>
        <v>-16146.9048900641</v>
      </c>
      <c r="AM76" s="110" t="n">
        <f aca="false">-(AM68*(1-INDEX(Premissas!$C$63:$G$63,AM$7))+AM69)*Premissas!$B$64</f>
        <v>-17178.9712891361</v>
      </c>
      <c r="AN76" s="110" t="n">
        <f aca="false">-(AN68*(1-INDEX(Premissas!$C$63:$G$63,AN$7))+AN69)*Premissas!$B$64</f>
        <v>-18142.6009783738</v>
      </c>
      <c r="AO76" s="110" t="n">
        <f aca="false">-(AO68*(1-INDEX(Premissas!$C$63:$G$63,AO$7))+AO69)*Premissas!$B$64</f>
        <v>-19042.9264938895</v>
      </c>
      <c r="AP76" s="110" t="n">
        <f aca="false">-(AP68*(1-INDEX(Premissas!$C$63:$G$63,AP$7))+AP69)*Premissas!$B$64</f>
        <v>-19883.3053095843</v>
      </c>
      <c r="AQ76" s="110" t="n">
        <f aca="false">-(AQ68*(1-INDEX(Premissas!$C$63:$G$63,AQ$7))+AQ69)*Premissas!$B$64</f>
        <v>-20667.3279061657</v>
      </c>
      <c r="AR76" s="110" t="n">
        <f aca="false">-(AR68*(1-INDEX(Premissas!$C$63:$G$63,AR$7))+AR69)*Premissas!$B$64</f>
        <v>-21399.6882410647</v>
      </c>
      <c r="AS76" s="110" t="n">
        <f aca="false">-(AS68*(1-INDEX(Premissas!$C$63:$G$63,AS$7))+AS69)*Premissas!$B$64</f>
        <v>-22082.4484947027</v>
      </c>
      <c r="AT76" s="110" t="n">
        <f aca="false">-(AT68*(1-INDEX(Premissas!$C$63:$G$63,AT$7))+AT69)*Premissas!$B$64</f>
        <v>-22720.7921033246</v>
      </c>
      <c r="AU76" s="110" t="n">
        <f aca="false">-(AU68*(1-INDEX(Premissas!$C$63:$G$63,AU$7))+AU69)*Premissas!$B$64</f>
        <v>-23316.6999285293</v>
      </c>
      <c r="AV76" s="110" t="n">
        <f aca="false">-(AV68*(1-INDEX(Premissas!$C$63:$G$63,AV$7))+AV69)*Premissas!$B$64</f>
        <v>-23872.9817759387</v>
      </c>
      <c r="AW76" s="110" t="n">
        <f aca="false">-(AW68*(1-INDEX(Premissas!$C$63:$G$63,AW$7))+AW69)*Premissas!$B$64</f>
        <v>-24391.5476360312</v>
      </c>
      <c r="AX76" s="110" t="n">
        <f aca="false">-(AX68*(1-INDEX(Premissas!$C$63:$G$63,AX$7))+AX69)*Premissas!$B$64</f>
        <v>-32988.6285289016</v>
      </c>
      <c r="AY76" s="110" t="n">
        <f aca="false">-(AY68*(1-INDEX(Premissas!$C$63:$G$63,AY$7))+AY69)*Premissas!$B$64</f>
        <v>-34931.2632506913</v>
      </c>
      <c r="AZ76" s="110" t="n">
        <f aca="false">-(AZ68*(1-INDEX(Premissas!$C$63:$G$63,AZ$7))+AZ69)*Premissas!$B$64</f>
        <v>-36753.1613211508</v>
      </c>
      <c r="BA76" s="110" t="n">
        <f aca="false">-(BA68*(1-INDEX(Premissas!$C$63:$G$63,BA$7))+BA69)*Premissas!$B$64</f>
        <v>-38460.178817253</v>
      </c>
      <c r="BB76" s="110" t="n">
        <f aca="false">-(BB68*(1-INDEX(Premissas!$C$63:$G$63,BB$7))+BB69)*Premissas!$B$64</f>
        <v>-40060.9810920285</v>
      </c>
      <c r="BC76" s="110" t="n">
        <f aca="false">-(BC68*(1-INDEX(Premissas!$C$63:$G$63,BC$7))+BC69)*Premissas!$B$64</f>
        <v>-41561.5841029411</v>
      </c>
      <c r="BD76" s="110" t="n">
        <f aca="false">-(BD68*(1-INDEX(Premissas!$C$63:$G$63,BD$7))+BD69)*Premissas!$B$64</f>
        <v>-42968.5711590888</v>
      </c>
      <c r="BE76" s="110" t="n">
        <f aca="false">-(BE68*(1-INDEX(Premissas!$C$63:$G$63,BE$7))+BE69)*Premissas!$B$64</f>
        <v>-44288.1348853387</v>
      </c>
      <c r="BF76" s="110" t="n">
        <f aca="false">-(BF68*(1-INDEX(Premissas!$C$63:$G$63,BF$7))+BF69)*Premissas!$B$64</f>
        <v>-45524.1481241068</v>
      </c>
      <c r="BG76" s="110" t="n">
        <f aca="false">-(BG68*(1-INDEX(Premissas!$C$63:$G$63,BG$7))+BG69)*Premissas!$B$64</f>
        <v>-46683.6449330366</v>
      </c>
      <c r="BH76" s="110" t="n">
        <f aca="false">-(BH68*(1-INDEX(Premissas!$C$63:$G$63,BH$7))+BH69)*Premissas!$B$64</f>
        <v>-47770.7003852996</v>
      </c>
      <c r="BI76" s="110" t="n">
        <f aca="false">-(BI68*(1-INDEX(Premissas!$C$63:$G$63,BI$7))+BI69)*Premissas!$B$64</f>
        <v>-48790.3059985689</v>
      </c>
      <c r="BJ76" s="111" t="n">
        <f aca="false">SUM(B76:BI76)</f>
        <v>-890949.035053621</v>
      </c>
    </row>
    <row r="77" customFormat="false" ht="15" hidden="false" customHeight="false" outlineLevel="0" collapsed="false">
      <c r="A77" s="51" t="s">
        <v>526</v>
      </c>
      <c r="B77" s="111" t="n">
        <f aca="false">B71+SUM(B74:B76)</f>
        <v>0</v>
      </c>
      <c r="C77" s="111" t="n">
        <f aca="false">C71+SUM(C74:C76)</f>
        <v>0</v>
      </c>
      <c r="D77" s="111" t="n">
        <f aca="false">D71+SUM(D74:D76)</f>
        <v>0</v>
      </c>
      <c r="E77" s="111" t="n">
        <f aca="false">E71+SUM(E74:E76)</f>
        <v>0</v>
      </c>
      <c r="F77" s="111" t="n">
        <f aca="false">F71+SUM(F74:F76)</f>
        <v>0</v>
      </c>
      <c r="G77" s="111" t="n">
        <f aca="false">G71+SUM(G74:G76)</f>
        <v>0</v>
      </c>
      <c r="H77" s="111" t="n">
        <f aca="false">H71+SUM(H74:H76)</f>
        <v>0</v>
      </c>
      <c r="I77" s="111" t="n">
        <f aca="false">I71+SUM(I74:I76)</f>
        <v>0</v>
      </c>
      <c r="J77" s="111" t="n">
        <f aca="false">J71+SUM(J74:J76)</f>
        <v>0</v>
      </c>
      <c r="K77" s="111" t="n">
        <f aca="false">K71+SUM(K74:K76)</f>
        <v>2903.342675</v>
      </c>
      <c r="L77" s="111" t="n">
        <f aca="false">L71+SUM(L74:L76)</f>
        <v>11074.977575</v>
      </c>
      <c r="M77" s="111" t="n">
        <f aca="false">M71+SUM(M74:M76)</f>
        <v>23948.5791</v>
      </c>
      <c r="N77" s="111" t="n">
        <f aca="false">N71+SUM(N74:N76)</f>
        <v>58255.621012544</v>
      </c>
      <c r="O77" s="111" t="n">
        <f aca="false">O71+SUM(O74:O76)</f>
        <v>93325.0226299271</v>
      </c>
      <c r="P77" s="111" t="n">
        <f aca="false">P71+SUM(P74:P76)</f>
        <v>133069.17851733</v>
      </c>
      <c r="Q77" s="111" t="n">
        <f aca="false">Q71+SUM(Q74:Q76)</f>
        <v>152270.903099032</v>
      </c>
      <c r="R77" s="111" t="n">
        <f aca="false">R71+SUM(R74:R76)</f>
        <v>170003.847560381</v>
      </c>
      <c r="S77" s="111" t="n">
        <f aca="false">S71+SUM(S74:S76)</f>
        <v>186188.734205256</v>
      </c>
      <c r="T77" s="111" t="n">
        <f aca="false">T71+SUM(T74:T76)</f>
        <v>201317.650706938</v>
      </c>
      <c r="U77" s="111" t="n">
        <f aca="false">U71+SUM(U74:U76)</f>
        <v>215417.702546083</v>
      </c>
      <c r="V77" s="111" t="n">
        <f aca="false">V71+SUM(V74:V76)</f>
        <v>228579.502953368</v>
      </c>
      <c r="W77" s="111" t="n">
        <f aca="false">W71+SUM(W74:W76)</f>
        <v>239412.321809332</v>
      </c>
      <c r="X77" s="111" t="n">
        <f aca="false">X71+SUM(X74:X76)</f>
        <v>249601.413798857</v>
      </c>
      <c r="Y77" s="111" t="n">
        <f aca="false">Y71+SUM(Y74:Y76)</f>
        <v>259168.637548779</v>
      </c>
      <c r="Z77" s="111" t="n">
        <f aca="false">Z71+SUM(Z74:Z76)</f>
        <v>346252.727841868</v>
      </c>
      <c r="AA77" s="111" t="n">
        <f aca="false">AA71+SUM(AA74:AA76)</f>
        <v>405730.449495876</v>
      </c>
      <c r="AB77" s="111" t="n">
        <f aca="false">AB71+SUM(AB74:AB76)</f>
        <v>425503.215989989</v>
      </c>
      <c r="AC77" s="111" t="n">
        <f aca="false">AC71+SUM(AC74:AC76)</f>
        <v>444223.459945154</v>
      </c>
      <c r="AD77" s="111" t="n">
        <f aca="false">AD71+SUM(AD74:AD76)</f>
        <v>482779.127381491</v>
      </c>
      <c r="AE77" s="111" t="n">
        <f aca="false">AE71+SUM(AE74:AE76)</f>
        <v>505973.957467476</v>
      </c>
      <c r="AF77" s="111" t="n">
        <f aca="false">AF71+SUM(AF74:AF76)</f>
        <v>527582.875222856</v>
      </c>
      <c r="AG77" s="111" t="n">
        <f aca="false">AG71+SUM(AG74:AG76)</f>
        <v>547642.345443244</v>
      </c>
      <c r="AH77" s="111" t="n">
        <f aca="false">AH71+SUM(AH74:AH76)</f>
        <v>566359.712204385</v>
      </c>
      <c r="AI77" s="111" t="n">
        <f aca="false">AI71+SUM(AI74:AI76)</f>
        <v>583677.389948916</v>
      </c>
      <c r="AJ77" s="111" t="n">
        <f aca="false">AJ71+SUM(AJ74:AJ76)</f>
        <v>599817.647897992</v>
      </c>
      <c r="AK77" s="111" t="n">
        <f aca="false">AK71+SUM(AK74:AK76)</f>
        <v>614753.3701389</v>
      </c>
      <c r="AL77" s="111" t="n">
        <f aca="false">AL71+SUM(AL74:AL76)</f>
        <v>801867.691611404</v>
      </c>
      <c r="AM77" s="111" t="n">
        <f aca="false">AM71+SUM(AM74:AM76)</f>
        <v>853117.411597273</v>
      </c>
      <c r="AN77" s="111" t="n">
        <f aca="false">AN71+SUM(AN74:AN76)</f>
        <v>900969.753217058</v>
      </c>
      <c r="AO77" s="111" t="n">
        <f aca="false">AO71+SUM(AO74:AO76)</f>
        <v>945683.71664556</v>
      </c>
      <c r="AP77" s="111" t="n">
        <f aca="false">AP71+SUM(AP74:AP76)</f>
        <v>987419.592093963</v>
      </c>
      <c r="AQ77" s="111" t="n">
        <f aca="false">AQ71+SUM(AQ74:AQ76)</f>
        <v>1026352.94069428</v>
      </c>
      <c r="AR77" s="111" t="n">
        <f aca="false">AR71+SUM(AR74:AR76)</f>
        <v>1062723.93142796</v>
      </c>
      <c r="AS77" s="111" t="n">
        <f aca="false">AS71+SUM(AS74:AS76)</f>
        <v>1096624.92838261</v>
      </c>
      <c r="AT77" s="111" t="n">
        <f aca="false">AT71+SUM(AT74:AT76)</f>
        <v>1128327.33732241</v>
      </c>
      <c r="AU77" s="111" t="n">
        <f aca="false">AU71+SUM(AU74:AU76)</f>
        <v>1157922.09166583</v>
      </c>
      <c r="AV77" s="111" t="n">
        <f aca="false">AV71+SUM(AV74:AV76)</f>
        <v>1185548.67475902</v>
      </c>
      <c r="AW77" s="111" t="n">
        <f aca="false">AW71+SUM(AW74:AW76)</f>
        <v>1211296.77316122</v>
      </c>
      <c r="AX77" s="111" t="n">
        <f aca="false">AX71+SUM(AX74:AX76)</f>
        <v>1543250.63447145</v>
      </c>
      <c r="AY77" s="111" t="n">
        <f aca="false">AY71+SUM(AY74:AY76)</f>
        <v>1634130.70790341</v>
      </c>
      <c r="AZ77" s="111" t="n">
        <f aca="false">AZ71+SUM(AZ74:AZ76)</f>
        <v>1719366.34758396</v>
      </c>
      <c r="BA77" s="111" t="n">
        <f aca="false">BA71+SUM(BA74:BA76)</f>
        <v>1799220.45576687</v>
      </c>
      <c r="BB77" s="111" t="n">
        <f aca="false">BB71+SUM(BB74:BB76)</f>
        <v>1874108.42630761</v>
      </c>
      <c r="BC77" s="111" t="n">
        <f aca="false">BC71+SUM(BC74:BC76)</f>
        <v>1944307.5535724</v>
      </c>
      <c r="BD77" s="111" t="n">
        <f aca="false">BD71+SUM(BD74:BD76)</f>
        <v>2010127.98548135</v>
      </c>
      <c r="BE77" s="111" t="n">
        <f aca="false">BE71+SUM(BE74:BE76)</f>
        <v>2071861.58920454</v>
      </c>
      <c r="BF77" s="111" t="n">
        <f aca="false">BF71+SUM(BF74:BF76)</f>
        <v>2129679.16675884</v>
      </c>
      <c r="BG77" s="111" t="n">
        <f aca="false">BG71+SUM(BG74:BG76)</f>
        <v>2183921.89747398</v>
      </c>
      <c r="BH77" s="111" t="n">
        <f aca="false">BH71+SUM(BH74:BH76)</f>
        <v>2234775.60591523</v>
      </c>
      <c r="BI77" s="111" t="n">
        <f aca="false">BI71+SUM(BI74:BI76)</f>
        <v>2282476.80583701</v>
      </c>
      <c r="BJ77" s="111" t="n">
        <f aca="false">SUM(B77:BI77)</f>
        <v>44059915.7335712</v>
      </c>
    </row>
    <row r="78" customFormat="false" ht="15" hidden="false" customHeight="false" outlineLevel="0" collapsed="false">
      <c r="A78" s="27" t="s">
        <v>429</v>
      </c>
      <c r="B78" s="110" t="n">
        <f aca="false">-(B61*INDEX(Premissas!$C$73:$G$73,B$7)+(B59-B61)*INDEX(Premissas!$C$74:$G$74,B$7)+IF(B$4&gt;=Premissas!$B$71,INDEX(Premissas!$C$72:$G$72,B$7),0))</f>
        <v>-0</v>
      </c>
      <c r="C78" s="110" t="n">
        <f aca="false">-(C61*INDEX(Premissas!$C$73:$G$73,C$7)+(C59-C61)*INDEX(Premissas!$C$74:$G$74,C$7)+IF(C$4&gt;=Premissas!$B$71,INDEX(Premissas!$C$72:$G$72,C$7),0))</f>
        <v>-0</v>
      </c>
      <c r="D78" s="110" t="n">
        <f aca="false">-(D61*INDEX(Premissas!$C$73:$G$73,D$7)+(D59-D61)*INDEX(Premissas!$C$74:$G$74,D$7)+IF(D$4&gt;=Premissas!$B$71,INDEX(Premissas!$C$72:$G$72,D$7),0))</f>
        <v>-0</v>
      </c>
      <c r="E78" s="110" t="n">
        <f aca="false">-(E61*INDEX(Premissas!$C$73:$G$73,E$7)+(E59-E61)*INDEX(Premissas!$C$74:$G$74,E$7)+IF(E$4&gt;=Premissas!$B$71,INDEX(Premissas!$C$72:$G$72,E$7),0))</f>
        <v>-0</v>
      </c>
      <c r="F78" s="110" t="n">
        <f aca="false">-(F61*INDEX(Premissas!$C$73:$G$73,F$7)+(F59-F61)*INDEX(Premissas!$C$74:$G$74,F$7)+IF(F$4&gt;=Premissas!$B$71,INDEX(Premissas!$C$72:$G$72,F$7),0))</f>
        <v>-600</v>
      </c>
      <c r="G78" s="110" t="n">
        <f aca="false">-(G61*INDEX(Premissas!$C$73:$G$73,G$7)+(G59-G61)*INDEX(Premissas!$C$74:$G$74,G$7)+IF(G$4&gt;=Premissas!$B$71,INDEX(Premissas!$C$72:$G$72,G$7),0))</f>
        <v>-600</v>
      </c>
      <c r="H78" s="110" t="n">
        <f aca="false">-(H61*INDEX(Premissas!$C$73:$G$73,H$7)+(H59-H61)*INDEX(Premissas!$C$74:$G$74,H$7)+IF(H$4&gt;=Premissas!$B$71,INDEX(Premissas!$C$72:$G$72,H$7),0))</f>
        <v>-600</v>
      </c>
      <c r="I78" s="110" t="n">
        <f aca="false">-(I61*INDEX(Premissas!$C$73:$G$73,I$7)+(I59-I61)*INDEX(Premissas!$C$74:$G$74,I$7)+IF(I$4&gt;=Premissas!$B$71,INDEX(Premissas!$C$72:$G$72,I$7),0))</f>
        <v>-600</v>
      </c>
      <c r="J78" s="110" t="n">
        <f aca="false">-(J61*INDEX(Premissas!$C$73:$G$73,J$7)+(J59-J61)*INDEX(Premissas!$C$74:$G$74,J$7)+IF(J$4&gt;=Premissas!$B$71,INDEX(Premissas!$C$72:$G$72,J$7),0))</f>
        <v>-600</v>
      </c>
      <c r="K78" s="110" t="n">
        <f aca="false">-(K61*INDEX(Premissas!$C$73:$G$73,K$7)+(K59-K61)*INDEX(Premissas!$C$74:$G$74,K$7)+IF(K$4&gt;=Premissas!$B$71,INDEX(Premissas!$C$72:$G$72,K$7),0))</f>
        <v>-1185.48</v>
      </c>
      <c r="L78" s="110" t="n">
        <f aca="false">-(L61*INDEX(Premissas!$C$73:$G$73,L$7)+(L59-L61)*INDEX(Premissas!$C$74:$G$74,L$7)+IF(L$4&gt;=Premissas!$B$71,INDEX(Premissas!$C$72:$G$72,L$7),0))</f>
        <v>-2151.96</v>
      </c>
      <c r="M78" s="110" t="n">
        <f aca="false">-(M61*INDEX(Premissas!$C$73:$G$73,M$7)+(M59-M61)*INDEX(Premissas!$C$74:$G$74,M$7)+IF(M$4&gt;=Premissas!$B$71,INDEX(Premissas!$C$72:$G$72,M$7),0))</f>
        <v>-3454.3968</v>
      </c>
      <c r="N78" s="110" t="n">
        <f aca="false">-(N61*INDEX(Premissas!$C$73:$G$73,N$7)+(N59-N61)*INDEX(Premissas!$C$74:$G$74,N$7)+IF(N$4&gt;=Premissas!$B$71,INDEX(Premissas!$C$72:$G$72,N$7),0))</f>
        <v>-7485.64875264</v>
      </c>
      <c r="O78" s="110" t="n">
        <f aca="false">-(O61*INDEX(Premissas!$C$73:$G$73,O$7)+(O59-O61)*INDEX(Premissas!$C$74:$G$74,O$7)+IF(O$4&gt;=Premissas!$B$71,INDEX(Premissas!$C$72:$G$72,O$7),0))</f>
        <v>-10092.7202704415</v>
      </c>
      <c r="P78" s="110" t="n">
        <f aca="false">-(P61*INDEX(Premissas!$C$73:$G$73,P$7)+(P59-P61)*INDEX(Premissas!$C$74:$G$74,P$7)+IF(P$4&gt;=Premissas!$B$71,INDEX(Premissas!$C$72:$G$72,P$7),0))</f>
        <v>-13066.2661701043</v>
      </c>
      <c r="Q78" s="110" t="n">
        <f aca="false">-(Q61*INDEX(Premissas!$C$73:$G$73,Q$7)+(Q59-Q61)*INDEX(Premissas!$C$74:$G$74,Q$7)+IF(Q$4&gt;=Premissas!$B$71,INDEX(Premissas!$C$72:$G$72,Q$7),0))</f>
        <v>-14764.8523781124</v>
      </c>
      <c r="R78" s="110" t="n">
        <f aca="false">-(R61*INDEX(Premissas!$C$73:$G$73,R$7)+(R59-R61)*INDEX(Premissas!$C$74:$G$74,R$7)+IF(R$4&gt;=Premissas!$B$71,INDEX(Premissas!$C$72:$G$72,R$7),0))</f>
        <v>-16335.8708872784</v>
      </c>
      <c r="S78" s="110" t="n">
        <f aca="false">-(S61*INDEX(Premissas!$C$73:$G$73,S$7)+(S59-S61)*INDEX(Premissas!$C$74:$G$74,S$7)+IF(S$4&gt;=Premissas!$B$71,INDEX(Premissas!$C$72:$G$72,S$7),0))</f>
        <v>-17788.063588555</v>
      </c>
      <c r="T78" s="110" t="n">
        <f aca="false">-(T61*INDEX(Premissas!$C$73:$G$73,T$7)+(T59-T61)*INDEX(Premissas!$C$74:$G$74,T$7)+IF(T$4&gt;=Premissas!$B$71,INDEX(Premissas!$C$72:$G$72,T$7),0))</f>
        <v>-19131.3450626957</v>
      </c>
      <c r="U78" s="110" t="n">
        <f aca="false">-(U61*INDEX(Premissas!$C$73:$G$73,U$7)+(U59-U61)*INDEX(Premissas!$C$74:$G$74,U$7)+IF(U$4&gt;=Premissas!$B$71,INDEX(Premissas!$C$72:$G$72,U$7),0))</f>
        <v>-20374.154409981</v>
      </c>
      <c r="V78" s="110" t="n">
        <f aca="false">-(V61*INDEX(Premissas!$C$73:$G$73,V$7)+(V59-V61)*INDEX(Premissas!$C$74:$G$74,V$7)+IF(V$4&gt;=Premissas!$B$71,INDEX(Premissas!$C$72:$G$72,V$7),0))</f>
        <v>-21522.1361903504</v>
      </c>
      <c r="W78" s="110" t="n">
        <f aca="false">-(W61*INDEX(Premissas!$C$73:$G$73,W$7)+(W59-W61)*INDEX(Premissas!$C$74:$G$74,W$7)+IF(W$4&gt;=Premissas!$B$71,INDEX(Premissas!$C$72:$G$72,W$7),0))</f>
        <v>-22584.8005408361</v>
      </c>
      <c r="X78" s="110" t="n">
        <f aca="false">-(X61*INDEX(Premissas!$C$73:$G$73,X$7)+(X59-X61)*INDEX(Premissas!$C$74:$G$74,X$7)+IF(X$4&gt;=Premissas!$B$71,INDEX(Premissas!$C$72:$G$72,X$7),0))</f>
        <v>-23567.5525321652</v>
      </c>
      <c r="Y78" s="110" t="n">
        <f aca="false">-(Y61*INDEX(Premissas!$C$73:$G$73,Y$7)+(Y59-Y61)*INDEX(Premissas!$C$74:$G$74,Y$7)+IF(Y$4&gt;=Premissas!$B$71,INDEX(Premissas!$C$72:$G$72,Y$7),0))</f>
        <v>-24475.6908217464</v>
      </c>
      <c r="Z78" s="110" t="n">
        <f aca="false">-(Z61*INDEX(Premissas!$C$73:$G$73,Z$7)+(Z59-Z61)*INDEX(Premissas!$C$74:$G$74,Z$7)+IF(Z$4&gt;=Premissas!$B$71,INDEX(Premissas!$C$72:$G$72,Z$7),0))</f>
        <v>-30109.4172093089</v>
      </c>
      <c r="AA78" s="110" t="n">
        <f aca="false">-(AA61*INDEX(Premissas!$C$73:$G$73,AA$7)+(AA59-AA61)*INDEX(Premissas!$C$74:$G$74,AA$7)+IF(AA$4&gt;=Premissas!$B$71,INDEX(Premissas!$C$72:$G$72,AA$7),0))</f>
        <v>-31967.9254947693</v>
      </c>
      <c r="AB78" s="110" t="n">
        <f aca="false">-(AB61*INDEX(Premissas!$C$73:$G$73,AB$7)+(AB59-AB61)*INDEX(Premissas!$C$74:$G$74,AB$7)+IF(AB$4&gt;=Premissas!$B$71,INDEX(Premissas!$C$72:$G$72,AB$7),0))</f>
        <v>-33695.271819187</v>
      </c>
      <c r="AC78" s="110" t="n">
        <f aca="false">-(AC61*INDEX(Premissas!$C$73:$G$73,AC$7)+(AC59-AC61)*INDEX(Premissas!$C$74:$G$74,AC$7)+IF(AC$4&gt;=Premissas!$B$71,INDEX(Premissas!$C$72:$G$72,AC$7),0))</f>
        <v>-35300.2380470083</v>
      </c>
      <c r="AD78" s="110" t="n">
        <f aca="false">-(AD61*INDEX(Premissas!$C$73:$G$73,AD$7)+(AD59-AD61)*INDEX(Premissas!$C$74:$G$74,AD$7)+IF(AD$4&gt;=Premissas!$B$71,INDEX(Premissas!$C$72:$G$72,AD$7),0))</f>
        <v>-36792.5973831414</v>
      </c>
      <c r="AE78" s="110" t="n">
        <f aca="false">-(AE61*INDEX(Premissas!$C$73:$G$73,AE$7)+(AE59-AE61)*INDEX(Premissas!$C$74:$G$74,AE$7)+IF(AE$4&gt;=Premissas!$B$71,INDEX(Premissas!$C$72:$G$72,AE$7),0))</f>
        <v>-38178.5963158979</v>
      </c>
      <c r="AF78" s="110" t="n">
        <f aca="false">-(AF61*INDEX(Premissas!$C$73:$G$73,AF$7)+(AF59-AF61)*INDEX(Premissas!$C$74:$G$74,AF$7)+IF(AF$4&gt;=Premissas!$B$71,INDEX(Premissas!$C$72:$G$72,AF$7),0))</f>
        <v>-39466.6238570877</v>
      </c>
      <c r="AG78" s="110" t="n">
        <f aca="false">-(AG61*INDEX(Premissas!$C$73:$G$73,AG$7)+(AG59-AG61)*INDEX(Premissas!$C$74:$G$74,AG$7)+IF(AG$4&gt;=Premissas!$B$71,INDEX(Premissas!$C$72:$G$72,AG$7),0))</f>
        <v>-40663.8241289499</v>
      </c>
      <c r="AH78" s="110" t="n">
        <f aca="false">-(AH61*INDEX(Premissas!$C$73:$G$73,AH$7)+(AH59-AH61)*INDEX(Premissas!$C$74:$G$74,AH$7)+IF(AH$4&gt;=Premissas!$B$71,INDEX(Premissas!$C$72:$G$72,AH$7),0))</f>
        <v>-41777.2363440907</v>
      </c>
      <c r="AI78" s="110" t="n">
        <f aca="false">-(AI61*INDEX(Premissas!$C$73:$G$73,AI$7)+(AI59-AI61)*INDEX(Premissas!$C$74:$G$74,AI$7)+IF(AI$4&gt;=Premissas!$B$71,INDEX(Premissas!$C$72:$G$72,AI$7),0))</f>
        <v>-42811.5382213356</v>
      </c>
      <c r="AJ78" s="110" t="n">
        <f aca="false">-(AJ61*INDEX(Premissas!$C$73:$G$73,AJ$7)+(AJ59-AJ61)*INDEX(Premissas!$C$74:$G$74,AJ$7)+IF(AJ$4&gt;=Premissas!$B$71,INDEX(Premissas!$C$72:$G$72,AJ$7),0))</f>
        <v>-43772.4488773698</v>
      </c>
      <c r="AK78" s="110" t="n">
        <f aca="false">-(AK61*INDEX(Premissas!$C$73:$G$73,AK$7)+(AK59-AK61)*INDEX(Premissas!$C$74:$G$74,AK$7)+IF(AK$4&gt;=Premissas!$B$71,INDEX(Premissas!$C$72:$G$72,AK$7),0))</f>
        <v>-44664.4712312223</v>
      </c>
      <c r="AL78" s="110" t="n">
        <f aca="false">-(AL61*INDEX(Premissas!$C$73:$G$73,AL$7)+(AL59-AL61)*INDEX(Premissas!$C$74:$G$74,AL$7)+IF(AL$4&gt;=Premissas!$B$71,INDEX(Premissas!$C$72:$G$72,AL$7),0))</f>
        <v>-54092.6320937844</v>
      </c>
      <c r="AM78" s="110" t="n">
        <f aca="false">-(AM61*INDEX(Premissas!$C$73:$G$73,AM$7)+(AM59-AM61)*INDEX(Premissas!$C$74:$G$74,AM$7)+IF(AM$4&gt;=Premissas!$B$71,INDEX(Premissas!$C$72:$G$72,AM$7),0))</f>
        <v>-56400.7017415393</v>
      </c>
      <c r="AN78" s="110" t="n">
        <f aca="false">-(AN61*INDEX(Premissas!$C$73:$G$73,AN$7)+(AN59-AN61)*INDEX(Premissas!$C$74:$G$74,AN$7)+IF(AN$4&gt;=Premissas!$B$71,INDEX(Premissas!$C$72:$G$72,AN$7),0))</f>
        <v>-58554.8019178997</v>
      </c>
      <c r="AO78" s="110" t="n">
        <f aca="false">-(AO61*INDEX(Premissas!$C$73:$G$73,AO$7)+(AO59-AO61)*INDEX(Premissas!$C$74:$G$74,AO$7)+IF(AO$4&gt;=Premissas!$B$71,INDEX(Premissas!$C$72:$G$72,AO$7),0))</f>
        <v>-60566.7666868007</v>
      </c>
      <c r="AP78" s="110" t="n">
        <f aca="false">-(AP61*INDEX(Premissas!$C$73:$G$73,AP$7)+(AP59-AP61)*INDEX(Premissas!$C$74:$G$74,AP$7)+IF(AP$4&gt;=Premissas!$B$71,INDEX(Premissas!$C$72:$G$72,AP$7),0))</f>
        <v>-62444.3582776368</v>
      </c>
      <c r="AQ78" s="110" t="n">
        <f aca="false">-(AQ61*INDEX(Premissas!$C$73:$G$73,AQ$7)+(AQ59-AQ61)*INDEX(Premissas!$C$74:$G$74,AQ$7)+IF(AQ$4&gt;=Premissas!$B$71,INDEX(Premissas!$C$72:$G$72,AQ$7),0))</f>
        <v>-64197.1858452342</v>
      </c>
      <c r="AR78" s="110" t="n">
        <f aca="false">-(AR61*INDEX(Premissas!$C$73:$G$73,AR$7)+(AR59-AR61)*INDEX(Premissas!$C$74:$G$74,AR$7)+IF(AR$4&gt;=Premissas!$B$71,INDEX(Premissas!$C$72:$G$72,AR$7),0))</f>
        <v>-65833.7586477527</v>
      </c>
      <c r="AS78" s="110" t="n">
        <f aca="false">-(AS61*INDEX(Premissas!$C$73:$G$73,AS$7)+(AS59-AS61)*INDEX(Premissas!$C$74:$G$74,AS$7)+IF(AS$4&gt;=Premissas!$B$71,INDEX(Premissas!$C$72:$G$72,AS$7),0))</f>
        <v>-67361.4936811923</v>
      </c>
      <c r="AT78" s="110" t="n">
        <f aca="false">-(AT61*INDEX(Premissas!$C$73:$G$73,AT$7)+(AT59-AT61)*INDEX(Premissas!$C$74:$G$74,AT$7)+IF(AT$4&gt;=Premissas!$B$71,INDEX(Premissas!$C$72:$G$72,AT$7),0))</f>
        <v>-68787.7078066116</v>
      </c>
      <c r="AU78" s="110" t="n">
        <f aca="false">-(AU61*INDEX(Premissas!$C$73:$G$73,AU$7)+(AU59-AU61)*INDEX(Premissas!$C$74:$G$74,AU$7)+IF(AU$4&gt;=Premissas!$B$71,INDEX(Premissas!$C$72:$G$72,AU$7),0))</f>
        <v>-70119.6244037662</v>
      </c>
      <c r="AV78" s="110" t="n">
        <f aca="false">-(AV61*INDEX(Premissas!$C$73:$G$73,AV$7)+(AV59-AV61)*INDEX(Premissas!$C$74:$G$74,AV$7)+IF(AV$4&gt;=Premissas!$B$71,INDEX(Premissas!$C$72:$G$72,AV$7),0))</f>
        <v>-71362.4095826352</v>
      </c>
      <c r="AW78" s="110" t="n">
        <f aca="false">-(AW61*INDEX(Premissas!$C$73:$G$73,AW$7)+(AW59-AW61)*INDEX(Premissas!$C$74:$G$74,AW$7)+IF(AW$4&gt;=Premissas!$B$71,INDEX(Premissas!$C$72:$G$72,AW$7),0))</f>
        <v>-72523.1179822109</v>
      </c>
      <c r="AX78" s="110" t="n">
        <f aca="false">-(AX61*INDEX(Premissas!$C$73:$G$73,AX$7)+(AX59-AX61)*INDEX(Premissas!$C$74:$G$74,AX$7)+IF(AX$4&gt;=Premissas!$B$71,INDEX(Premissas!$C$72:$G$72,AX$7),0))</f>
        <v>-86787.8473718731</v>
      </c>
      <c r="AY78" s="110" t="n">
        <f aca="false">-(AY61*INDEX(Premissas!$C$73:$G$73,AY$7)+(AY59-AY61)*INDEX(Premissas!$C$74:$G$74,AY$7)+IF(AY$4&gt;=Premissas!$B$71,INDEX(Premissas!$C$72:$G$72,AY$7),0))</f>
        <v>-90131.9471902462</v>
      </c>
      <c r="AZ78" s="110" t="n">
        <f aca="false">-(AZ61*INDEX(Premissas!$C$73:$G$73,AZ$7)+(AZ59-AZ61)*INDEX(Premissas!$C$74:$G$74,AZ$7)+IF(AZ$4&gt;=Premissas!$B$71,INDEX(Premissas!$C$72:$G$72,AZ$7),0))</f>
        <v>-93267.1228169561</v>
      </c>
      <c r="BA78" s="110" t="n">
        <f aca="false">-(BA61*INDEX(Premissas!$C$73:$G$73,BA$7)+(BA59-BA61)*INDEX(Premissas!$C$74:$G$74,BA$7)+IF(BA$4&gt;=Premissas!$B$71,INDEX(Premissas!$C$72:$G$72,BA$7),0))</f>
        <v>-96205.7112816479</v>
      </c>
      <c r="BB78" s="110" t="n">
        <f aca="false">-(BB61*INDEX(Premissas!$C$73:$G$73,BB$7)+(BB59-BB61)*INDEX(Premissas!$C$74:$G$74,BB$7)+IF(BB$4&gt;=Premissas!$B$71,INDEX(Premissas!$C$72:$G$72,BB$7),0))</f>
        <v>-98961.6570914118</v>
      </c>
      <c r="BC78" s="110" t="n">
        <f aca="false">-(BC61*INDEX(Premissas!$C$73:$G$73,BC$7)+(BC59-BC61)*INDEX(Premissas!$C$74:$G$74,BC$7)+IF(BC$4&gt;=Premissas!$B$71,INDEX(Premissas!$C$72:$G$72,BC$7),0))</f>
        <v>-101545.212381928</v>
      </c>
      <c r="BD78" s="110" t="n">
        <f aca="false">-(BD61*INDEX(Premissas!$C$73:$G$73,BD$7)+(BD59-BD61)*INDEX(Premissas!$C$74:$G$74,BD$7)+IF(BD$4&gt;=Premissas!$B$71,INDEX(Premissas!$C$72:$G$72,BD$7),0))</f>
        <v>-103967.371434572</v>
      </c>
      <c r="BE78" s="110" t="n">
        <f aca="false">-(BE61*INDEX(Premissas!$C$73:$G$73,BE$7)+(BE59-BE61)*INDEX(Premissas!$C$74:$G$74,BE$7)+IF(BE$4&gt;=Premissas!$B$71,INDEX(Premissas!$C$72:$G$72,BE$7),0))</f>
        <v>-106238.109599084</v>
      </c>
      <c r="BF78" s="110" t="n">
        <f aca="false">-(BF61*INDEX(Premissas!$C$73:$G$73,BF$7)+(BF59-BF61)*INDEX(Premissas!$C$74:$G$74,BF$7)+IF(BF$4&gt;=Premissas!$B$71,INDEX(Premissas!$C$72:$G$72,BF$7),0))</f>
        <v>-108367.276658926</v>
      </c>
      <c r="BG78" s="110" t="n">
        <f aca="false">-(BG61*INDEX(Premissas!$C$73:$G$73,BG$7)+(BG59-BG61)*INDEX(Premissas!$C$74:$G$74,BG$7)+IF(BG$4&gt;=Premissas!$B$71,INDEX(Premissas!$C$72:$G$72,BG$7),0))</f>
        <v>-110362.834674142</v>
      </c>
      <c r="BH78" s="110" t="n">
        <f aca="false">-(BH61*INDEX(Premissas!$C$73:$G$73,BH$7)+(BH59-BH61)*INDEX(Premissas!$C$74:$G$74,BH$7)+IF(BH$4&gt;=Premissas!$B$71,INDEX(Premissas!$C$72:$G$72,BH$7),0))</f>
        <v>-112234.405334352</v>
      </c>
      <c r="BI78" s="110" t="n">
        <f aca="false">-(BI61*INDEX(Premissas!$C$73:$G$73,BI$7)+(BI59-BI61)*INDEX(Premissas!$C$74:$G$74,BI$7)+IF(BI$4&gt;=Premissas!$B$71,INDEX(Premissas!$C$72:$G$72,BI$7),0))</f>
        <v>-113988.851852481</v>
      </c>
      <c r="BJ78" s="111" t="n">
        <f aca="false">SUM(B78:BI78)</f>
        <v>-2674484.03368896</v>
      </c>
    </row>
    <row r="79" customFormat="false" ht="15" hidden="false" customHeight="false" outlineLevel="0" collapsed="false">
      <c r="A79" s="27" t="s">
        <v>430</v>
      </c>
      <c r="B79" s="110" t="n">
        <f aca="false">-B61*INDEX(Premissas!$C$75:$G$75,B$7)</f>
        <v>-0</v>
      </c>
      <c r="C79" s="110" t="n">
        <f aca="false">-C61*INDEX(Premissas!$C$75:$G$75,C$7)</f>
        <v>-0</v>
      </c>
      <c r="D79" s="110" t="n">
        <f aca="false">-D61*INDEX(Premissas!$C$75:$G$75,D$7)</f>
        <v>-0</v>
      </c>
      <c r="E79" s="110" t="n">
        <f aca="false">-E61*INDEX(Premissas!$C$75:$G$75,E$7)</f>
        <v>-0</v>
      </c>
      <c r="F79" s="110" t="n">
        <f aca="false">-F61*INDEX(Premissas!$C$75:$G$75,F$7)</f>
        <v>-0</v>
      </c>
      <c r="G79" s="110" t="n">
        <f aca="false">-G61*INDEX(Premissas!$C$75:$G$75,G$7)</f>
        <v>-0</v>
      </c>
      <c r="H79" s="110" t="n">
        <f aca="false">-H61*INDEX(Premissas!$C$75:$G$75,H$7)</f>
        <v>-0</v>
      </c>
      <c r="I79" s="110" t="n">
        <f aca="false">-I61*INDEX(Premissas!$C$75:$G$75,I$7)</f>
        <v>-0</v>
      </c>
      <c r="J79" s="110" t="n">
        <f aca="false">-J61*INDEX(Premissas!$C$75:$G$75,J$7)</f>
        <v>-0</v>
      </c>
      <c r="K79" s="110" t="n">
        <f aca="false">-K61*INDEX(Premissas!$C$75:$G$75,K$7)</f>
        <v>-52.85</v>
      </c>
      <c r="L79" s="110" t="n">
        <f aca="false">-L61*INDEX(Premissas!$C$75:$G$75,L$7)</f>
        <v>-202.65</v>
      </c>
      <c r="M79" s="110" t="n">
        <f aca="false">-M61*INDEX(Premissas!$C$75:$G$75,M$7)</f>
        <v>-438.2</v>
      </c>
      <c r="N79" s="110" t="n">
        <f aca="false">-N61*INDEX(Premissas!$C$75:$G$75,N$7)</f>
        <v>-925.4</v>
      </c>
      <c r="O79" s="110" t="n">
        <f aca="false">-O61*INDEX(Premissas!$C$75:$G$75,O$7)</f>
        <v>-1497.65</v>
      </c>
      <c r="P79" s="110" t="n">
        <f aca="false">-P61*INDEX(Premissas!$C$75:$G$75,P$7)</f>
        <v>-2174.9</v>
      </c>
      <c r="Q79" s="110" t="n">
        <f aca="false">-Q61*INDEX(Premissas!$C$75:$G$75,Q$7)</f>
        <v>-2524.55</v>
      </c>
      <c r="R79" s="110" t="n">
        <f aca="false">-R61*INDEX(Premissas!$C$75:$G$75,R$7)</f>
        <v>-2847.95</v>
      </c>
      <c r="S79" s="110" t="n">
        <f aca="false">-S61*INDEX(Premissas!$C$75:$G$75,S$7)</f>
        <v>-3146.85</v>
      </c>
      <c r="T79" s="110" t="n">
        <f aca="false">-T61*INDEX(Premissas!$C$75:$G$75,T$7)</f>
        <v>-3423.35</v>
      </c>
      <c r="U79" s="110" t="n">
        <f aca="false">-U61*INDEX(Premissas!$C$75:$G$75,U$7)</f>
        <v>-3679.2</v>
      </c>
      <c r="V79" s="110" t="n">
        <f aca="false">-V61*INDEX(Premissas!$C$75:$G$75,V$7)</f>
        <v>-3915.45</v>
      </c>
      <c r="W79" s="110" t="n">
        <f aca="false">-W61*INDEX(Premissas!$C$75:$G$75,W$7)</f>
        <v>-4134.2</v>
      </c>
      <c r="X79" s="110" t="n">
        <f aca="false">-X61*INDEX(Premissas!$C$75:$G$75,X$7)</f>
        <v>-4336.5</v>
      </c>
      <c r="Y79" s="110" t="n">
        <f aca="false">-Y61*INDEX(Premissas!$C$75:$G$75,Y$7)</f>
        <v>-4523.4</v>
      </c>
      <c r="Z79" s="110" t="n">
        <f aca="false">-Z61*INDEX(Premissas!$C$75:$G$75,Z$7)</f>
        <v>-4604.1</v>
      </c>
      <c r="AA79" s="110" t="n">
        <f aca="false">-AA61*INDEX(Premissas!$C$75:$G$75,AA$7)</f>
        <v>-4991.1</v>
      </c>
      <c r="AB79" s="110" t="n">
        <f aca="false">-AB61*INDEX(Premissas!$C$75:$G$75,AB$7)</f>
        <v>-5350.8</v>
      </c>
      <c r="AC79" s="110" t="n">
        <f aca="false">-AC61*INDEX(Premissas!$C$75:$G$75,AC$7)</f>
        <v>-5685</v>
      </c>
      <c r="AD79" s="110" t="n">
        <f aca="false">-AD61*INDEX(Premissas!$C$75:$G$75,AD$7)</f>
        <v>-5995.8</v>
      </c>
      <c r="AE79" s="110" t="n">
        <f aca="false">-AE61*INDEX(Premissas!$C$75:$G$75,AE$7)</f>
        <v>-6284.4</v>
      </c>
      <c r="AF79" s="110" t="n">
        <f aca="false">-AF61*INDEX(Premissas!$C$75:$G$75,AF$7)</f>
        <v>-6552.6</v>
      </c>
      <c r="AG79" s="110" t="n">
        <f aca="false">-AG61*INDEX(Premissas!$C$75:$G$75,AG$7)</f>
        <v>-6801.9</v>
      </c>
      <c r="AH79" s="110" t="n">
        <f aca="false">-AH61*INDEX(Premissas!$C$75:$G$75,AH$7)</f>
        <v>-7033.8</v>
      </c>
      <c r="AI79" s="110" t="n">
        <f aca="false">-AI61*INDEX(Premissas!$C$75:$G$75,AI$7)</f>
        <v>-7249.2</v>
      </c>
      <c r="AJ79" s="110" t="n">
        <f aca="false">-AJ61*INDEX(Premissas!$C$75:$G$75,AJ$7)</f>
        <v>-7449.3</v>
      </c>
      <c r="AK79" s="110" t="n">
        <f aca="false">-AK61*INDEX(Premissas!$C$75:$G$75,AK$7)</f>
        <v>-7635</v>
      </c>
      <c r="AL79" s="110" t="n">
        <f aca="false">-AL61*INDEX(Premissas!$C$75:$G$75,AL$7)</f>
        <v>-8262.24</v>
      </c>
      <c r="AM79" s="110" t="n">
        <f aca="false">-AM61*INDEX(Premissas!$C$75:$G$75,AM$7)</f>
        <v>-8790.6</v>
      </c>
      <c r="AN79" s="110" t="n">
        <f aca="false">-AN61*INDEX(Premissas!$C$75:$G$75,AN$7)</f>
        <v>-9283.68</v>
      </c>
      <c r="AO79" s="110" t="n">
        <f aca="false">-AO61*INDEX(Premissas!$C$75:$G$75,AO$7)</f>
        <v>-9744.28</v>
      </c>
      <c r="AP79" s="110" t="n">
        <f aca="false">-AP61*INDEX(Premissas!$C$75:$G$75,AP$7)</f>
        <v>-10174.08</v>
      </c>
      <c r="AQ79" s="110" t="n">
        <f aca="false">-AQ61*INDEX(Premissas!$C$75:$G$75,AQ$7)</f>
        <v>-10575.32</v>
      </c>
      <c r="AR79" s="110" t="n">
        <f aca="false">-AR61*INDEX(Premissas!$C$75:$G$75,AR$7)</f>
        <v>-10949.96</v>
      </c>
      <c r="AS79" s="110" t="n">
        <f aca="false">-AS61*INDEX(Premissas!$C$75:$G$75,AS$7)</f>
        <v>-11299.68</v>
      </c>
      <c r="AT79" s="110" t="n">
        <f aca="false">-AT61*INDEX(Premissas!$C$75:$G$75,AT$7)</f>
        <v>-11626.16</v>
      </c>
      <c r="AU79" s="110" t="n">
        <f aca="false">-AU61*INDEX(Premissas!$C$75:$G$75,AU$7)</f>
        <v>-11931.08</v>
      </c>
      <c r="AV79" s="110" t="n">
        <f aca="false">-AV61*INDEX(Premissas!$C$75:$G$75,AV$7)</f>
        <v>-12215.56</v>
      </c>
      <c r="AW79" s="110" t="n">
        <f aca="false">-AW61*INDEX(Premissas!$C$75:$G$75,AW$7)</f>
        <v>-12481.28</v>
      </c>
      <c r="AX79" s="110" t="n">
        <f aca="false">-AX61*INDEX(Premissas!$C$75:$G$75,AX$7)</f>
        <v>-12842</v>
      </c>
      <c r="AY79" s="110" t="n">
        <f aca="false">-AY61*INDEX(Premissas!$C$75:$G$75,AY$7)</f>
        <v>-13598.25</v>
      </c>
      <c r="AZ79" s="110" t="n">
        <f aca="false">-AZ61*INDEX(Premissas!$C$75:$G$75,AZ$7)</f>
        <v>-14307.25</v>
      </c>
      <c r="BA79" s="110" t="n">
        <f aca="false">-BA61*INDEX(Premissas!$C$75:$G$75,BA$7)</f>
        <v>-14971.75</v>
      </c>
      <c r="BB79" s="110" t="n">
        <f aca="false">-BB61*INDEX(Premissas!$C$75:$G$75,BB$7)</f>
        <v>-15595</v>
      </c>
      <c r="BC79" s="110" t="n">
        <f aca="false">-BC61*INDEX(Premissas!$C$75:$G$75,BC$7)</f>
        <v>-16179.25</v>
      </c>
      <c r="BD79" s="110" t="n">
        <f aca="false">-BD61*INDEX(Premissas!$C$75:$G$75,BD$7)</f>
        <v>-16727</v>
      </c>
      <c r="BE79" s="110" t="n">
        <f aca="false">-BE61*INDEX(Premissas!$C$75:$G$75,BE$7)</f>
        <v>-17240.5</v>
      </c>
      <c r="BF79" s="110" t="n">
        <f aca="false">-BF61*INDEX(Premissas!$C$75:$G$75,BF$7)</f>
        <v>-17722</v>
      </c>
      <c r="BG79" s="110" t="n">
        <f aca="false">-BG61*INDEX(Premissas!$C$75:$G$75,BG$7)</f>
        <v>-18173.25</v>
      </c>
      <c r="BH79" s="110" t="n">
        <f aca="false">-BH61*INDEX(Premissas!$C$75:$G$75,BH$7)</f>
        <v>-18596.5</v>
      </c>
      <c r="BI79" s="110" t="n">
        <f aca="false">-BI61*INDEX(Premissas!$C$75:$G$75,BI$7)</f>
        <v>-18993.25</v>
      </c>
      <c r="BJ79" s="111" t="n">
        <f aca="false">SUM(B79:BI79)</f>
        <v>-435736.02</v>
      </c>
    </row>
    <row r="80" customFormat="false" ht="15" hidden="false" customHeight="false" outlineLevel="0" collapsed="false">
      <c r="A80" s="27" t="s">
        <v>581</v>
      </c>
      <c r="B80" s="110" t="n">
        <f aca="false">-Pessoas!B45</f>
        <v>-0</v>
      </c>
      <c r="C80" s="110" t="n">
        <f aca="false">-Pessoas!C45</f>
        <v>-0</v>
      </c>
      <c r="D80" s="110" t="n">
        <f aca="false">-Pessoas!D45</f>
        <v>-0</v>
      </c>
      <c r="E80" s="110" t="n">
        <f aca="false">-Pessoas!E45</f>
        <v>-0</v>
      </c>
      <c r="F80" s="110" t="n">
        <f aca="false">-Pessoas!F45</f>
        <v>-0</v>
      </c>
      <c r="G80" s="110" t="n">
        <f aca="false">-Pessoas!G45</f>
        <v>-0</v>
      </c>
      <c r="H80" s="110" t="n">
        <f aca="false">-Pessoas!H45</f>
        <v>-0</v>
      </c>
      <c r="I80" s="110" t="n">
        <f aca="false">-Pessoas!I45</f>
        <v>-0</v>
      </c>
      <c r="J80" s="110" t="n">
        <f aca="false">-Pessoas!J45</f>
        <v>-0</v>
      </c>
      <c r="K80" s="110" t="n">
        <f aca="false">-Pessoas!K45</f>
        <v>-0</v>
      </c>
      <c r="L80" s="110" t="n">
        <f aca="false">-Pessoas!L45</f>
        <v>-0</v>
      </c>
      <c r="M80" s="110" t="n">
        <f aca="false">-Pessoas!M45</f>
        <v>-0</v>
      </c>
      <c r="N80" s="110" t="n">
        <f aca="false">-Pessoas!N45</f>
        <v>-42500</v>
      </c>
      <c r="O80" s="110" t="n">
        <f aca="false">-Pessoas!O45</f>
        <v>-42500</v>
      </c>
      <c r="P80" s="110" t="n">
        <f aca="false">-Pessoas!P45</f>
        <v>-42500</v>
      </c>
      <c r="Q80" s="110" t="n">
        <f aca="false">-Pessoas!Q45</f>
        <v>-42500</v>
      </c>
      <c r="R80" s="110" t="n">
        <f aca="false">-Pessoas!R45</f>
        <v>-42500</v>
      </c>
      <c r="S80" s="110" t="n">
        <f aca="false">-Pessoas!S45</f>
        <v>-42500</v>
      </c>
      <c r="T80" s="110" t="n">
        <f aca="false">-Pessoas!T45</f>
        <v>-42500</v>
      </c>
      <c r="U80" s="110" t="n">
        <f aca="false">-Pessoas!U45</f>
        <v>-42500</v>
      </c>
      <c r="V80" s="110" t="n">
        <f aca="false">-Pessoas!V45</f>
        <v>-42500</v>
      </c>
      <c r="W80" s="110" t="n">
        <f aca="false">-Pessoas!W45</f>
        <v>-42500</v>
      </c>
      <c r="X80" s="110" t="n">
        <f aca="false">-Pessoas!X45</f>
        <v>-42500</v>
      </c>
      <c r="Y80" s="110" t="n">
        <f aca="false">-Pessoas!Y45</f>
        <v>-42500</v>
      </c>
      <c r="Z80" s="110" t="n">
        <f aca="false">-Pessoas!Z45</f>
        <v>-117500</v>
      </c>
      <c r="AA80" s="110" t="n">
        <f aca="false">-Pessoas!AA45</f>
        <v>-117500</v>
      </c>
      <c r="AB80" s="110" t="n">
        <f aca="false">-Pessoas!AB45</f>
        <v>-117500</v>
      </c>
      <c r="AC80" s="110" t="n">
        <f aca="false">-Pessoas!AC45</f>
        <v>-117500</v>
      </c>
      <c r="AD80" s="110" t="n">
        <f aca="false">-Pessoas!AD45</f>
        <v>-117500</v>
      </c>
      <c r="AE80" s="110" t="n">
        <f aca="false">-Pessoas!AE45</f>
        <v>-117500</v>
      </c>
      <c r="AF80" s="110" t="n">
        <f aca="false">-Pessoas!AF45</f>
        <v>-117500</v>
      </c>
      <c r="AG80" s="110" t="n">
        <f aca="false">-Pessoas!AG45</f>
        <v>-117500</v>
      </c>
      <c r="AH80" s="110" t="n">
        <f aca="false">-Pessoas!AH45</f>
        <v>-117500</v>
      </c>
      <c r="AI80" s="110" t="n">
        <f aca="false">-Pessoas!AI45</f>
        <v>-117500</v>
      </c>
      <c r="AJ80" s="110" t="n">
        <f aca="false">-Pessoas!AJ45</f>
        <v>-117500</v>
      </c>
      <c r="AK80" s="110" t="n">
        <f aca="false">-Pessoas!AK45</f>
        <v>-117500</v>
      </c>
      <c r="AL80" s="110" t="n">
        <f aca="false">-Pessoas!AL45</f>
        <v>-253300</v>
      </c>
      <c r="AM80" s="110" t="n">
        <f aca="false">-Pessoas!AM45</f>
        <v>-253300</v>
      </c>
      <c r="AN80" s="110" t="n">
        <f aca="false">-Pessoas!AN45</f>
        <v>-253300</v>
      </c>
      <c r="AO80" s="110" t="n">
        <f aca="false">-Pessoas!AO45</f>
        <v>-253300</v>
      </c>
      <c r="AP80" s="110" t="n">
        <f aca="false">-Pessoas!AP45</f>
        <v>-253300</v>
      </c>
      <c r="AQ80" s="110" t="n">
        <f aca="false">-Pessoas!AQ45</f>
        <v>-253300</v>
      </c>
      <c r="AR80" s="110" t="n">
        <f aca="false">-Pessoas!AR45</f>
        <v>-253300</v>
      </c>
      <c r="AS80" s="110" t="n">
        <f aca="false">-Pessoas!AS45</f>
        <v>-253300</v>
      </c>
      <c r="AT80" s="110" t="n">
        <f aca="false">-Pessoas!AT45</f>
        <v>-253300</v>
      </c>
      <c r="AU80" s="110" t="n">
        <f aca="false">-Pessoas!AU45</f>
        <v>-253300</v>
      </c>
      <c r="AV80" s="110" t="n">
        <f aca="false">-Pessoas!AV45</f>
        <v>-253300</v>
      </c>
      <c r="AW80" s="110" t="n">
        <f aca="false">-Pessoas!AW45</f>
        <v>-253300</v>
      </c>
      <c r="AX80" s="110" t="n">
        <f aca="false">-Pessoas!AX45</f>
        <v>-374300</v>
      </c>
      <c r="AY80" s="110" t="n">
        <f aca="false">-Pessoas!AY45</f>
        <v>-374300</v>
      </c>
      <c r="AZ80" s="110" t="n">
        <f aca="false">-Pessoas!AZ45</f>
        <v>-374300</v>
      </c>
      <c r="BA80" s="110" t="n">
        <f aca="false">-Pessoas!BA45</f>
        <v>-374300</v>
      </c>
      <c r="BB80" s="110" t="n">
        <f aca="false">-Pessoas!BB45</f>
        <v>-374300</v>
      </c>
      <c r="BC80" s="110" t="n">
        <f aca="false">-Pessoas!BC45</f>
        <v>-374300</v>
      </c>
      <c r="BD80" s="110" t="n">
        <f aca="false">-Pessoas!BD45</f>
        <v>-374300</v>
      </c>
      <c r="BE80" s="110" t="n">
        <f aca="false">-Pessoas!BE45</f>
        <v>-374300</v>
      </c>
      <c r="BF80" s="110" t="n">
        <f aca="false">-Pessoas!BF45</f>
        <v>-374300</v>
      </c>
      <c r="BG80" s="110" t="n">
        <f aca="false">-Pessoas!BG45</f>
        <v>-374300</v>
      </c>
      <c r="BH80" s="110" t="n">
        <f aca="false">-Pessoas!BH45</f>
        <v>-374300</v>
      </c>
      <c r="BI80" s="110" t="n">
        <f aca="false">-Pessoas!BI45</f>
        <v>-374300</v>
      </c>
      <c r="BJ80" s="111" t="n">
        <f aca="false">SUM(B80:BI80)</f>
        <v>-9451200</v>
      </c>
    </row>
    <row r="81" customFormat="false" ht="15" hidden="false" customHeight="false" outlineLevel="0" collapsed="false">
      <c r="A81" s="27" t="s">
        <v>435</v>
      </c>
      <c r="B81" s="110" t="n">
        <f aca="false">-(B56*(1-INDEX(Premissas!$C$59:$G$59,B$7))*INDEX(Premissas!$C$57:$G$57,B$7)+IF(B$4&gt;=Premissas!$B$79,INDEX(Premissas!$C$78:$G$78,B$7),0)+IF(B$4=DATE(YEAR(Premissas!$B$81),MONTH(Premissas!$B$81),1),Premissas!$B$80,0))</f>
        <v>-0</v>
      </c>
      <c r="C81" s="110" t="n">
        <f aca="false">-(C56*(1-INDEX(Premissas!$C$59:$G$59,C$7))*INDEX(Premissas!$C$57:$G$57,C$7)+IF(C$4&gt;=Premissas!$B$79,INDEX(Premissas!$C$78:$G$78,C$7),0)+IF(C$4=DATE(YEAR(Premissas!$B$81),MONTH(Premissas!$B$81),1),Premissas!$B$80,0))</f>
        <v>-0</v>
      </c>
      <c r="D81" s="110" t="n">
        <f aca="false">-(D56*(1-INDEX(Premissas!$C$59:$G$59,D$7))*INDEX(Premissas!$C$57:$G$57,D$7)+IF(D$4&gt;=Premissas!$B$79,INDEX(Premissas!$C$78:$G$78,D$7),0)+IF(D$4=DATE(YEAR(Premissas!$B$81),MONTH(Premissas!$B$81),1),Premissas!$B$80,0))</f>
        <v>-0</v>
      </c>
      <c r="E81" s="110" t="n">
        <f aca="false">-(E56*(1-INDEX(Premissas!$C$59:$G$59,E$7))*INDEX(Premissas!$C$57:$G$57,E$7)+IF(E$4&gt;=Premissas!$B$79,INDEX(Premissas!$C$78:$G$78,E$7),0)+IF(E$4=DATE(YEAR(Premissas!$B$81),MONTH(Premissas!$B$81),1),Premissas!$B$80,0))</f>
        <v>-0</v>
      </c>
      <c r="F81" s="110" t="n">
        <f aca="false">-(F56*(1-INDEX(Premissas!$C$59:$G$59,F$7))*INDEX(Premissas!$C$57:$G$57,F$7)+IF(F$4&gt;=Premissas!$B$79,INDEX(Premissas!$C$78:$G$78,F$7),0)+IF(F$4=DATE(YEAR(Premissas!$B$81),MONTH(Premissas!$B$81),1),Premissas!$B$80,0))</f>
        <v>-0</v>
      </c>
      <c r="G81" s="110" t="n">
        <f aca="false">-(G56*(1-INDEX(Premissas!$C$59:$G$59,G$7))*INDEX(Premissas!$C$57:$G$57,G$7)+IF(G$4&gt;=Premissas!$B$79,INDEX(Premissas!$C$78:$G$78,G$7),0)+IF(G$4=DATE(YEAR(Premissas!$B$81),MONTH(Premissas!$B$81),1),Premissas!$B$80,0))</f>
        <v>-0</v>
      </c>
      <c r="H81" s="110" t="n">
        <f aca="false">-(H56*(1-INDEX(Premissas!$C$59:$G$59,H$7))*INDEX(Premissas!$C$57:$G$57,H$7)+IF(H$4&gt;=Premissas!$B$79,INDEX(Premissas!$C$78:$G$78,H$7),0)+IF(H$4=DATE(YEAR(Premissas!$B$81),MONTH(Premissas!$B$81),1),Premissas!$B$80,0))</f>
        <v>-0</v>
      </c>
      <c r="I81" s="110" t="n">
        <f aca="false">-(I56*(1-INDEX(Premissas!$C$59:$G$59,I$7))*INDEX(Premissas!$C$57:$G$57,I$7)+IF(I$4&gt;=Premissas!$B$79,INDEX(Premissas!$C$78:$G$78,I$7),0)+IF(I$4=DATE(YEAR(Premissas!$B$81),MONTH(Premissas!$B$81),1),Premissas!$B$80,0))</f>
        <v>-0</v>
      </c>
      <c r="J81" s="110" t="n">
        <f aca="false">-(J56*(1-INDEX(Premissas!$C$59:$G$59,J$7))*INDEX(Premissas!$C$57:$G$57,J$7)+IF(J$4&gt;=Premissas!$B$79,INDEX(Premissas!$C$78:$G$78,J$7),0)+IF(J$4=DATE(YEAR(Premissas!$B$81),MONTH(Premissas!$B$81),1),Premissas!$B$80,0))</f>
        <v>-0</v>
      </c>
      <c r="K81" s="110" t="n">
        <f aca="false">-(K56*(1-INDEX(Premissas!$C$59:$G$59,K$7))*INDEX(Premissas!$C$57:$G$57,K$7)+IF(K$4&gt;=Premissas!$B$79,INDEX(Premissas!$C$78:$G$78,K$7),0)+IF(K$4=DATE(YEAR(Premissas!$B$81),MONTH(Premissas!$B$81),1),Premissas!$B$80,0))</f>
        <v>-59675</v>
      </c>
      <c r="L81" s="110" t="n">
        <f aca="false">-(L56*(1-INDEX(Premissas!$C$59:$G$59,L$7))*INDEX(Premissas!$C$57:$G$57,L$7)+IF(L$4&gt;=Premissas!$B$79,INDEX(Premissas!$C$78:$G$78,L$7),0)+IF(L$4=DATE(YEAR(Premissas!$B$81),MONTH(Premissas!$B$81),1),Premissas!$B$80,0))</f>
        <v>-34675</v>
      </c>
      <c r="M81" s="110" t="n">
        <f aca="false">-(M56*(1-INDEX(Premissas!$C$59:$G$59,M$7))*INDEX(Premissas!$C$57:$G$57,M$7)+IF(M$4&gt;=Premissas!$B$79,INDEX(Premissas!$C$78:$G$78,M$7),0)+IF(M$4=DATE(YEAR(Premissas!$B$81),MONTH(Premissas!$B$81),1),Premissas!$B$80,0))</f>
        <v>-34675</v>
      </c>
      <c r="N81" s="110" t="n">
        <f aca="false">-(N56*(1-INDEX(Premissas!$C$59:$G$59,N$7))*INDEX(Premissas!$C$57:$G$57,N$7)+IF(N$4&gt;=Premissas!$B$79,INDEX(Premissas!$C$78:$G$78,N$7),0)+IF(N$4=DATE(YEAR(Premissas!$B$81),MONTH(Premissas!$B$81),1),Premissas!$B$80,0))</f>
        <v>-68078.25</v>
      </c>
      <c r="O81" s="110" t="n">
        <f aca="false">-(O56*(1-INDEX(Premissas!$C$59:$G$59,O$7))*INDEX(Premissas!$C$57:$G$57,O$7)+IF(O$4&gt;=Premissas!$B$79,INDEX(Premissas!$C$78:$G$78,O$7),0)+IF(O$4=DATE(YEAR(Premissas!$B$81),MONTH(Premissas!$B$81),1),Premissas!$B$80,0))</f>
        <v>-68078.25</v>
      </c>
      <c r="P81" s="110" t="n">
        <f aca="false">-(P56*(1-INDEX(Premissas!$C$59:$G$59,P$7))*INDEX(Premissas!$C$57:$G$57,P$7)+IF(P$4&gt;=Premissas!$B$79,INDEX(Premissas!$C$78:$G$78,P$7),0)+IF(P$4=DATE(YEAR(Premissas!$B$81),MONTH(Premissas!$B$81),1),Premissas!$B$80,0))</f>
        <v>-68078.25</v>
      </c>
      <c r="Q81" s="110" t="n">
        <f aca="false">-(Q56*(1-INDEX(Premissas!$C$59:$G$59,Q$7))*INDEX(Premissas!$C$57:$G$57,Q$7)+IF(Q$4&gt;=Premissas!$B$79,INDEX(Premissas!$C$78:$G$78,Q$7),0)+IF(Q$4=DATE(YEAR(Premissas!$B$81),MONTH(Premissas!$B$81),1),Premissas!$B$80,0))</f>
        <v>-68078.25</v>
      </c>
      <c r="R81" s="110" t="n">
        <f aca="false">-(R56*(1-INDEX(Premissas!$C$59:$G$59,R$7))*INDEX(Premissas!$C$57:$G$57,R$7)+IF(R$4&gt;=Premissas!$B$79,INDEX(Premissas!$C$78:$G$78,R$7),0)+IF(R$4=DATE(YEAR(Premissas!$B$81),MONTH(Premissas!$B$81),1),Premissas!$B$80,0))</f>
        <v>-68078.25</v>
      </c>
      <c r="S81" s="110" t="n">
        <f aca="false">-(S56*(1-INDEX(Premissas!$C$59:$G$59,S$7))*INDEX(Premissas!$C$57:$G$57,S$7)+IF(S$4&gt;=Premissas!$B$79,INDEX(Premissas!$C$78:$G$78,S$7),0)+IF(S$4=DATE(YEAR(Premissas!$B$81),MONTH(Premissas!$B$81),1),Premissas!$B$80,0))</f>
        <v>-68078.25</v>
      </c>
      <c r="T81" s="110" t="n">
        <f aca="false">-(T56*(1-INDEX(Premissas!$C$59:$G$59,T$7))*INDEX(Premissas!$C$57:$G$57,T$7)+IF(T$4&gt;=Premissas!$B$79,INDEX(Premissas!$C$78:$G$78,T$7),0)+IF(T$4=DATE(YEAR(Premissas!$B$81),MONTH(Premissas!$B$81),1),Premissas!$B$80,0))</f>
        <v>-68078.25</v>
      </c>
      <c r="U81" s="110" t="n">
        <f aca="false">-(U56*(1-INDEX(Premissas!$C$59:$G$59,U$7))*INDEX(Premissas!$C$57:$G$57,U$7)+IF(U$4&gt;=Premissas!$B$79,INDEX(Premissas!$C$78:$G$78,U$7),0)+IF(U$4=DATE(YEAR(Premissas!$B$81),MONTH(Premissas!$B$81),1),Premissas!$B$80,0))</f>
        <v>-68078.25</v>
      </c>
      <c r="V81" s="110" t="n">
        <f aca="false">-(V56*(1-INDEX(Premissas!$C$59:$G$59,V$7))*INDEX(Premissas!$C$57:$G$57,V$7)+IF(V$4&gt;=Premissas!$B$79,INDEX(Premissas!$C$78:$G$78,V$7),0)+IF(V$4=DATE(YEAR(Premissas!$B$81),MONTH(Premissas!$B$81),1),Premissas!$B$80,0))</f>
        <v>-68078.25</v>
      </c>
      <c r="W81" s="110" t="n">
        <f aca="false">-(W56*(1-INDEX(Premissas!$C$59:$G$59,W$7))*INDEX(Premissas!$C$57:$G$57,W$7)+IF(W$4&gt;=Premissas!$B$79,INDEX(Premissas!$C$78:$G$78,W$7),0)+IF(W$4=DATE(YEAR(Premissas!$B$81),MONTH(Premissas!$B$81),1),Premissas!$B$80,0))</f>
        <v>-68078.25</v>
      </c>
      <c r="X81" s="110" t="n">
        <f aca="false">-(X56*(1-INDEX(Premissas!$C$59:$G$59,X$7))*INDEX(Premissas!$C$57:$G$57,X$7)+IF(X$4&gt;=Premissas!$B$79,INDEX(Premissas!$C$78:$G$78,X$7),0)+IF(X$4=DATE(YEAR(Premissas!$B$81),MONTH(Premissas!$B$81),1),Premissas!$B$80,0))</f>
        <v>-68078.25</v>
      </c>
      <c r="Y81" s="110" t="n">
        <f aca="false">-(Y56*(1-INDEX(Premissas!$C$59:$G$59,Y$7))*INDEX(Premissas!$C$57:$G$57,Y$7)+IF(Y$4&gt;=Premissas!$B$79,INDEX(Premissas!$C$78:$G$78,Y$7),0)+IF(Y$4=DATE(YEAR(Premissas!$B$81),MONTH(Premissas!$B$81),1),Premissas!$B$80,0))</f>
        <v>-68078.25</v>
      </c>
      <c r="Z81" s="110" t="n">
        <f aca="false">-(Z56*(1-INDEX(Premissas!$C$59:$G$59,Z$7))*INDEX(Premissas!$C$57:$G$57,Z$7)+IF(Z$4&gt;=Premissas!$B$79,INDEX(Premissas!$C$78:$G$78,Z$7),0)+IF(Z$4=DATE(YEAR(Premissas!$B$81),MONTH(Premissas!$B$81),1),Premissas!$B$80,0))</f>
        <v>-147520.5703125</v>
      </c>
      <c r="AA81" s="110" t="n">
        <f aca="false">-(AA56*(1-INDEX(Premissas!$C$59:$G$59,AA$7))*INDEX(Premissas!$C$57:$G$57,AA$7)+IF(AA$4&gt;=Premissas!$B$79,INDEX(Premissas!$C$78:$G$78,AA$7),0)+IF(AA$4=DATE(YEAR(Premissas!$B$81),MONTH(Premissas!$B$81),1),Premissas!$B$80,0))</f>
        <v>-147520.5703125</v>
      </c>
      <c r="AB81" s="110" t="n">
        <f aca="false">-(AB56*(1-INDEX(Premissas!$C$59:$G$59,AB$7))*INDEX(Premissas!$C$57:$G$57,AB$7)+IF(AB$4&gt;=Premissas!$B$79,INDEX(Premissas!$C$78:$G$78,AB$7),0)+IF(AB$4=DATE(YEAR(Premissas!$B$81),MONTH(Premissas!$B$81),1),Premissas!$B$80,0))</f>
        <v>-147520.5703125</v>
      </c>
      <c r="AC81" s="110" t="n">
        <f aca="false">-(AC56*(1-INDEX(Premissas!$C$59:$G$59,AC$7))*INDEX(Premissas!$C$57:$G$57,AC$7)+IF(AC$4&gt;=Premissas!$B$79,INDEX(Premissas!$C$78:$G$78,AC$7),0)+IF(AC$4=DATE(YEAR(Premissas!$B$81),MONTH(Premissas!$B$81),1),Premissas!$B$80,0))</f>
        <v>-147520.5703125</v>
      </c>
      <c r="AD81" s="110" t="n">
        <f aca="false">-(AD56*(1-INDEX(Premissas!$C$59:$G$59,AD$7))*INDEX(Premissas!$C$57:$G$57,AD$7)+IF(AD$4&gt;=Premissas!$B$79,INDEX(Premissas!$C$78:$G$78,AD$7),0)+IF(AD$4=DATE(YEAR(Premissas!$B$81),MONTH(Premissas!$B$81),1),Premissas!$B$80,0))</f>
        <v>-147520.5703125</v>
      </c>
      <c r="AE81" s="110" t="n">
        <f aca="false">-(AE56*(1-INDEX(Premissas!$C$59:$G$59,AE$7))*INDEX(Premissas!$C$57:$G$57,AE$7)+IF(AE$4&gt;=Premissas!$B$79,INDEX(Premissas!$C$78:$G$78,AE$7),0)+IF(AE$4=DATE(YEAR(Premissas!$B$81),MONTH(Premissas!$B$81),1),Premissas!$B$80,0))</f>
        <v>-147520.5703125</v>
      </c>
      <c r="AF81" s="110" t="n">
        <f aca="false">-(AF56*(1-INDEX(Premissas!$C$59:$G$59,AF$7))*INDEX(Premissas!$C$57:$G$57,AF$7)+IF(AF$4&gt;=Premissas!$B$79,INDEX(Premissas!$C$78:$G$78,AF$7),0)+IF(AF$4=DATE(YEAR(Premissas!$B$81),MONTH(Premissas!$B$81),1),Premissas!$B$80,0))</f>
        <v>-147520.5703125</v>
      </c>
      <c r="AG81" s="110" t="n">
        <f aca="false">-(AG56*(1-INDEX(Premissas!$C$59:$G$59,AG$7))*INDEX(Premissas!$C$57:$G$57,AG$7)+IF(AG$4&gt;=Premissas!$B$79,INDEX(Premissas!$C$78:$G$78,AG$7),0)+IF(AG$4=DATE(YEAR(Premissas!$B$81),MONTH(Premissas!$B$81),1),Premissas!$B$80,0))</f>
        <v>-147520.5703125</v>
      </c>
      <c r="AH81" s="110" t="n">
        <f aca="false">-(AH56*(1-INDEX(Premissas!$C$59:$G$59,AH$7))*INDEX(Premissas!$C$57:$G$57,AH$7)+IF(AH$4&gt;=Premissas!$B$79,INDEX(Premissas!$C$78:$G$78,AH$7),0)+IF(AH$4=DATE(YEAR(Premissas!$B$81),MONTH(Premissas!$B$81),1),Premissas!$B$80,0))</f>
        <v>-147520.5703125</v>
      </c>
      <c r="AI81" s="110" t="n">
        <f aca="false">-(AI56*(1-INDEX(Premissas!$C$59:$G$59,AI$7))*INDEX(Premissas!$C$57:$G$57,AI$7)+IF(AI$4&gt;=Premissas!$B$79,INDEX(Premissas!$C$78:$G$78,AI$7),0)+IF(AI$4=DATE(YEAR(Premissas!$B$81),MONTH(Premissas!$B$81),1),Premissas!$B$80,0))</f>
        <v>-147520.5703125</v>
      </c>
      <c r="AJ81" s="110" t="n">
        <f aca="false">-(AJ56*(1-INDEX(Premissas!$C$59:$G$59,AJ$7))*INDEX(Premissas!$C$57:$G$57,AJ$7)+IF(AJ$4&gt;=Premissas!$B$79,INDEX(Premissas!$C$78:$G$78,AJ$7),0)+IF(AJ$4=DATE(YEAR(Premissas!$B$81),MONTH(Premissas!$B$81),1),Premissas!$B$80,0))</f>
        <v>-147520.5703125</v>
      </c>
      <c r="AK81" s="110" t="n">
        <f aca="false">-(AK56*(1-INDEX(Premissas!$C$59:$G$59,AK$7))*INDEX(Premissas!$C$57:$G$57,AK$7)+IF(AK$4&gt;=Premissas!$B$79,INDEX(Premissas!$C$78:$G$78,AK$7),0)+IF(AK$4=DATE(YEAR(Premissas!$B$81),MONTH(Premissas!$B$81),1),Premissas!$B$80,0))</f>
        <v>-147520.5703125</v>
      </c>
      <c r="AL81" s="110" t="n">
        <f aca="false">-(AL56*(1-INDEX(Premissas!$C$59:$G$59,AL$7))*INDEX(Premissas!$C$57:$G$57,AL$7)+IF(AL$4&gt;=Premissas!$B$79,INDEX(Premissas!$C$78:$G$78,AL$7),0)+IF(AL$4=DATE(YEAR(Premissas!$B$81),MONTH(Premissas!$B$81),1),Premissas!$B$80,0))</f>
        <v>-284004.999921875</v>
      </c>
      <c r="AM81" s="110" t="n">
        <f aca="false">-(AM56*(1-INDEX(Premissas!$C$59:$G$59,AM$7))*INDEX(Premissas!$C$57:$G$57,AM$7)+IF(AM$4&gt;=Premissas!$B$79,INDEX(Premissas!$C$78:$G$78,AM$7),0)+IF(AM$4=DATE(YEAR(Premissas!$B$81),MONTH(Premissas!$B$81),1),Premissas!$B$80,0))</f>
        <v>-284004.999921875</v>
      </c>
      <c r="AN81" s="110" t="n">
        <f aca="false">-(AN56*(1-INDEX(Premissas!$C$59:$G$59,AN$7))*INDEX(Premissas!$C$57:$G$57,AN$7)+IF(AN$4&gt;=Premissas!$B$79,INDEX(Premissas!$C$78:$G$78,AN$7),0)+IF(AN$4=DATE(YEAR(Premissas!$B$81),MONTH(Premissas!$B$81),1),Premissas!$B$80,0))</f>
        <v>-284004.999921875</v>
      </c>
      <c r="AO81" s="110" t="n">
        <f aca="false">-(AO56*(1-INDEX(Premissas!$C$59:$G$59,AO$7))*INDEX(Premissas!$C$57:$G$57,AO$7)+IF(AO$4&gt;=Premissas!$B$79,INDEX(Premissas!$C$78:$G$78,AO$7),0)+IF(AO$4=DATE(YEAR(Premissas!$B$81),MONTH(Premissas!$B$81),1),Premissas!$B$80,0))</f>
        <v>-284004.999921875</v>
      </c>
      <c r="AP81" s="110" t="n">
        <f aca="false">-(AP56*(1-INDEX(Premissas!$C$59:$G$59,AP$7))*INDEX(Premissas!$C$57:$G$57,AP$7)+IF(AP$4&gt;=Premissas!$B$79,INDEX(Premissas!$C$78:$G$78,AP$7),0)+IF(AP$4=DATE(YEAR(Premissas!$B$81),MONTH(Premissas!$B$81),1),Premissas!$B$80,0))</f>
        <v>-284004.999921875</v>
      </c>
      <c r="AQ81" s="110" t="n">
        <f aca="false">-(AQ56*(1-INDEX(Premissas!$C$59:$G$59,AQ$7))*INDEX(Premissas!$C$57:$G$57,AQ$7)+IF(AQ$4&gt;=Premissas!$B$79,INDEX(Premissas!$C$78:$G$78,AQ$7),0)+IF(AQ$4=DATE(YEAR(Premissas!$B$81),MONTH(Premissas!$B$81),1),Premissas!$B$80,0))</f>
        <v>-284004.999921875</v>
      </c>
      <c r="AR81" s="110" t="n">
        <f aca="false">-(AR56*(1-INDEX(Premissas!$C$59:$G$59,AR$7))*INDEX(Premissas!$C$57:$G$57,AR$7)+IF(AR$4&gt;=Premissas!$B$79,INDEX(Premissas!$C$78:$G$78,AR$7),0)+IF(AR$4=DATE(YEAR(Premissas!$B$81),MONTH(Premissas!$B$81),1),Premissas!$B$80,0))</f>
        <v>-284004.999921875</v>
      </c>
      <c r="AS81" s="110" t="n">
        <f aca="false">-(AS56*(1-INDEX(Premissas!$C$59:$G$59,AS$7))*INDEX(Premissas!$C$57:$G$57,AS$7)+IF(AS$4&gt;=Premissas!$B$79,INDEX(Premissas!$C$78:$G$78,AS$7),0)+IF(AS$4=DATE(YEAR(Premissas!$B$81),MONTH(Premissas!$B$81),1),Premissas!$B$80,0))</f>
        <v>-284004.999921875</v>
      </c>
      <c r="AT81" s="110" t="n">
        <f aca="false">-(AT56*(1-INDEX(Premissas!$C$59:$G$59,AT$7))*INDEX(Premissas!$C$57:$G$57,AT$7)+IF(AT$4&gt;=Premissas!$B$79,INDEX(Premissas!$C$78:$G$78,AT$7),0)+IF(AT$4=DATE(YEAR(Premissas!$B$81),MONTH(Premissas!$B$81),1),Premissas!$B$80,0))</f>
        <v>-284004.999921875</v>
      </c>
      <c r="AU81" s="110" t="n">
        <f aca="false">-(AU56*(1-INDEX(Premissas!$C$59:$G$59,AU$7))*INDEX(Premissas!$C$57:$G$57,AU$7)+IF(AU$4&gt;=Premissas!$B$79,INDEX(Premissas!$C$78:$G$78,AU$7),0)+IF(AU$4=DATE(YEAR(Premissas!$B$81),MONTH(Premissas!$B$81),1),Premissas!$B$80,0))</f>
        <v>-284004.999921875</v>
      </c>
      <c r="AV81" s="110" t="n">
        <f aca="false">-(AV56*(1-INDEX(Premissas!$C$59:$G$59,AV$7))*INDEX(Premissas!$C$57:$G$57,AV$7)+IF(AV$4&gt;=Premissas!$B$79,INDEX(Premissas!$C$78:$G$78,AV$7),0)+IF(AV$4=DATE(YEAR(Premissas!$B$81),MONTH(Premissas!$B$81),1),Premissas!$B$80,0))</f>
        <v>-284004.999921875</v>
      </c>
      <c r="AW81" s="110" t="n">
        <f aca="false">-(AW56*(1-INDEX(Premissas!$C$59:$G$59,AW$7))*INDEX(Premissas!$C$57:$G$57,AW$7)+IF(AW$4&gt;=Premissas!$B$79,INDEX(Premissas!$C$78:$G$78,AW$7),0)+IF(AW$4=DATE(YEAR(Premissas!$B$81),MONTH(Premissas!$B$81),1),Premissas!$B$80,0))</f>
        <v>-284004.999921875</v>
      </c>
      <c r="AX81" s="110" t="n">
        <f aca="false">-(AX56*(1-INDEX(Premissas!$C$59:$G$59,AX$7))*INDEX(Premissas!$C$57:$G$57,AX$7)+IF(AX$4&gt;=Premissas!$B$79,INDEX(Premissas!$C$78:$G$78,AX$7),0)+IF(AX$4=DATE(YEAR(Premissas!$B$81),MONTH(Premissas!$B$81),1),Premissas!$B$80,0))</f>
        <v>-490395.443417969</v>
      </c>
      <c r="AY81" s="110" t="n">
        <f aca="false">-(AY56*(1-INDEX(Premissas!$C$59:$G$59,AY$7))*INDEX(Premissas!$C$57:$G$57,AY$7)+IF(AY$4&gt;=Premissas!$B$79,INDEX(Premissas!$C$78:$G$78,AY$7),0)+IF(AY$4=DATE(YEAR(Premissas!$B$81),MONTH(Premissas!$B$81),1),Premissas!$B$80,0))</f>
        <v>-490395.443417969</v>
      </c>
      <c r="AZ81" s="110" t="n">
        <f aca="false">-(AZ56*(1-INDEX(Premissas!$C$59:$G$59,AZ$7))*INDEX(Premissas!$C$57:$G$57,AZ$7)+IF(AZ$4&gt;=Premissas!$B$79,INDEX(Premissas!$C$78:$G$78,AZ$7),0)+IF(AZ$4=DATE(YEAR(Premissas!$B$81),MONTH(Premissas!$B$81),1),Premissas!$B$80,0))</f>
        <v>-490395.443417969</v>
      </c>
      <c r="BA81" s="110" t="n">
        <f aca="false">-(BA56*(1-INDEX(Premissas!$C$59:$G$59,BA$7))*INDEX(Premissas!$C$57:$G$57,BA$7)+IF(BA$4&gt;=Premissas!$B$79,INDEX(Premissas!$C$78:$G$78,BA$7),0)+IF(BA$4=DATE(YEAR(Premissas!$B$81),MONTH(Premissas!$B$81),1),Premissas!$B$80,0))</f>
        <v>-490395.443417969</v>
      </c>
      <c r="BB81" s="110" t="n">
        <f aca="false">-(BB56*(1-INDEX(Premissas!$C$59:$G$59,BB$7))*INDEX(Premissas!$C$57:$G$57,BB$7)+IF(BB$4&gt;=Premissas!$B$79,INDEX(Premissas!$C$78:$G$78,BB$7),0)+IF(BB$4=DATE(YEAR(Premissas!$B$81),MONTH(Premissas!$B$81),1),Premissas!$B$80,0))</f>
        <v>-490395.443417969</v>
      </c>
      <c r="BC81" s="110" t="n">
        <f aca="false">-(BC56*(1-INDEX(Premissas!$C$59:$G$59,BC$7))*INDEX(Premissas!$C$57:$G$57,BC$7)+IF(BC$4&gt;=Premissas!$B$79,INDEX(Premissas!$C$78:$G$78,BC$7),0)+IF(BC$4=DATE(YEAR(Premissas!$B$81),MONTH(Premissas!$B$81),1),Premissas!$B$80,0))</f>
        <v>-490395.443417969</v>
      </c>
      <c r="BD81" s="110" t="n">
        <f aca="false">-(BD56*(1-INDEX(Premissas!$C$59:$G$59,BD$7))*INDEX(Premissas!$C$57:$G$57,BD$7)+IF(BD$4&gt;=Premissas!$B$79,INDEX(Premissas!$C$78:$G$78,BD$7),0)+IF(BD$4=DATE(YEAR(Premissas!$B$81),MONTH(Premissas!$B$81),1),Premissas!$B$80,0))</f>
        <v>-490395.443417969</v>
      </c>
      <c r="BE81" s="110" t="n">
        <f aca="false">-(BE56*(1-INDEX(Premissas!$C$59:$G$59,BE$7))*INDEX(Premissas!$C$57:$G$57,BE$7)+IF(BE$4&gt;=Premissas!$B$79,INDEX(Premissas!$C$78:$G$78,BE$7),0)+IF(BE$4=DATE(YEAR(Premissas!$B$81),MONTH(Premissas!$B$81),1),Premissas!$B$80,0))</f>
        <v>-490395.443417969</v>
      </c>
      <c r="BF81" s="110" t="n">
        <f aca="false">-(BF56*(1-INDEX(Premissas!$C$59:$G$59,BF$7))*INDEX(Premissas!$C$57:$G$57,BF$7)+IF(BF$4&gt;=Premissas!$B$79,INDEX(Premissas!$C$78:$G$78,BF$7),0)+IF(BF$4=DATE(YEAR(Premissas!$B$81),MONTH(Premissas!$B$81),1),Premissas!$B$80,0))</f>
        <v>-490395.443417969</v>
      </c>
      <c r="BG81" s="110" t="n">
        <f aca="false">-(BG56*(1-INDEX(Premissas!$C$59:$G$59,BG$7))*INDEX(Premissas!$C$57:$G$57,BG$7)+IF(BG$4&gt;=Premissas!$B$79,INDEX(Premissas!$C$78:$G$78,BG$7),0)+IF(BG$4=DATE(YEAR(Premissas!$B$81),MONTH(Premissas!$B$81),1),Premissas!$B$80,0))</f>
        <v>-490395.443417969</v>
      </c>
      <c r="BH81" s="110" t="n">
        <f aca="false">-(BH56*(1-INDEX(Premissas!$C$59:$G$59,BH$7))*INDEX(Premissas!$C$57:$G$57,BH$7)+IF(BH$4&gt;=Premissas!$B$79,INDEX(Premissas!$C$78:$G$78,BH$7),0)+IF(BH$4=DATE(YEAR(Premissas!$B$81),MONTH(Premissas!$B$81),1),Premissas!$B$80,0))</f>
        <v>-490395.443417969</v>
      </c>
      <c r="BI81" s="110" t="n">
        <f aca="false">-(BI56*(1-INDEX(Premissas!$C$59:$G$59,BI$7))*INDEX(Premissas!$C$57:$G$57,BI$7)+IF(BI$4&gt;=Premissas!$B$79,INDEX(Premissas!$C$78:$G$78,BI$7),0)+IF(BI$4=DATE(YEAR(Premissas!$B$81),MONTH(Premissas!$B$81),1),Premissas!$B$80,0))</f>
        <v>-490395.443417969</v>
      </c>
      <c r="BJ81" s="111" t="n">
        <f aca="false">SUM(B81:BI81)</f>
        <v>-12009016.1638281</v>
      </c>
    </row>
    <row r="82" customFormat="false" ht="15" hidden="false" customHeight="false" outlineLevel="0" collapsed="false">
      <c r="A82" s="27" t="s">
        <v>437</v>
      </c>
      <c r="B82" s="110" t="n">
        <f aca="false">-IF(B$4&gt;=Premissas!$B$76,INDEX(Premissas!$C$77:$G$77,B$7),0)</f>
        <v>-0</v>
      </c>
      <c r="C82" s="110" t="n">
        <f aca="false">-IF(C$4&gt;=Premissas!$B$76,INDEX(Premissas!$C$77:$G$77,C$7),0)</f>
        <v>-0</v>
      </c>
      <c r="D82" s="110" t="n">
        <f aca="false">-IF(D$4&gt;=Premissas!$B$76,INDEX(Premissas!$C$77:$G$77,D$7),0)</f>
        <v>-0</v>
      </c>
      <c r="E82" s="110" t="n">
        <f aca="false">-IF(E$4&gt;=Premissas!$B$76,INDEX(Premissas!$C$77:$G$77,E$7),0)</f>
        <v>-1500</v>
      </c>
      <c r="F82" s="110" t="n">
        <f aca="false">-IF(F$4&gt;=Premissas!$B$76,INDEX(Premissas!$C$77:$G$77,F$7),0)</f>
        <v>-1500</v>
      </c>
      <c r="G82" s="110" t="n">
        <f aca="false">-IF(G$4&gt;=Premissas!$B$76,INDEX(Premissas!$C$77:$G$77,G$7),0)</f>
        <v>-1500</v>
      </c>
      <c r="H82" s="110" t="n">
        <f aca="false">-IF(H$4&gt;=Premissas!$B$76,INDEX(Premissas!$C$77:$G$77,H$7),0)</f>
        <v>-1500</v>
      </c>
      <c r="I82" s="110" t="n">
        <f aca="false">-IF(I$4&gt;=Premissas!$B$76,INDEX(Premissas!$C$77:$G$77,I$7),0)</f>
        <v>-1500</v>
      </c>
      <c r="J82" s="110" t="n">
        <f aca="false">-IF(J$4&gt;=Premissas!$B$76,INDEX(Premissas!$C$77:$G$77,J$7),0)</f>
        <v>-1500</v>
      </c>
      <c r="K82" s="110" t="n">
        <f aca="false">-IF(K$4&gt;=Premissas!$B$76,INDEX(Premissas!$C$77:$G$77,K$7),0)</f>
        <v>-1500</v>
      </c>
      <c r="L82" s="110" t="n">
        <f aca="false">-IF(L$4&gt;=Premissas!$B$76,INDEX(Premissas!$C$77:$G$77,L$7),0)</f>
        <v>-1500</v>
      </c>
      <c r="M82" s="110" t="n">
        <f aca="false">-IF(M$4&gt;=Premissas!$B$76,INDEX(Premissas!$C$77:$G$77,M$7),0)</f>
        <v>-1500</v>
      </c>
      <c r="N82" s="110" t="n">
        <f aca="false">-IF(N$4&gt;=Premissas!$B$76,INDEX(Premissas!$C$77:$G$77,N$7),0)</f>
        <v>-6000</v>
      </c>
      <c r="O82" s="110" t="n">
        <f aca="false">-IF(O$4&gt;=Premissas!$B$76,INDEX(Premissas!$C$77:$G$77,O$7),0)</f>
        <v>-6000</v>
      </c>
      <c r="P82" s="110" t="n">
        <f aca="false">-IF(P$4&gt;=Premissas!$B$76,INDEX(Premissas!$C$77:$G$77,P$7),0)</f>
        <v>-6000</v>
      </c>
      <c r="Q82" s="110" t="n">
        <f aca="false">-IF(Q$4&gt;=Premissas!$B$76,INDEX(Premissas!$C$77:$G$77,Q$7),0)</f>
        <v>-6000</v>
      </c>
      <c r="R82" s="110" t="n">
        <f aca="false">-IF(R$4&gt;=Premissas!$B$76,INDEX(Premissas!$C$77:$G$77,R$7),0)</f>
        <v>-6000</v>
      </c>
      <c r="S82" s="110" t="n">
        <f aca="false">-IF(S$4&gt;=Premissas!$B$76,INDEX(Premissas!$C$77:$G$77,S$7),0)</f>
        <v>-6000</v>
      </c>
      <c r="T82" s="110" t="n">
        <f aca="false">-IF(T$4&gt;=Premissas!$B$76,INDEX(Premissas!$C$77:$G$77,T$7),0)</f>
        <v>-6000</v>
      </c>
      <c r="U82" s="110" t="n">
        <f aca="false">-IF(U$4&gt;=Premissas!$B$76,INDEX(Premissas!$C$77:$G$77,U$7),0)</f>
        <v>-6000</v>
      </c>
      <c r="V82" s="110" t="n">
        <f aca="false">-IF(V$4&gt;=Premissas!$B$76,INDEX(Premissas!$C$77:$G$77,V$7),0)</f>
        <v>-6000</v>
      </c>
      <c r="W82" s="110" t="n">
        <f aca="false">-IF(W$4&gt;=Premissas!$B$76,INDEX(Premissas!$C$77:$G$77,W$7),0)</f>
        <v>-6000</v>
      </c>
      <c r="X82" s="110" t="n">
        <f aca="false">-IF(X$4&gt;=Premissas!$B$76,INDEX(Premissas!$C$77:$G$77,X$7),0)</f>
        <v>-6000</v>
      </c>
      <c r="Y82" s="110" t="n">
        <f aca="false">-IF(Y$4&gt;=Premissas!$B$76,INDEX(Premissas!$C$77:$G$77,Y$7),0)</f>
        <v>-6000</v>
      </c>
      <c r="Z82" s="110" t="n">
        <f aca="false">-IF(Z$4&gt;=Premissas!$B$76,INDEX(Premissas!$C$77:$G$77,Z$7),0)</f>
        <v>-25000</v>
      </c>
      <c r="AA82" s="110" t="n">
        <f aca="false">-IF(AA$4&gt;=Premissas!$B$76,INDEX(Premissas!$C$77:$G$77,AA$7),0)</f>
        <v>-25000</v>
      </c>
      <c r="AB82" s="110" t="n">
        <f aca="false">-IF(AB$4&gt;=Premissas!$B$76,INDEX(Premissas!$C$77:$G$77,AB$7),0)</f>
        <v>-25000</v>
      </c>
      <c r="AC82" s="110" t="n">
        <f aca="false">-IF(AC$4&gt;=Premissas!$B$76,INDEX(Premissas!$C$77:$G$77,AC$7),0)</f>
        <v>-25000</v>
      </c>
      <c r="AD82" s="110" t="n">
        <f aca="false">-IF(AD$4&gt;=Premissas!$B$76,INDEX(Premissas!$C$77:$G$77,AD$7),0)</f>
        <v>-25000</v>
      </c>
      <c r="AE82" s="110" t="n">
        <f aca="false">-IF(AE$4&gt;=Premissas!$B$76,INDEX(Premissas!$C$77:$G$77,AE$7),0)</f>
        <v>-25000</v>
      </c>
      <c r="AF82" s="110" t="n">
        <f aca="false">-IF(AF$4&gt;=Premissas!$B$76,INDEX(Premissas!$C$77:$G$77,AF$7),0)</f>
        <v>-25000</v>
      </c>
      <c r="AG82" s="110" t="n">
        <f aca="false">-IF(AG$4&gt;=Premissas!$B$76,INDEX(Premissas!$C$77:$G$77,AG$7),0)</f>
        <v>-25000</v>
      </c>
      <c r="AH82" s="110" t="n">
        <f aca="false">-IF(AH$4&gt;=Premissas!$B$76,INDEX(Premissas!$C$77:$G$77,AH$7),0)</f>
        <v>-25000</v>
      </c>
      <c r="AI82" s="110" t="n">
        <f aca="false">-IF(AI$4&gt;=Premissas!$B$76,INDEX(Premissas!$C$77:$G$77,AI$7),0)</f>
        <v>-25000</v>
      </c>
      <c r="AJ82" s="110" t="n">
        <f aca="false">-IF(AJ$4&gt;=Premissas!$B$76,INDEX(Premissas!$C$77:$G$77,AJ$7),0)</f>
        <v>-25000</v>
      </c>
      <c r="AK82" s="110" t="n">
        <f aca="false">-IF(AK$4&gt;=Premissas!$B$76,INDEX(Premissas!$C$77:$G$77,AK$7),0)</f>
        <v>-25000</v>
      </c>
      <c r="AL82" s="110" t="n">
        <f aca="false">-IF(AL$4&gt;=Premissas!$B$76,INDEX(Premissas!$C$77:$G$77,AL$7),0)</f>
        <v>-60000</v>
      </c>
      <c r="AM82" s="110" t="n">
        <f aca="false">-IF(AM$4&gt;=Premissas!$B$76,INDEX(Premissas!$C$77:$G$77,AM$7),0)</f>
        <v>-60000</v>
      </c>
      <c r="AN82" s="110" t="n">
        <f aca="false">-IF(AN$4&gt;=Premissas!$B$76,INDEX(Premissas!$C$77:$G$77,AN$7),0)</f>
        <v>-60000</v>
      </c>
      <c r="AO82" s="110" t="n">
        <f aca="false">-IF(AO$4&gt;=Premissas!$B$76,INDEX(Premissas!$C$77:$G$77,AO$7),0)</f>
        <v>-60000</v>
      </c>
      <c r="AP82" s="110" t="n">
        <f aca="false">-IF(AP$4&gt;=Premissas!$B$76,INDEX(Premissas!$C$77:$G$77,AP$7),0)</f>
        <v>-60000</v>
      </c>
      <c r="AQ82" s="110" t="n">
        <f aca="false">-IF(AQ$4&gt;=Premissas!$B$76,INDEX(Premissas!$C$77:$G$77,AQ$7),0)</f>
        <v>-60000</v>
      </c>
      <c r="AR82" s="110" t="n">
        <f aca="false">-IF(AR$4&gt;=Premissas!$B$76,INDEX(Premissas!$C$77:$G$77,AR$7),0)</f>
        <v>-60000</v>
      </c>
      <c r="AS82" s="110" t="n">
        <f aca="false">-IF(AS$4&gt;=Premissas!$B$76,INDEX(Premissas!$C$77:$G$77,AS$7),0)</f>
        <v>-60000</v>
      </c>
      <c r="AT82" s="110" t="n">
        <f aca="false">-IF(AT$4&gt;=Premissas!$B$76,INDEX(Premissas!$C$77:$G$77,AT$7),0)</f>
        <v>-60000</v>
      </c>
      <c r="AU82" s="110" t="n">
        <f aca="false">-IF(AU$4&gt;=Premissas!$B$76,INDEX(Premissas!$C$77:$G$77,AU$7),0)</f>
        <v>-60000</v>
      </c>
      <c r="AV82" s="110" t="n">
        <f aca="false">-IF(AV$4&gt;=Premissas!$B$76,INDEX(Premissas!$C$77:$G$77,AV$7),0)</f>
        <v>-60000</v>
      </c>
      <c r="AW82" s="110" t="n">
        <f aca="false">-IF(AW$4&gt;=Premissas!$B$76,INDEX(Premissas!$C$77:$G$77,AW$7),0)</f>
        <v>-60000</v>
      </c>
      <c r="AX82" s="110" t="n">
        <f aca="false">-IF(AX$4&gt;=Premissas!$B$76,INDEX(Premissas!$C$77:$G$77,AX$7),0)</f>
        <v>-110000</v>
      </c>
      <c r="AY82" s="110" t="n">
        <f aca="false">-IF(AY$4&gt;=Premissas!$B$76,INDEX(Premissas!$C$77:$G$77,AY$7),0)</f>
        <v>-110000</v>
      </c>
      <c r="AZ82" s="110" t="n">
        <f aca="false">-IF(AZ$4&gt;=Premissas!$B$76,INDEX(Premissas!$C$77:$G$77,AZ$7),0)</f>
        <v>-110000</v>
      </c>
      <c r="BA82" s="110" t="n">
        <f aca="false">-IF(BA$4&gt;=Premissas!$B$76,INDEX(Premissas!$C$77:$G$77,BA$7),0)</f>
        <v>-110000</v>
      </c>
      <c r="BB82" s="110" t="n">
        <f aca="false">-IF(BB$4&gt;=Premissas!$B$76,INDEX(Premissas!$C$77:$G$77,BB$7),0)</f>
        <v>-110000</v>
      </c>
      <c r="BC82" s="110" t="n">
        <f aca="false">-IF(BC$4&gt;=Premissas!$B$76,INDEX(Premissas!$C$77:$G$77,BC$7),0)</f>
        <v>-110000</v>
      </c>
      <c r="BD82" s="110" t="n">
        <f aca="false">-IF(BD$4&gt;=Premissas!$B$76,INDEX(Premissas!$C$77:$G$77,BD$7),0)</f>
        <v>-110000</v>
      </c>
      <c r="BE82" s="110" t="n">
        <f aca="false">-IF(BE$4&gt;=Premissas!$B$76,INDEX(Premissas!$C$77:$G$77,BE$7),0)</f>
        <v>-110000</v>
      </c>
      <c r="BF82" s="110" t="n">
        <f aca="false">-IF(BF$4&gt;=Premissas!$B$76,INDEX(Premissas!$C$77:$G$77,BF$7),0)</f>
        <v>-110000</v>
      </c>
      <c r="BG82" s="110" t="n">
        <f aca="false">-IF(BG$4&gt;=Premissas!$B$76,INDEX(Premissas!$C$77:$G$77,BG$7),0)</f>
        <v>-110000</v>
      </c>
      <c r="BH82" s="110" t="n">
        <f aca="false">-IF(BH$4&gt;=Premissas!$B$76,INDEX(Premissas!$C$77:$G$77,BH$7),0)</f>
        <v>-110000</v>
      </c>
      <c r="BI82" s="110" t="n">
        <f aca="false">-IF(BI$4&gt;=Premissas!$B$76,INDEX(Premissas!$C$77:$G$77,BI$7),0)</f>
        <v>-110000</v>
      </c>
      <c r="BJ82" s="111" t="n">
        <f aca="false">SUM(B82:BI82)</f>
        <v>-2425500</v>
      </c>
    </row>
    <row r="83" customFormat="false" ht="15" hidden="false" customHeight="false" outlineLevel="0" collapsed="false">
      <c r="A83" s="51" t="s">
        <v>582</v>
      </c>
      <c r="B83" s="111" t="n">
        <f aca="false">SUM(B77:B82)</f>
        <v>0</v>
      </c>
      <c r="C83" s="111" t="n">
        <f aca="false">SUM(C77:C82)</f>
        <v>0</v>
      </c>
      <c r="D83" s="111" t="n">
        <f aca="false">SUM(D77:D82)</f>
        <v>0</v>
      </c>
      <c r="E83" s="111" t="n">
        <f aca="false">SUM(E77:E82)</f>
        <v>-1500</v>
      </c>
      <c r="F83" s="111" t="n">
        <f aca="false">SUM(F77:F82)</f>
        <v>-2100</v>
      </c>
      <c r="G83" s="111" t="n">
        <f aca="false">SUM(G77:G82)</f>
        <v>-2100</v>
      </c>
      <c r="H83" s="111" t="n">
        <f aca="false">SUM(H77:H82)</f>
        <v>-2100</v>
      </c>
      <c r="I83" s="111" t="n">
        <f aca="false">SUM(I77:I82)</f>
        <v>-2100</v>
      </c>
      <c r="J83" s="111" t="n">
        <f aca="false">SUM(J77:J82)</f>
        <v>-2100</v>
      </c>
      <c r="K83" s="111" t="n">
        <f aca="false">SUM(K77:K82)</f>
        <v>-59509.987325</v>
      </c>
      <c r="L83" s="111" t="n">
        <f aca="false">SUM(L77:L82)</f>
        <v>-27454.632425</v>
      </c>
      <c r="M83" s="111" t="n">
        <f aca="false">SUM(M77:M82)</f>
        <v>-16119.0177</v>
      </c>
      <c r="N83" s="111" t="n">
        <f aca="false">SUM(N77:N82)</f>
        <v>-66733.677740096</v>
      </c>
      <c r="O83" s="111" t="n">
        <f aca="false">SUM(O77:O82)</f>
        <v>-34843.5976405144</v>
      </c>
      <c r="P83" s="111" t="n">
        <f aca="false">SUM(P77:P82)</f>
        <v>1249.76234722541</v>
      </c>
      <c r="Q83" s="111" t="n">
        <f aca="false">SUM(Q77:Q82)</f>
        <v>18403.2507209199</v>
      </c>
      <c r="R83" s="111" t="n">
        <f aca="false">SUM(R77:R82)</f>
        <v>34241.7766731023</v>
      </c>
      <c r="S83" s="111" t="n">
        <f aca="false">SUM(S77:S82)</f>
        <v>48675.5706167009</v>
      </c>
      <c r="T83" s="111" t="n">
        <f aca="false">SUM(T77:T82)</f>
        <v>62184.7056442422</v>
      </c>
      <c r="U83" s="111" t="n">
        <f aca="false">SUM(U77:U82)</f>
        <v>74786.0981361015</v>
      </c>
      <c r="V83" s="111" t="n">
        <f aca="false">SUM(V77:V82)</f>
        <v>86563.6667630173</v>
      </c>
      <c r="W83" s="111" t="n">
        <f aca="false">SUM(W77:W82)</f>
        <v>96115.0712684959</v>
      </c>
      <c r="X83" s="111" t="n">
        <f aca="false">SUM(X77:X82)</f>
        <v>105119.111266692</v>
      </c>
      <c r="Y83" s="111" t="n">
        <f aca="false">SUM(Y77:Y82)</f>
        <v>113591.296727032</v>
      </c>
      <c r="Z83" s="111" t="n">
        <f aca="false">SUM(Z77:Z82)</f>
        <v>21518.6403200593</v>
      </c>
      <c r="AA83" s="111" t="n">
        <f aca="false">SUM(AA77:AA82)</f>
        <v>78750.8536886069</v>
      </c>
      <c r="AB83" s="111" t="n">
        <f aca="false">SUM(AB77:AB82)</f>
        <v>96436.5738583015</v>
      </c>
      <c r="AC83" s="111" t="n">
        <f aca="false">SUM(AC77:AC82)</f>
        <v>113217.651585646</v>
      </c>
      <c r="AD83" s="111" t="n">
        <f aca="false">SUM(AD77:AD82)</f>
        <v>149970.159685849</v>
      </c>
      <c r="AE83" s="111" t="n">
        <f aca="false">SUM(AE77:AE82)</f>
        <v>171490.390839078</v>
      </c>
      <c r="AF83" s="111" t="n">
        <f aca="false">SUM(AF77:AF82)</f>
        <v>191543.081053268</v>
      </c>
      <c r="AG83" s="111" t="n">
        <f aca="false">SUM(AG77:AG82)</f>
        <v>210156.051001794</v>
      </c>
      <c r="AH83" s="111" t="n">
        <f aca="false">SUM(AH77:AH82)</f>
        <v>227528.105547794</v>
      </c>
      <c r="AI83" s="111" t="n">
        <f aca="false">SUM(AI77:AI82)</f>
        <v>243596.081415081</v>
      </c>
      <c r="AJ83" s="111" t="n">
        <f aca="false">SUM(AJ77:AJ82)</f>
        <v>258575.328708122</v>
      </c>
      <c r="AK83" s="111" t="n">
        <f aca="false">SUM(AK77:AK82)</f>
        <v>272433.328595178</v>
      </c>
      <c r="AL83" s="111" t="n">
        <f aca="false">SUM(AL77:AL82)</f>
        <v>142207.819595745</v>
      </c>
      <c r="AM83" s="111" t="n">
        <f aca="false">SUM(AM77:AM82)</f>
        <v>190621.109933859</v>
      </c>
      <c r="AN83" s="111" t="n">
        <f aca="false">SUM(AN77:AN82)</f>
        <v>235826.271377284</v>
      </c>
      <c r="AO83" s="111" t="n">
        <f aca="false">SUM(AO77:AO82)</f>
        <v>278067.670036885</v>
      </c>
      <c r="AP83" s="111" t="n">
        <f aca="false">SUM(AP77:AP82)</f>
        <v>317496.153894451</v>
      </c>
      <c r="AQ83" s="111" t="n">
        <f aca="false">SUM(AQ77:AQ82)</f>
        <v>354275.434927172</v>
      </c>
      <c r="AR83" s="111" t="n">
        <f aca="false">SUM(AR77:AR82)</f>
        <v>388635.212858331</v>
      </c>
      <c r="AS83" s="111" t="n">
        <f aca="false">SUM(AS77:AS82)</f>
        <v>420658.754779544</v>
      </c>
      <c r="AT83" s="111" t="n">
        <f aca="false">SUM(AT77:AT82)</f>
        <v>450608.469593926</v>
      </c>
      <c r="AU83" s="111" t="n">
        <f aca="false">SUM(AU77:AU82)</f>
        <v>478566.387340185</v>
      </c>
      <c r="AV83" s="111" t="n">
        <f aca="false">SUM(AV77:AV82)</f>
        <v>504665.705254512</v>
      </c>
      <c r="AW83" s="111" t="n">
        <f aca="false">SUM(AW77:AW82)</f>
        <v>528987.375257132</v>
      </c>
      <c r="AX83" s="111" t="n">
        <f aca="false">SUM(AX77:AX82)</f>
        <v>468925.343681611</v>
      </c>
      <c r="AY83" s="111" t="n">
        <f aca="false">SUM(AY77:AY82)</f>
        <v>555705.067295195</v>
      </c>
      <c r="AZ83" s="111" t="n">
        <f aca="false">SUM(AZ77:AZ82)</f>
        <v>637096.53134903</v>
      </c>
      <c r="BA83" s="111" t="n">
        <f aca="false">SUM(BA77:BA82)</f>
        <v>713347.551067258</v>
      </c>
      <c r="BB83" s="111" t="n">
        <f aca="false">SUM(BB77:BB82)</f>
        <v>784856.325798232</v>
      </c>
      <c r="BC83" s="111" t="n">
        <f aca="false">SUM(BC77:BC82)</f>
        <v>851887.647772502</v>
      </c>
      <c r="BD83" s="111" t="n">
        <f aca="false">SUM(BD77:BD82)</f>
        <v>914738.17062881</v>
      </c>
      <c r="BE83" s="111" t="n">
        <f aca="false">SUM(BE77:BE82)</f>
        <v>973687.536187483</v>
      </c>
      <c r="BF83" s="111" t="n">
        <f aca="false">SUM(BF77:BF82)</f>
        <v>1028894.44668195</v>
      </c>
      <c r="BG83" s="111" t="n">
        <f aca="false">SUM(BG77:BG82)</f>
        <v>1080690.36938187</v>
      </c>
      <c r="BH83" s="111" t="n">
        <f aca="false">SUM(BH77:BH82)</f>
        <v>1129249.25716291</v>
      </c>
      <c r="BI83" s="111" t="n">
        <f aca="false">SUM(BI77:BI82)</f>
        <v>1174799.26056656</v>
      </c>
      <c r="BJ83" s="111" t="n">
        <f aca="false">SUM(B83:BI83)</f>
        <v>17063979.5160541</v>
      </c>
    </row>
    <row r="84" customFormat="false" ht="15" hidden="false" customHeight="false" outlineLevel="0" collapsed="false">
      <c r="A84" s="27" t="s">
        <v>583</v>
      </c>
      <c r="B84" s="110" t="n">
        <f aca="false">-Investimentos!B25</f>
        <v>-0</v>
      </c>
      <c r="C84" s="110" t="n">
        <f aca="false">-Investimentos!C25</f>
        <v>-0</v>
      </c>
      <c r="D84" s="110" t="n">
        <f aca="false">-Investimentos!D25</f>
        <v>-0</v>
      </c>
      <c r="E84" s="110" t="n">
        <f aca="false">-Investimentos!E25</f>
        <v>-0</v>
      </c>
      <c r="F84" s="110" t="n">
        <f aca="false">-Investimentos!F25</f>
        <v>-6000</v>
      </c>
      <c r="G84" s="110" t="n">
        <f aca="false">-Investimentos!G25</f>
        <v>-0</v>
      </c>
      <c r="H84" s="110" t="n">
        <f aca="false">-Investimentos!H25</f>
        <v>-0</v>
      </c>
      <c r="I84" s="110" t="n">
        <f aca="false">-Investimentos!I25</f>
        <v>-9127.82</v>
      </c>
      <c r="J84" s="110" t="n">
        <f aca="false">-Investimentos!J25</f>
        <v>-10500</v>
      </c>
      <c r="K84" s="110" t="n">
        <f aca="false">-Investimentos!K25</f>
        <v>-10500</v>
      </c>
      <c r="L84" s="110" t="n">
        <f aca="false">-Investimentos!L25</f>
        <v>-0</v>
      </c>
      <c r="M84" s="110" t="n">
        <f aca="false">-Investimentos!M25</f>
        <v>-0</v>
      </c>
      <c r="N84" s="110" t="n">
        <f aca="false">-Investimentos!N25</f>
        <v>-0</v>
      </c>
      <c r="O84" s="110" t="n">
        <f aca="false">-Investimentos!O25</f>
        <v>-0</v>
      </c>
      <c r="P84" s="110" t="n">
        <f aca="false">-Investimentos!P25</f>
        <v>-12000</v>
      </c>
      <c r="Q84" s="110" t="n">
        <f aca="false">-Investimentos!Q25</f>
        <v>-0</v>
      </c>
      <c r="R84" s="110" t="n">
        <f aca="false">-Investimentos!R25</f>
        <v>-0</v>
      </c>
      <c r="S84" s="110" t="n">
        <f aca="false">-Investimentos!S25</f>
        <v>-6000</v>
      </c>
      <c r="T84" s="110" t="n">
        <f aca="false">-Investimentos!T25</f>
        <v>-25000</v>
      </c>
      <c r="U84" s="110" t="n">
        <f aca="false">-Investimentos!U25</f>
        <v>-0</v>
      </c>
      <c r="V84" s="110" t="n">
        <f aca="false">-Investimentos!V25</f>
        <v>-0</v>
      </c>
      <c r="W84" s="110" t="n">
        <f aca="false">-Investimentos!W25</f>
        <v>-0</v>
      </c>
      <c r="X84" s="110" t="n">
        <f aca="false">-Investimentos!X25</f>
        <v>-0</v>
      </c>
      <c r="Y84" s="110" t="n">
        <f aca="false">-Investimentos!Y25</f>
        <v>-0</v>
      </c>
      <c r="Z84" s="110" t="n">
        <f aca="false">-Investimentos!Z25</f>
        <v>-0</v>
      </c>
      <c r="AA84" s="110" t="n">
        <f aca="false">-Investimentos!AA25</f>
        <v>-0</v>
      </c>
      <c r="AB84" s="110" t="n">
        <f aca="false">-Investimentos!AB25</f>
        <v>-0</v>
      </c>
      <c r="AC84" s="110" t="n">
        <f aca="false">-Investimentos!AC25</f>
        <v>-0</v>
      </c>
      <c r="AD84" s="110" t="n">
        <f aca="false">-Investimentos!AD25</f>
        <v>-0</v>
      </c>
      <c r="AE84" s="110" t="n">
        <f aca="false">-Investimentos!AE25</f>
        <v>-15000</v>
      </c>
      <c r="AF84" s="110" t="n">
        <f aca="false">-Investimentos!AF25</f>
        <v>-0</v>
      </c>
      <c r="AG84" s="110" t="n">
        <f aca="false">-Investimentos!AG25</f>
        <v>-0</v>
      </c>
      <c r="AH84" s="110" t="n">
        <f aca="false">-Investimentos!AH25</f>
        <v>-0</v>
      </c>
      <c r="AI84" s="110" t="n">
        <f aca="false">-Investimentos!AI25</f>
        <v>-0</v>
      </c>
      <c r="AJ84" s="110" t="n">
        <f aca="false">-Investimentos!AJ25</f>
        <v>-0</v>
      </c>
      <c r="AK84" s="110" t="n">
        <f aca="false">-Investimentos!AK25</f>
        <v>-0</v>
      </c>
      <c r="AL84" s="110" t="n">
        <f aca="false">-Investimentos!AL25</f>
        <v>-0</v>
      </c>
      <c r="AM84" s="110" t="n">
        <f aca="false">-Investimentos!AM25</f>
        <v>-0</v>
      </c>
      <c r="AN84" s="110" t="n">
        <f aca="false">-Investimentos!AN25</f>
        <v>-0</v>
      </c>
      <c r="AO84" s="110" t="n">
        <f aca="false">-Investimentos!AO25</f>
        <v>-0</v>
      </c>
      <c r="AP84" s="110" t="n">
        <f aca="false">-Investimentos!AP25</f>
        <v>-0</v>
      </c>
      <c r="AQ84" s="110" t="n">
        <f aca="false">-Investimentos!AQ25</f>
        <v>-25000</v>
      </c>
      <c r="AR84" s="110" t="n">
        <f aca="false">-Investimentos!AR25</f>
        <v>-0</v>
      </c>
      <c r="AS84" s="110" t="n">
        <f aca="false">-Investimentos!AS25</f>
        <v>-0</v>
      </c>
      <c r="AT84" s="110" t="n">
        <f aca="false">-Investimentos!AT25</f>
        <v>-0</v>
      </c>
      <c r="AU84" s="110" t="n">
        <f aca="false">-Investimentos!AU25</f>
        <v>-0</v>
      </c>
      <c r="AV84" s="110" t="n">
        <f aca="false">-Investimentos!AV25</f>
        <v>-0</v>
      </c>
      <c r="AW84" s="110" t="n">
        <f aca="false">-Investimentos!AW25</f>
        <v>-0</v>
      </c>
      <c r="AX84" s="110" t="n">
        <f aca="false">-Investimentos!AX25</f>
        <v>-0</v>
      </c>
      <c r="AY84" s="110" t="n">
        <f aca="false">-Investimentos!AY25</f>
        <v>-0</v>
      </c>
      <c r="AZ84" s="110" t="n">
        <f aca="false">-Investimentos!AZ25</f>
        <v>-0</v>
      </c>
      <c r="BA84" s="110" t="n">
        <f aca="false">-Investimentos!BA25</f>
        <v>-0</v>
      </c>
      <c r="BB84" s="110" t="n">
        <f aca="false">-Investimentos!BB25</f>
        <v>-0</v>
      </c>
      <c r="BC84" s="110" t="n">
        <f aca="false">-Investimentos!BC25</f>
        <v>-30000</v>
      </c>
      <c r="BD84" s="110" t="n">
        <f aca="false">-Investimentos!BD25</f>
        <v>-0</v>
      </c>
      <c r="BE84" s="110" t="n">
        <f aca="false">-Investimentos!BE25</f>
        <v>-0</v>
      </c>
      <c r="BF84" s="110" t="n">
        <f aca="false">-Investimentos!BF25</f>
        <v>-0</v>
      </c>
      <c r="BG84" s="110" t="n">
        <f aca="false">-Investimentos!BG25</f>
        <v>-0</v>
      </c>
      <c r="BH84" s="110" t="n">
        <f aca="false">-Investimentos!BH25</f>
        <v>-0</v>
      </c>
      <c r="BI84" s="110" t="n">
        <f aca="false">-Investimentos!BI25</f>
        <v>-0</v>
      </c>
      <c r="BJ84" s="111" t="n">
        <f aca="false">SUM(B84:BI84)</f>
        <v>-149127.82</v>
      </c>
    </row>
    <row r="85" customFormat="false" ht="15" hidden="false" customHeight="false" outlineLevel="0" collapsed="false">
      <c r="A85" s="51" t="s">
        <v>487</v>
      </c>
      <c r="B85" s="111" t="n">
        <f aca="false">B83+B84</f>
        <v>0</v>
      </c>
      <c r="C85" s="111" t="n">
        <f aca="false">C83+C84</f>
        <v>0</v>
      </c>
      <c r="D85" s="111" t="n">
        <f aca="false">D83+D84</f>
        <v>0</v>
      </c>
      <c r="E85" s="111" t="n">
        <f aca="false">E83+E84</f>
        <v>-1500</v>
      </c>
      <c r="F85" s="111" t="n">
        <f aca="false">F83+F84</f>
        <v>-8100</v>
      </c>
      <c r="G85" s="111" t="n">
        <f aca="false">G83+G84</f>
        <v>-2100</v>
      </c>
      <c r="H85" s="111" t="n">
        <f aca="false">H83+H84</f>
        <v>-2100</v>
      </c>
      <c r="I85" s="111" t="n">
        <f aca="false">I83+I84</f>
        <v>-11227.82</v>
      </c>
      <c r="J85" s="111" t="n">
        <f aca="false">J83+J84</f>
        <v>-12600</v>
      </c>
      <c r="K85" s="111" t="n">
        <f aca="false">K83+K84</f>
        <v>-70009.987325</v>
      </c>
      <c r="L85" s="111" t="n">
        <f aca="false">L83+L84</f>
        <v>-27454.632425</v>
      </c>
      <c r="M85" s="111" t="n">
        <f aca="false">M83+M84</f>
        <v>-16119.0177</v>
      </c>
      <c r="N85" s="111" t="n">
        <f aca="false">N83+N84</f>
        <v>-66733.677740096</v>
      </c>
      <c r="O85" s="111" t="n">
        <f aca="false">O83+O84</f>
        <v>-34843.5976405144</v>
      </c>
      <c r="P85" s="111" t="n">
        <f aca="false">P83+P84</f>
        <v>-10750.2376527746</v>
      </c>
      <c r="Q85" s="111" t="n">
        <f aca="false">Q83+Q84</f>
        <v>18403.2507209199</v>
      </c>
      <c r="R85" s="111" t="n">
        <f aca="false">R83+R84</f>
        <v>34241.7766731023</v>
      </c>
      <c r="S85" s="111" t="n">
        <f aca="false">S83+S84</f>
        <v>42675.5706167009</v>
      </c>
      <c r="T85" s="111" t="n">
        <f aca="false">T83+T84</f>
        <v>37184.7056442422</v>
      </c>
      <c r="U85" s="111" t="n">
        <f aca="false">U83+U84</f>
        <v>74786.0981361015</v>
      </c>
      <c r="V85" s="111" t="n">
        <f aca="false">V83+V84</f>
        <v>86563.6667630173</v>
      </c>
      <c r="W85" s="111" t="n">
        <f aca="false">W83+W84</f>
        <v>96115.0712684959</v>
      </c>
      <c r="X85" s="111" t="n">
        <f aca="false">X83+X84</f>
        <v>105119.111266692</v>
      </c>
      <c r="Y85" s="111" t="n">
        <f aca="false">Y83+Y84</f>
        <v>113591.296727032</v>
      </c>
      <c r="Z85" s="111" t="n">
        <f aca="false">Z83+Z84</f>
        <v>21518.6403200593</v>
      </c>
      <c r="AA85" s="111" t="n">
        <f aca="false">AA83+AA84</f>
        <v>78750.8536886069</v>
      </c>
      <c r="AB85" s="111" t="n">
        <f aca="false">AB83+AB84</f>
        <v>96436.5738583015</v>
      </c>
      <c r="AC85" s="111" t="n">
        <f aca="false">AC83+AC84</f>
        <v>113217.651585646</v>
      </c>
      <c r="AD85" s="111" t="n">
        <f aca="false">AD83+AD84</f>
        <v>149970.159685849</v>
      </c>
      <c r="AE85" s="111" t="n">
        <f aca="false">AE83+AE84</f>
        <v>156490.390839078</v>
      </c>
      <c r="AF85" s="111" t="n">
        <f aca="false">AF83+AF84</f>
        <v>191543.081053268</v>
      </c>
      <c r="AG85" s="111" t="n">
        <f aca="false">AG83+AG84</f>
        <v>210156.051001794</v>
      </c>
      <c r="AH85" s="111" t="n">
        <f aca="false">AH83+AH84</f>
        <v>227528.105547794</v>
      </c>
      <c r="AI85" s="111" t="n">
        <f aca="false">AI83+AI84</f>
        <v>243596.081415081</v>
      </c>
      <c r="AJ85" s="111" t="n">
        <f aca="false">AJ83+AJ84</f>
        <v>258575.328708122</v>
      </c>
      <c r="AK85" s="111" t="n">
        <f aca="false">AK83+AK84</f>
        <v>272433.328595178</v>
      </c>
      <c r="AL85" s="111" t="n">
        <f aca="false">AL83+AL84</f>
        <v>142207.819595745</v>
      </c>
      <c r="AM85" s="111" t="n">
        <f aca="false">AM83+AM84</f>
        <v>190621.109933859</v>
      </c>
      <c r="AN85" s="111" t="n">
        <f aca="false">AN83+AN84</f>
        <v>235826.271377284</v>
      </c>
      <c r="AO85" s="111" t="n">
        <f aca="false">AO83+AO84</f>
        <v>278067.670036885</v>
      </c>
      <c r="AP85" s="111" t="n">
        <f aca="false">AP83+AP84</f>
        <v>317496.153894451</v>
      </c>
      <c r="AQ85" s="111" t="n">
        <f aca="false">AQ83+AQ84</f>
        <v>329275.434927172</v>
      </c>
      <c r="AR85" s="111" t="n">
        <f aca="false">AR83+AR84</f>
        <v>388635.212858331</v>
      </c>
      <c r="AS85" s="111" t="n">
        <f aca="false">AS83+AS84</f>
        <v>420658.754779544</v>
      </c>
      <c r="AT85" s="111" t="n">
        <f aca="false">AT83+AT84</f>
        <v>450608.469593926</v>
      </c>
      <c r="AU85" s="111" t="n">
        <f aca="false">AU83+AU84</f>
        <v>478566.387340185</v>
      </c>
      <c r="AV85" s="111" t="n">
        <f aca="false">AV83+AV84</f>
        <v>504665.705254512</v>
      </c>
      <c r="AW85" s="111" t="n">
        <f aca="false">AW83+AW84</f>
        <v>528987.375257132</v>
      </c>
      <c r="AX85" s="111" t="n">
        <f aca="false">AX83+AX84</f>
        <v>468925.343681611</v>
      </c>
      <c r="AY85" s="111" t="n">
        <f aca="false">AY83+AY84</f>
        <v>555705.067295195</v>
      </c>
      <c r="AZ85" s="111" t="n">
        <f aca="false">AZ83+AZ84</f>
        <v>637096.53134903</v>
      </c>
      <c r="BA85" s="111" t="n">
        <f aca="false">BA83+BA84</f>
        <v>713347.551067258</v>
      </c>
      <c r="BB85" s="111" t="n">
        <f aca="false">BB83+BB84</f>
        <v>784856.325798232</v>
      </c>
      <c r="BC85" s="111" t="n">
        <f aca="false">BC83+BC84</f>
        <v>821887.647772502</v>
      </c>
      <c r="BD85" s="111" t="n">
        <f aca="false">BD83+BD84</f>
        <v>914738.17062881</v>
      </c>
      <c r="BE85" s="111" t="n">
        <f aca="false">BE83+BE84</f>
        <v>973687.536187483</v>
      </c>
      <c r="BF85" s="111" t="n">
        <f aca="false">BF83+BF84</f>
        <v>1028894.44668195</v>
      </c>
      <c r="BG85" s="111" t="n">
        <f aca="false">BG83+BG84</f>
        <v>1080690.36938187</v>
      </c>
      <c r="BH85" s="111" t="n">
        <f aca="false">BH83+BH84</f>
        <v>1129249.25716291</v>
      </c>
      <c r="BI85" s="111" t="n">
        <f aca="false">BI83+BI84</f>
        <v>1174799.26056656</v>
      </c>
      <c r="BJ85" s="111" t="n">
        <f aca="false">SUM(B85:BI85)</f>
        <v>16914851.6960541</v>
      </c>
    </row>
    <row r="86" customFormat="false" ht="15" hidden="false" customHeight="false" outlineLevel="0" collapsed="false">
      <c r="A86" s="27" t="s">
        <v>489</v>
      </c>
      <c r="B86" s="110" t="n">
        <f aca="false">B85/(1+Premissas!$B$19)^B$5</f>
        <v>0</v>
      </c>
      <c r="C86" s="110" t="n">
        <f aca="false">C85/(1+Premissas!$B$19)^C$5</f>
        <v>0</v>
      </c>
      <c r="D86" s="110" t="n">
        <f aca="false">D85/(1+Premissas!$B$19)^D$5</f>
        <v>0</v>
      </c>
      <c r="E86" s="110" t="n">
        <f aca="false">E85/(1+Premissas!$B$19)^E$5</f>
        <v>-1392.47665008383</v>
      </c>
      <c r="F86" s="110" t="n">
        <f aca="false">F85/(1+Premissas!$B$19)^F$5</f>
        <v>-7380.84094984538</v>
      </c>
      <c r="G86" s="110" t="n">
        <f aca="false">G85/(1+Premissas!$B$19)^G$5</f>
        <v>-1878.29710109982</v>
      </c>
      <c r="H86" s="110" t="n">
        <f aca="false">H85/(1+Premissas!$B$19)^H$5</f>
        <v>-1843.69235056949</v>
      </c>
      <c r="I86" s="110" t="n">
        <f aca="false">I85/(1+Premissas!$B$19)^I$5</f>
        <v>-9675.84196057351</v>
      </c>
      <c r="J86" s="110" t="n">
        <f aca="false">J85/(1+Premissas!$B$19)^J$5</f>
        <v>-10658.3023354809</v>
      </c>
      <c r="K86" s="110" t="n">
        <f aca="false">K85/(1+Premissas!$B$19)^K$5</f>
        <v>-58130.1782734595</v>
      </c>
      <c r="L86" s="110" t="n">
        <f aca="false">L85/(1+Premissas!$B$19)^L$5</f>
        <v>-22375.9485598386</v>
      </c>
      <c r="M86" s="110" t="n">
        <f aca="false">M85/(1+Premissas!$B$19)^M$5</f>
        <v>-12895.21416</v>
      </c>
      <c r="N86" s="110" t="n">
        <f aca="false">N85/(1+Premissas!$B$19)^N$5</f>
        <v>-52403.3694574693</v>
      </c>
      <c r="O86" s="110" t="n">
        <f aca="false">O85/(1+Premissas!$B$19)^O$5</f>
        <v>-26857.2355536966</v>
      </c>
      <c r="P86" s="110" t="n">
        <f aca="false">P85/(1+Premissas!$B$19)^P$5</f>
        <v>-8133.55764392124</v>
      </c>
      <c r="Q86" s="110" t="n">
        <f aca="false">Q85/(1+Premissas!$B$19)^Q$5</f>
        <v>13667.2516877437</v>
      </c>
      <c r="R86" s="110" t="n">
        <f aca="false">R85/(1+Premissas!$B$19)^R$5</f>
        <v>24961.2945643746</v>
      </c>
      <c r="S86" s="110" t="n">
        <f aca="false">S85/(1+Premissas!$B$19)^S$5</f>
        <v>30536.1526008114</v>
      </c>
      <c r="T86" s="110" t="n">
        <f aca="false">T85/(1+Premissas!$B$19)^T$5</f>
        <v>26117.0123255114</v>
      </c>
      <c r="U86" s="110" t="n">
        <f aca="false">U85/(1+Premissas!$B$19)^U$5</f>
        <v>51558.9645300946</v>
      </c>
      <c r="V86" s="110" t="n">
        <f aca="false">V85/(1+Premissas!$B$19)^V$5</f>
        <v>58579.157563686</v>
      </c>
      <c r="W86" s="110" t="n">
        <f aca="false">W85/(1+Premissas!$B$19)^W$5</f>
        <v>63844.4478119056</v>
      </c>
      <c r="X86" s="110" t="n">
        <f aca="false">X85/(1+Premissas!$B$19)^X$5</f>
        <v>68538.9566306515</v>
      </c>
      <c r="Y86" s="110" t="n">
        <f aca="false">Y85/(1+Premissas!$B$19)^Y$5</f>
        <v>72698.4299053006</v>
      </c>
      <c r="Z86" s="110" t="n">
        <f aca="false">Z85/(1+Premissas!$B$19)^Z$5</f>
        <v>13518.2030674977</v>
      </c>
      <c r="AA86" s="110" t="n">
        <f aca="false">AA85/(1+Premissas!$B$19)^AA$5</f>
        <v>48560.5476079854</v>
      </c>
      <c r="AB86" s="110" t="n">
        <f aca="false">AB85/(1+Premissas!$B$19)^AB$5</f>
        <v>58370.6115376022</v>
      </c>
      <c r="AC86" s="110" t="n">
        <f aca="false">AC85/(1+Premissas!$B$19)^AC$5</f>
        <v>67265.2527830775</v>
      </c>
      <c r="AD86" s="110" t="n">
        <f aca="false">AD85/(1+Premissas!$B$19)^AD$5</f>
        <v>87459.2312781562</v>
      </c>
      <c r="AE86" s="110" t="n">
        <f aca="false">AE85/(1+Premissas!$B$19)^AE$5</f>
        <v>89580.3268458723</v>
      </c>
      <c r="AF86" s="110" t="n">
        <f aca="false">AF85/(1+Premissas!$B$19)^AF$5</f>
        <v>107625.604066262</v>
      </c>
      <c r="AG86" s="110" t="n">
        <f aca="false">AG85/(1+Premissas!$B$19)^AG$5</f>
        <v>115908.476569184</v>
      </c>
      <c r="AH86" s="110" t="n">
        <f aca="false">AH85/(1+Premissas!$B$19)^AH$5</f>
        <v>123177.82038083</v>
      </c>
      <c r="AI86" s="110" t="n">
        <f aca="false">AI85/(1+Premissas!$B$19)^AI$5</f>
        <v>129446.981430372</v>
      </c>
      <c r="AJ86" s="110" t="n">
        <f aca="false">AJ85/(1+Premissas!$B$19)^AJ$5</f>
        <v>134875.441974541</v>
      </c>
      <c r="AK86" s="110" t="n">
        <f aca="false">AK85/(1+Premissas!$B$19)^AK$5</f>
        <v>139485.86424073</v>
      </c>
      <c r="AL86" s="110" t="n">
        <f aca="false">AL85/(1+Premissas!$B$19)^AL$5</f>
        <v>71468.983336808</v>
      </c>
      <c r="AM86" s="110" t="n">
        <f aca="false">AM85/(1+Premissas!$B$19)^AM$5</f>
        <v>94034.9474369633</v>
      </c>
      <c r="AN86" s="110" t="n">
        <f aca="false">AN85/(1+Premissas!$B$19)^AN$5</f>
        <v>114191.727276836</v>
      </c>
      <c r="AO86" s="110" t="n">
        <f aca="false">AO85/(1+Premissas!$B$19)^AO$5</f>
        <v>132165.201124549</v>
      </c>
      <c r="AP86" s="110" t="n">
        <f aca="false">AP85/(1+Premissas!$B$19)^AP$5</f>
        <v>148125.304988923</v>
      </c>
      <c r="AQ86" s="110" t="n">
        <f aca="false">AQ85/(1+Premissas!$B$19)^AQ$5</f>
        <v>150790.605991519</v>
      </c>
      <c r="AR86" s="110" t="n">
        <f aca="false">AR85/(1+Premissas!$B$19)^AR$5</f>
        <v>174695.318944634</v>
      </c>
      <c r="AS86" s="110" t="n">
        <f aca="false">AS85/(1+Premissas!$B$19)^AS$5</f>
        <v>185606.515499553</v>
      </c>
      <c r="AT86" s="110" t="n">
        <f aca="false">AT85/(1+Premissas!$B$19)^AT$5</f>
        <v>195158.199014009</v>
      </c>
      <c r="AU86" s="110" t="n">
        <f aca="false">AU85/(1+Premissas!$B$19)^AU$5</f>
        <v>203448.179939038</v>
      </c>
      <c r="AV86" s="110" t="n">
        <f aca="false">AV85/(1+Premissas!$B$19)^AV$5</f>
        <v>210590.887802538</v>
      </c>
      <c r="AW86" s="110" t="n">
        <f aca="false">AW85/(1+Premissas!$B$19)^AW$5</f>
        <v>216673.228905321</v>
      </c>
      <c r="AX86" s="110" t="n">
        <f aca="false">AX85/(1+Premissas!$B$19)^AX$5</f>
        <v>188533.1913199</v>
      </c>
      <c r="AY86" s="110" t="n">
        <f aca="false">AY85/(1+Premissas!$B$19)^AY$5</f>
        <v>219307.071757957</v>
      </c>
      <c r="AZ86" s="110" t="n">
        <f aca="false">AZ85/(1+Premissas!$B$19)^AZ$5</f>
        <v>246795.754966373</v>
      </c>
      <c r="BA86" s="110" t="n">
        <f aca="false">BA85/(1+Premissas!$B$19)^BA$5</f>
        <v>271242.528974339</v>
      </c>
      <c r="BB86" s="110" t="n">
        <f aca="false">BB85/(1+Premissas!$B$19)^BB$5</f>
        <v>292934.780356419</v>
      </c>
      <c r="BC86" s="110" t="n">
        <f aca="false">BC85/(1+Premissas!$B$19)^BC$5</f>
        <v>301104.603182974</v>
      </c>
      <c r="BD86" s="110" t="n">
        <f aca="false">BD85/(1+Premissas!$B$19)^BD$5</f>
        <v>328946.984074925</v>
      </c>
      <c r="BE86" s="110" t="n">
        <f aca="false">BE85/(1+Premissas!$B$19)^BE$5</f>
        <v>343694.738262258</v>
      </c>
      <c r="BF86" s="110" t="n">
        <f aca="false">BF85/(1+Premissas!$B$19)^BF$5</f>
        <v>356490.746604771</v>
      </c>
      <c r="BG86" s="110" t="n">
        <f aca="false">BG85/(1+Premissas!$B$19)^BG$5</f>
        <v>367538.539345178</v>
      </c>
      <c r="BH86" s="110" t="n">
        <f aca="false">BH85/(1+Premissas!$B$19)^BH$5</f>
        <v>376977.632742232</v>
      </c>
      <c r="BI86" s="110" t="n">
        <f aca="false">BI85/(1+Premissas!$B$19)^BI$5</f>
        <v>384958.22170245</v>
      </c>
      <c r="BJ86" s="111" t="n">
        <f aca="false">SUM(B86:BI86)</f>
        <v>6887624.96795662</v>
      </c>
    </row>
    <row r="87" customFormat="false" ht="15" hidden="false" customHeight="false" outlineLevel="0" collapsed="false">
      <c r="A87" s="27" t="s">
        <v>490</v>
      </c>
      <c r="B87" s="110" t="n">
        <f aca="false">B86</f>
        <v>0</v>
      </c>
      <c r="C87" s="110" t="n">
        <f aca="false">B87+C86</f>
        <v>0</v>
      </c>
      <c r="D87" s="110" t="n">
        <f aca="false">C87+D86</f>
        <v>0</v>
      </c>
      <c r="E87" s="110" t="n">
        <f aca="false">D87+E86</f>
        <v>-1392.47665008383</v>
      </c>
      <c r="F87" s="110" t="n">
        <f aca="false">E87+F86</f>
        <v>-8773.31759992921</v>
      </c>
      <c r="G87" s="110" t="n">
        <f aca="false">F87+G86</f>
        <v>-10651.614701029</v>
      </c>
      <c r="H87" s="110" t="n">
        <f aca="false">G87+H86</f>
        <v>-12495.3070515985</v>
      </c>
      <c r="I87" s="110" t="n">
        <f aca="false">H87+I86</f>
        <v>-22171.149012172</v>
      </c>
      <c r="J87" s="110" t="n">
        <f aca="false">I87+J86</f>
        <v>-32829.4513476529</v>
      </c>
      <c r="K87" s="110" t="n">
        <f aca="false">J87+K86</f>
        <v>-90959.6296211124</v>
      </c>
      <c r="L87" s="110" t="n">
        <f aca="false">K87+L86</f>
        <v>-113335.578180951</v>
      </c>
      <c r="M87" s="110" t="n">
        <f aca="false">L87+M86</f>
        <v>-126230.792340951</v>
      </c>
      <c r="N87" s="110" t="n">
        <f aca="false">M87+N86</f>
        <v>-178634.16179842</v>
      </c>
      <c r="O87" s="110" t="n">
        <f aca="false">N87+O86</f>
        <v>-205491.397352117</v>
      </c>
      <c r="P87" s="110" t="n">
        <f aca="false">O87+P86</f>
        <v>-213624.954996038</v>
      </c>
      <c r="Q87" s="110" t="n">
        <f aca="false">P87+Q86</f>
        <v>-199957.703308294</v>
      </c>
      <c r="R87" s="110" t="n">
        <f aca="false">Q87+R86</f>
        <v>-174996.40874392</v>
      </c>
      <c r="S87" s="110" t="n">
        <f aca="false">R87+S86</f>
        <v>-144460.256143108</v>
      </c>
      <c r="T87" s="110" t="n">
        <f aca="false">S87+T86</f>
        <v>-118343.243817597</v>
      </c>
      <c r="U87" s="110" t="n">
        <f aca="false">T87+U86</f>
        <v>-66784.2792875024</v>
      </c>
      <c r="V87" s="110" t="n">
        <f aca="false">U87+V86</f>
        <v>-8205.12172381634</v>
      </c>
      <c r="W87" s="110" t="n">
        <f aca="false">V87+W86</f>
        <v>55639.3260880893</v>
      </c>
      <c r="X87" s="110" t="n">
        <f aca="false">W87+X86</f>
        <v>124178.282718741</v>
      </c>
      <c r="Y87" s="110" t="n">
        <f aca="false">X87+Y86</f>
        <v>196876.712624041</v>
      </c>
      <c r="Z87" s="110" t="n">
        <f aca="false">Y87+Z86</f>
        <v>210394.915691539</v>
      </c>
      <c r="AA87" s="110" t="n">
        <f aca="false">Z87+AA86</f>
        <v>258955.463299524</v>
      </c>
      <c r="AB87" s="110" t="n">
        <f aca="false">AA87+AB86</f>
        <v>317326.074837127</v>
      </c>
      <c r="AC87" s="110" t="n">
        <f aca="false">AB87+AC86</f>
        <v>384591.327620204</v>
      </c>
      <c r="AD87" s="110" t="n">
        <f aca="false">AC87+AD86</f>
        <v>472050.55889836</v>
      </c>
      <c r="AE87" s="110" t="n">
        <f aca="false">AD87+AE86</f>
        <v>561630.885744233</v>
      </c>
      <c r="AF87" s="110" t="n">
        <f aca="false">AE87+AF86</f>
        <v>669256.489810495</v>
      </c>
      <c r="AG87" s="110" t="n">
        <f aca="false">AF87+AG86</f>
        <v>785164.966379678</v>
      </c>
      <c r="AH87" s="110" t="n">
        <f aca="false">AG87+AH86</f>
        <v>908342.786760508</v>
      </c>
      <c r="AI87" s="110" t="n">
        <f aca="false">AH87+AI86</f>
        <v>1037789.76819088</v>
      </c>
      <c r="AJ87" s="110" t="n">
        <f aca="false">AI87+AJ86</f>
        <v>1172665.21016542</v>
      </c>
      <c r="AK87" s="110" t="n">
        <f aca="false">AJ87+AK86</f>
        <v>1312151.07440615</v>
      </c>
      <c r="AL87" s="110" t="n">
        <f aca="false">AK87+AL86</f>
        <v>1383620.05774296</v>
      </c>
      <c r="AM87" s="110" t="n">
        <f aca="false">AL87+AM86</f>
        <v>1477655.00517992</v>
      </c>
      <c r="AN87" s="110" t="n">
        <f aca="false">AM87+AN86</f>
        <v>1591846.73245676</v>
      </c>
      <c r="AO87" s="110" t="n">
        <f aca="false">AN87+AO86</f>
        <v>1724011.93358131</v>
      </c>
      <c r="AP87" s="110" t="n">
        <f aca="false">AO87+AP86</f>
        <v>1872137.23857023</v>
      </c>
      <c r="AQ87" s="110" t="n">
        <f aca="false">AP87+AQ86</f>
        <v>2022927.84456175</v>
      </c>
      <c r="AR87" s="110" t="n">
        <f aca="false">AQ87+AR86</f>
        <v>2197623.16350638</v>
      </c>
      <c r="AS87" s="110" t="n">
        <f aca="false">AR87+AS86</f>
        <v>2383229.67900594</v>
      </c>
      <c r="AT87" s="110" t="n">
        <f aca="false">AS87+AT86</f>
        <v>2578387.87801995</v>
      </c>
      <c r="AU87" s="110" t="n">
        <f aca="false">AT87+AU86</f>
        <v>2781836.05795898</v>
      </c>
      <c r="AV87" s="110" t="n">
        <f aca="false">AU87+AV86</f>
        <v>2992426.94576152</v>
      </c>
      <c r="AW87" s="110" t="n">
        <f aca="false">AV87+AW86</f>
        <v>3209100.17466684</v>
      </c>
      <c r="AX87" s="110" t="n">
        <f aca="false">AW87+AX86</f>
        <v>3397633.36598674</v>
      </c>
      <c r="AY87" s="110" t="n">
        <f aca="false">AX87+AY86</f>
        <v>3616940.4377447</v>
      </c>
      <c r="AZ87" s="110" t="n">
        <f aca="false">AY87+AZ86</f>
        <v>3863736.19271107</v>
      </c>
      <c r="BA87" s="110" t="n">
        <f aca="false">AZ87+BA86</f>
        <v>4134978.72168541</v>
      </c>
      <c r="BB87" s="110" t="n">
        <f aca="false">BA87+BB86</f>
        <v>4427913.50204183</v>
      </c>
      <c r="BC87" s="110" t="n">
        <f aca="false">BB87+BC86</f>
        <v>4729018.1052248</v>
      </c>
      <c r="BD87" s="110" t="n">
        <f aca="false">BC87+BD86</f>
        <v>5057965.08929973</v>
      </c>
      <c r="BE87" s="110" t="n">
        <f aca="false">BD87+BE86</f>
        <v>5401659.82756199</v>
      </c>
      <c r="BF87" s="110" t="n">
        <f aca="false">BE87+BF86</f>
        <v>5758150.57416676</v>
      </c>
      <c r="BG87" s="110" t="n">
        <f aca="false">BF87+BG86</f>
        <v>6125689.11351194</v>
      </c>
      <c r="BH87" s="110" t="n">
        <f aca="false">BG87+BH86</f>
        <v>6502666.74625417</v>
      </c>
      <c r="BI87" s="110" t="n">
        <f aca="false">BH87+BI86</f>
        <v>6887624.96795662</v>
      </c>
      <c r="BJ87" s="111" t="n">
        <f aca="false">BI87</f>
        <v>6887624.96795662</v>
      </c>
      <c r="BK87" s="29" t="s">
        <v>571</v>
      </c>
    </row>
    <row r="88" customFormat="false" ht="15" hidden="false" customHeight="false" outlineLevel="0" collapsed="false">
      <c r="A88" s="27" t="s">
        <v>491</v>
      </c>
      <c r="B88" s="110" t="n">
        <f aca="false">B85</f>
        <v>0</v>
      </c>
      <c r="C88" s="110" t="n">
        <f aca="false">B88+C85</f>
        <v>0</v>
      </c>
      <c r="D88" s="110" t="n">
        <f aca="false">C88+D85</f>
        <v>0</v>
      </c>
      <c r="E88" s="110" t="n">
        <f aca="false">D88+E85</f>
        <v>-1500</v>
      </c>
      <c r="F88" s="110" t="n">
        <f aca="false">E88+F85</f>
        <v>-9600</v>
      </c>
      <c r="G88" s="110" t="n">
        <f aca="false">F88+G85</f>
        <v>-11700</v>
      </c>
      <c r="H88" s="110" t="n">
        <f aca="false">G88+H85</f>
        <v>-13800</v>
      </c>
      <c r="I88" s="110" t="n">
        <f aca="false">H88+I85</f>
        <v>-25027.82</v>
      </c>
      <c r="J88" s="110" t="n">
        <f aca="false">I88+J85</f>
        <v>-37627.82</v>
      </c>
      <c r="K88" s="110" t="n">
        <f aca="false">J88+K85</f>
        <v>-107637.807325</v>
      </c>
      <c r="L88" s="110" t="n">
        <f aca="false">K88+L85</f>
        <v>-135092.43975</v>
      </c>
      <c r="M88" s="110" t="n">
        <f aca="false">L88+M85</f>
        <v>-151211.45745</v>
      </c>
      <c r="N88" s="110" t="n">
        <f aca="false">M88+N85</f>
        <v>-217945.135190096</v>
      </c>
      <c r="O88" s="110" t="n">
        <f aca="false">N88+O85</f>
        <v>-252788.73283061</v>
      </c>
      <c r="P88" s="110" t="n">
        <f aca="false">O88+P85</f>
        <v>-263538.970483385</v>
      </c>
      <c r="Q88" s="110" t="n">
        <f aca="false">P88+Q85</f>
        <v>-245135.719762465</v>
      </c>
      <c r="R88" s="110" t="n">
        <f aca="false">Q88+R85</f>
        <v>-210893.943089363</v>
      </c>
      <c r="S88" s="110" t="n">
        <f aca="false">R88+S85</f>
        <v>-168218.372472662</v>
      </c>
      <c r="T88" s="110" t="n">
        <f aca="false">S88+T85</f>
        <v>-131033.66682842</v>
      </c>
      <c r="U88" s="110" t="n">
        <f aca="false">T88+U85</f>
        <v>-56247.5686923182</v>
      </c>
      <c r="V88" s="110" t="n">
        <f aca="false">U88+V85</f>
        <v>30316.0980706992</v>
      </c>
      <c r="W88" s="110" t="n">
        <f aca="false">V88+W85</f>
        <v>126431.169339195</v>
      </c>
      <c r="X88" s="110" t="n">
        <f aca="false">W88+X85</f>
        <v>231550.280605887</v>
      </c>
      <c r="Y88" s="110" t="n">
        <f aca="false">X88+Y85</f>
        <v>345141.577332919</v>
      </c>
      <c r="Z88" s="110" t="n">
        <f aca="false">Y88+Z85</f>
        <v>366660.217652978</v>
      </c>
      <c r="AA88" s="110" t="n">
        <f aca="false">Z88+AA85</f>
        <v>445411.071341585</v>
      </c>
      <c r="AB88" s="110" t="n">
        <f aca="false">AA88+AB85</f>
        <v>541847.645199887</v>
      </c>
      <c r="AC88" s="110" t="n">
        <f aca="false">AB88+AC85</f>
        <v>655065.296785532</v>
      </c>
      <c r="AD88" s="110" t="n">
        <f aca="false">AC88+AD85</f>
        <v>805035.456471381</v>
      </c>
      <c r="AE88" s="110" t="n">
        <f aca="false">AD88+AE85</f>
        <v>961525.84731046</v>
      </c>
      <c r="AF88" s="110" t="n">
        <f aca="false">AE88+AF85</f>
        <v>1153068.92836373</v>
      </c>
      <c r="AG88" s="110" t="n">
        <f aca="false">AF88+AG85</f>
        <v>1363224.97936552</v>
      </c>
      <c r="AH88" s="110" t="n">
        <f aca="false">AG88+AH85</f>
        <v>1590753.08491332</v>
      </c>
      <c r="AI88" s="110" t="n">
        <f aca="false">AH88+AI85</f>
        <v>1834349.1663284</v>
      </c>
      <c r="AJ88" s="110" t="n">
        <f aca="false">AI88+AJ85</f>
        <v>2092924.49503652</v>
      </c>
      <c r="AK88" s="110" t="n">
        <f aca="false">AJ88+AK85</f>
        <v>2365357.8236317</v>
      </c>
      <c r="AL88" s="110" t="n">
        <f aca="false">AK88+AL85</f>
        <v>2507565.64322744</v>
      </c>
      <c r="AM88" s="110" t="n">
        <f aca="false">AL88+AM85</f>
        <v>2698186.7531613</v>
      </c>
      <c r="AN88" s="110" t="n">
        <f aca="false">AM88+AN85</f>
        <v>2934013.02453858</v>
      </c>
      <c r="AO88" s="110" t="n">
        <f aca="false">AN88+AO85</f>
        <v>3212080.69457547</v>
      </c>
      <c r="AP88" s="110" t="n">
        <f aca="false">AO88+AP85</f>
        <v>3529576.84846992</v>
      </c>
      <c r="AQ88" s="110" t="n">
        <f aca="false">AP88+AQ85</f>
        <v>3858852.28339709</v>
      </c>
      <c r="AR88" s="110" t="n">
        <f aca="false">AQ88+AR85</f>
        <v>4247487.49625542</v>
      </c>
      <c r="AS88" s="110" t="n">
        <f aca="false">AR88+AS85</f>
        <v>4668146.25103497</v>
      </c>
      <c r="AT88" s="110" t="n">
        <f aca="false">AS88+AT85</f>
        <v>5118754.72062889</v>
      </c>
      <c r="AU88" s="110" t="n">
        <f aca="false">AT88+AU85</f>
        <v>5597321.10796908</v>
      </c>
      <c r="AV88" s="110" t="n">
        <f aca="false">AU88+AV85</f>
        <v>6101986.81322359</v>
      </c>
      <c r="AW88" s="110" t="n">
        <f aca="false">AV88+AW85</f>
        <v>6630974.18848072</v>
      </c>
      <c r="AX88" s="110" t="n">
        <f aca="false">AW88+AX85</f>
        <v>7099899.53216233</v>
      </c>
      <c r="AY88" s="110" t="n">
        <f aca="false">AX88+AY85</f>
        <v>7655604.59945753</v>
      </c>
      <c r="AZ88" s="110" t="n">
        <f aca="false">AY88+AZ85</f>
        <v>8292701.13080656</v>
      </c>
      <c r="BA88" s="110" t="n">
        <f aca="false">AZ88+BA85</f>
        <v>9006048.68187382</v>
      </c>
      <c r="BB88" s="110" t="n">
        <f aca="false">BA88+BB85</f>
        <v>9790905.00767205</v>
      </c>
      <c r="BC88" s="110" t="n">
        <f aca="false">BB88+BC85</f>
        <v>10612792.6554446</v>
      </c>
      <c r="BD88" s="110" t="n">
        <f aca="false">BC88+BD85</f>
        <v>11527530.8260734</v>
      </c>
      <c r="BE88" s="110" t="n">
        <f aca="false">BD88+BE85</f>
        <v>12501218.3622608</v>
      </c>
      <c r="BF88" s="110" t="n">
        <f aca="false">BE88+BF85</f>
        <v>13530112.8089428</v>
      </c>
      <c r="BG88" s="110" t="n">
        <f aca="false">BF88+BG85</f>
        <v>14610803.1783247</v>
      </c>
      <c r="BH88" s="110" t="n">
        <f aca="false">BG88+BH85</f>
        <v>15740052.4354876</v>
      </c>
      <c r="BI88" s="110" t="n">
        <f aca="false">BH88+BI85</f>
        <v>16914851.6960541</v>
      </c>
      <c r="BJ88" s="111" t="n">
        <f aca="false">BI88</f>
        <v>16914851.6960541</v>
      </c>
      <c r="BK88" s="29" t="s">
        <v>571</v>
      </c>
    </row>
    <row r="89" customFormat="false" ht="15" hidden="false" customHeight="false" outlineLevel="0" collapsed="false">
      <c r="A89" s="114" t="s">
        <v>584</v>
      </c>
      <c r="B89" s="147" t="n">
        <f aca="false">IF(B83&gt;0,1,0)</f>
        <v>0</v>
      </c>
      <c r="C89" s="147" t="n">
        <f aca="false">IF(B89=1,1,IF(C83&gt;0,1,0))</f>
        <v>0</v>
      </c>
      <c r="D89" s="147" t="n">
        <f aca="false">IF(C89=1,1,IF(D83&gt;0,1,0))</f>
        <v>0</v>
      </c>
      <c r="E89" s="147" t="n">
        <f aca="false">IF(D89=1,1,IF(E83&gt;0,1,0))</f>
        <v>0</v>
      </c>
      <c r="F89" s="147" t="n">
        <f aca="false">IF(E89=1,1,IF(F83&gt;0,1,0))</f>
        <v>0</v>
      </c>
      <c r="G89" s="147" t="n">
        <f aca="false">IF(F89=1,1,IF(G83&gt;0,1,0))</f>
        <v>0</v>
      </c>
      <c r="H89" s="147" t="n">
        <f aca="false">IF(G89=1,1,IF(H83&gt;0,1,0))</f>
        <v>0</v>
      </c>
      <c r="I89" s="147" t="n">
        <f aca="false">IF(H89=1,1,IF(I83&gt;0,1,0))</f>
        <v>0</v>
      </c>
      <c r="J89" s="147" t="n">
        <f aca="false">IF(I89=1,1,IF(J83&gt;0,1,0))</f>
        <v>0</v>
      </c>
      <c r="K89" s="147" t="n">
        <f aca="false">IF(J89=1,1,IF(K83&gt;0,1,0))</f>
        <v>0</v>
      </c>
      <c r="L89" s="147" t="n">
        <f aca="false">IF(K89=1,1,IF(L83&gt;0,1,0))</f>
        <v>0</v>
      </c>
      <c r="M89" s="147" t="n">
        <f aca="false">IF(L89=1,1,IF(M83&gt;0,1,0))</f>
        <v>0</v>
      </c>
      <c r="N89" s="147" t="n">
        <f aca="false">IF(M89=1,1,IF(N83&gt;0,1,0))</f>
        <v>0</v>
      </c>
      <c r="O89" s="147" t="n">
        <f aca="false">IF(N89=1,1,IF(O83&gt;0,1,0))</f>
        <v>0</v>
      </c>
      <c r="P89" s="147" t="n">
        <f aca="false">IF(O89=1,1,IF(P83&gt;0,1,0))</f>
        <v>1</v>
      </c>
      <c r="Q89" s="147" t="n">
        <f aca="false">IF(P89=1,1,IF(Q83&gt;0,1,0))</f>
        <v>1</v>
      </c>
      <c r="R89" s="147" t="n">
        <f aca="false">IF(Q89=1,1,IF(R83&gt;0,1,0))</f>
        <v>1</v>
      </c>
      <c r="S89" s="147" t="n">
        <f aca="false">IF(R89=1,1,IF(S83&gt;0,1,0))</f>
        <v>1</v>
      </c>
      <c r="T89" s="147" t="n">
        <f aca="false">IF(S89=1,1,IF(T83&gt;0,1,0))</f>
        <v>1</v>
      </c>
      <c r="U89" s="147" t="n">
        <f aca="false">IF(T89=1,1,IF(U83&gt;0,1,0))</f>
        <v>1</v>
      </c>
      <c r="V89" s="147" t="n">
        <f aca="false">IF(U89=1,1,IF(V83&gt;0,1,0))</f>
        <v>1</v>
      </c>
      <c r="W89" s="147" t="n">
        <f aca="false">IF(V89=1,1,IF(W83&gt;0,1,0))</f>
        <v>1</v>
      </c>
      <c r="X89" s="147" t="n">
        <f aca="false">IF(W89=1,1,IF(X83&gt;0,1,0))</f>
        <v>1</v>
      </c>
      <c r="Y89" s="147" t="n">
        <f aca="false">IF(X89=1,1,IF(Y83&gt;0,1,0))</f>
        <v>1</v>
      </c>
      <c r="Z89" s="147" t="n">
        <f aca="false">IF(Y89=1,1,IF(Z83&gt;0,1,0))</f>
        <v>1</v>
      </c>
      <c r="AA89" s="147" t="n">
        <f aca="false">IF(Z89=1,1,IF(AA83&gt;0,1,0))</f>
        <v>1</v>
      </c>
      <c r="AB89" s="147" t="n">
        <f aca="false">IF(AA89=1,1,IF(AB83&gt;0,1,0))</f>
        <v>1</v>
      </c>
      <c r="AC89" s="147" t="n">
        <f aca="false">IF(AB89=1,1,IF(AC83&gt;0,1,0))</f>
        <v>1</v>
      </c>
      <c r="AD89" s="147" t="n">
        <f aca="false">IF(AC89=1,1,IF(AD83&gt;0,1,0))</f>
        <v>1</v>
      </c>
      <c r="AE89" s="147" t="n">
        <f aca="false">IF(AD89=1,1,IF(AE83&gt;0,1,0))</f>
        <v>1</v>
      </c>
      <c r="AF89" s="147" t="n">
        <f aca="false">IF(AE89=1,1,IF(AF83&gt;0,1,0))</f>
        <v>1</v>
      </c>
      <c r="AG89" s="147" t="n">
        <f aca="false">IF(AF89=1,1,IF(AG83&gt;0,1,0))</f>
        <v>1</v>
      </c>
      <c r="AH89" s="147" t="n">
        <f aca="false">IF(AG89=1,1,IF(AH83&gt;0,1,0))</f>
        <v>1</v>
      </c>
      <c r="AI89" s="147" t="n">
        <f aca="false">IF(AH89=1,1,IF(AI83&gt;0,1,0))</f>
        <v>1</v>
      </c>
      <c r="AJ89" s="147" t="n">
        <f aca="false">IF(AI89=1,1,IF(AJ83&gt;0,1,0))</f>
        <v>1</v>
      </c>
      <c r="AK89" s="147" t="n">
        <f aca="false">IF(AJ89=1,1,IF(AK83&gt;0,1,0))</f>
        <v>1</v>
      </c>
      <c r="AL89" s="147" t="n">
        <f aca="false">IF(AK89=1,1,IF(AL83&gt;0,1,0))</f>
        <v>1</v>
      </c>
      <c r="AM89" s="147" t="n">
        <f aca="false">IF(AL89=1,1,IF(AM83&gt;0,1,0))</f>
        <v>1</v>
      </c>
      <c r="AN89" s="147" t="n">
        <f aca="false">IF(AM89=1,1,IF(AN83&gt;0,1,0))</f>
        <v>1</v>
      </c>
      <c r="AO89" s="147" t="n">
        <f aca="false">IF(AN89=1,1,IF(AO83&gt;0,1,0))</f>
        <v>1</v>
      </c>
      <c r="AP89" s="147" t="n">
        <f aca="false">IF(AO89=1,1,IF(AP83&gt;0,1,0))</f>
        <v>1</v>
      </c>
      <c r="AQ89" s="147" t="n">
        <f aca="false">IF(AP89=1,1,IF(AQ83&gt;0,1,0))</f>
        <v>1</v>
      </c>
      <c r="AR89" s="147" t="n">
        <f aca="false">IF(AQ89=1,1,IF(AR83&gt;0,1,0))</f>
        <v>1</v>
      </c>
      <c r="AS89" s="147" t="n">
        <f aca="false">IF(AR89=1,1,IF(AS83&gt;0,1,0))</f>
        <v>1</v>
      </c>
      <c r="AT89" s="147" t="n">
        <f aca="false">IF(AS89=1,1,IF(AT83&gt;0,1,0))</f>
        <v>1</v>
      </c>
      <c r="AU89" s="147" t="n">
        <f aca="false">IF(AT89=1,1,IF(AU83&gt;0,1,0))</f>
        <v>1</v>
      </c>
      <c r="AV89" s="147" t="n">
        <f aca="false">IF(AU89=1,1,IF(AV83&gt;0,1,0))</f>
        <v>1</v>
      </c>
      <c r="AW89" s="147" t="n">
        <f aca="false">IF(AV89=1,1,IF(AW83&gt;0,1,0))</f>
        <v>1</v>
      </c>
      <c r="AX89" s="147" t="n">
        <f aca="false">IF(AW89=1,1,IF(AX83&gt;0,1,0))</f>
        <v>1</v>
      </c>
      <c r="AY89" s="147" t="n">
        <f aca="false">IF(AX89=1,1,IF(AY83&gt;0,1,0))</f>
        <v>1</v>
      </c>
      <c r="AZ89" s="147" t="n">
        <f aca="false">IF(AY89=1,1,IF(AZ83&gt;0,1,0))</f>
        <v>1</v>
      </c>
      <c r="BA89" s="147" t="n">
        <f aca="false">IF(AZ89=1,1,IF(BA83&gt;0,1,0))</f>
        <v>1</v>
      </c>
      <c r="BB89" s="147" t="n">
        <f aca="false">IF(BA89=1,1,IF(BB83&gt;0,1,0))</f>
        <v>1</v>
      </c>
      <c r="BC89" s="147" t="n">
        <f aca="false">IF(BB89=1,1,IF(BC83&gt;0,1,0))</f>
        <v>1</v>
      </c>
      <c r="BD89" s="147" t="n">
        <f aca="false">IF(BC89=1,1,IF(BD83&gt;0,1,0))</f>
        <v>1</v>
      </c>
      <c r="BE89" s="147" t="n">
        <f aca="false">IF(BD89=1,1,IF(BE83&gt;0,1,0))</f>
        <v>1</v>
      </c>
      <c r="BF89" s="147" t="n">
        <f aca="false">IF(BE89=1,1,IF(BF83&gt;0,1,0))</f>
        <v>1</v>
      </c>
      <c r="BG89" s="147" t="n">
        <f aca="false">IF(BF89=1,1,IF(BG83&gt;0,1,0))</f>
        <v>1</v>
      </c>
      <c r="BH89" s="147" t="n">
        <f aca="false">IF(BG89=1,1,IF(BH83&gt;0,1,0))</f>
        <v>1</v>
      </c>
      <c r="BI89" s="147" t="n">
        <f aca="false">IF(BH89=1,1,IF(BI83&gt;0,1,0))</f>
        <v>1</v>
      </c>
      <c r="BJ89" s="109" t="n">
        <f aca="false">BI89</f>
        <v>1</v>
      </c>
    </row>
    <row r="90" customFormat="false" ht="15" hidden="false" customHeight="false" outlineLevel="0" collapsed="false">
      <c r="A90" s="27" t="s">
        <v>492</v>
      </c>
      <c r="B90" s="110" t="n">
        <f aca="false">Aportes!B98</f>
        <v>0</v>
      </c>
      <c r="C90" s="110" t="n">
        <f aca="false">Aportes!C98</f>
        <v>0</v>
      </c>
      <c r="D90" s="110" t="n">
        <f aca="false">Aportes!D98</f>
        <v>0</v>
      </c>
      <c r="E90" s="110" t="n">
        <f aca="false">Aportes!E98</f>
        <v>10000</v>
      </c>
      <c r="F90" s="110" t="n">
        <f aca="false">Aportes!F98</f>
        <v>0</v>
      </c>
      <c r="G90" s="110" t="n">
        <f aca="false">Aportes!G98</f>
        <v>0</v>
      </c>
      <c r="H90" s="110" t="n">
        <f aca="false">Aportes!H98</f>
        <v>5000</v>
      </c>
      <c r="I90" s="110" t="n">
        <f aca="false">Aportes!I98</f>
        <v>18000</v>
      </c>
      <c r="J90" s="110" t="n">
        <f aca="false">Aportes!J98</f>
        <v>0</v>
      </c>
      <c r="K90" s="110" t="n">
        <f aca="false">Aportes!K98</f>
        <v>80000</v>
      </c>
      <c r="L90" s="110" t="n">
        <f aca="false">Aportes!L98</f>
        <v>40000</v>
      </c>
      <c r="M90" s="110" t="n">
        <f aca="false">Aportes!M98</f>
        <v>17000</v>
      </c>
      <c r="N90" s="110" t="n">
        <f aca="false">Aportes!N98</f>
        <v>0</v>
      </c>
      <c r="O90" s="110" t="n">
        <f aca="false">Aportes!O98</f>
        <v>0</v>
      </c>
      <c r="P90" s="110" t="n">
        <f aca="false">Aportes!P98</f>
        <v>0</v>
      </c>
      <c r="Q90" s="110" t="n">
        <f aca="false">Aportes!Q98</f>
        <v>0</v>
      </c>
      <c r="R90" s="110" t="n">
        <f aca="false">Aportes!R98</f>
        <v>0</v>
      </c>
      <c r="S90" s="110" t="n">
        <f aca="false">Aportes!S98</f>
        <v>15000</v>
      </c>
      <c r="T90" s="110" t="n">
        <f aca="false">Aportes!T98</f>
        <v>0</v>
      </c>
      <c r="U90" s="110" t="n">
        <f aca="false">Aportes!U98</f>
        <v>0</v>
      </c>
      <c r="V90" s="110" t="n">
        <f aca="false">Aportes!V98</f>
        <v>0</v>
      </c>
      <c r="W90" s="110" t="n">
        <f aca="false">Aportes!W98</f>
        <v>0</v>
      </c>
      <c r="X90" s="110" t="n">
        <f aca="false">Aportes!X98</f>
        <v>0</v>
      </c>
      <c r="Y90" s="110" t="n">
        <f aca="false">Aportes!Y98</f>
        <v>15000</v>
      </c>
      <c r="Z90" s="110" t="n">
        <f aca="false">Aportes!Z98</f>
        <v>0</v>
      </c>
      <c r="AA90" s="110" t="n">
        <f aca="false">Aportes!AA98</f>
        <v>0</v>
      </c>
      <c r="AB90" s="110" t="n">
        <f aca="false">Aportes!AB98</f>
        <v>0</v>
      </c>
      <c r="AC90" s="110" t="n">
        <f aca="false">Aportes!AC98</f>
        <v>0</v>
      </c>
      <c r="AD90" s="110" t="n">
        <f aca="false">Aportes!AD98</f>
        <v>0</v>
      </c>
      <c r="AE90" s="110" t="n">
        <f aca="false">Aportes!AE98</f>
        <v>0</v>
      </c>
      <c r="AF90" s="110" t="n">
        <f aca="false">Aportes!AF98</f>
        <v>0</v>
      </c>
      <c r="AG90" s="110" t="n">
        <f aca="false">Aportes!AG98</f>
        <v>0</v>
      </c>
      <c r="AH90" s="110" t="n">
        <f aca="false">Aportes!AH98</f>
        <v>0</v>
      </c>
      <c r="AI90" s="110" t="n">
        <f aca="false">Aportes!AI98</f>
        <v>0</v>
      </c>
      <c r="AJ90" s="110" t="n">
        <f aca="false">Aportes!AJ98</f>
        <v>0</v>
      </c>
      <c r="AK90" s="110" t="n">
        <f aca="false">Aportes!AK98</f>
        <v>0</v>
      </c>
      <c r="AL90" s="110" t="n">
        <f aca="false">Aportes!AL98</f>
        <v>0</v>
      </c>
      <c r="AM90" s="110" t="n">
        <f aca="false">Aportes!AM98</f>
        <v>0</v>
      </c>
      <c r="AN90" s="110" t="n">
        <f aca="false">Aportes!AN98</f>
        <v>0</v>
      </c>
      <c r="AO90" s="110" t="n">
        <f aca="false">Aportes!AO98</f>
        <v>0</v>
      </c>
      <c r="AP90" s="110" t="n">
        <f aca="false">Aportes!AP98</f>
        <v>0</v>
      </c>
      <c r="AQ90" s="110" t="n">
        <f aca="false">Aportes!AQ98</f>
        <v>0</v>
      </c>
      <c r="AR90" s="110" t="n">
        <f aca="false">Aportes!AR98</f>
        <v>0</v>
      </c>
      <c r="AS90" s="110" t="n">
        <f aca="false">Aportes!AS98</f>
        <v>0</v>
      </c>
      <c r="AT90" s="110" t="n">
        <f aca="false">Aportes!AT98</f>
        <v>0</v>
      </c>
      <c r="AU90" s="110" t="n">
        <f aca="false">Aportes!AU98</f>
        <v>0</v>
      </c>
      <c r="AV90" s="110" t="n">
        <f aca="false">Aportes!AV98</f>
        <v>0</v>
      </c>
      <c r="AW90" s="110" t="n">
        <f aca="false">Aportes!AW98</f>
        <v>0</v>
      </c>
      <c r="AX90" s="110" t="n">
        <f aca="false">Aportes!AX98</f>
        <v>0</v>
      </c>
      <c r="AY90" s="110" t="n">
        <f aca="false">Aportes!AY98</f>
        <v>0</v>
      </c>
      <c r="AZ90" s="110" t="n">
        <f aca="false">Aportes!AZ98</f>
        <v>0</v>
      </c>
      <c r="BA90" s="110" t="n">
        <f aca="false">Aportes!BA98</f>
        <v>0</v>
      </c>
      <c r="BB90" s="110" t="n">
        <f aca="false">Aportes!BB98</f>
        <v>0</v>
      </c>
      <c r="BC90" s="110" t="n">
        <f aca="false">Aportes!BC98</f>
        <v>0</v>
      </c>
      <c r="BD90" s="110" t="n">
        <f aca="false">Aportes!BD98</f>
        <v>0</v>
      </c>
      <c r="BE90" s="110" t="n">
        <f aca="false">Aportes!BE98</f>
        <v>0</v>
      </c>
      <c r="BF90" s="110" t="n">
        <f aca="false">Aportes!BF98</f>
        <v>0</v>
      </c>
      <c r="BG90" s="110" t="n">
        <f aca="false">Aportes!BG98</f>
        <v>0</v>
      </c>
      <c r="BH90" s="110" t="n">
        <f aca="false">Aportes!BH98</f>
        <v>0</v>
      </c>
      <c r="BI90" s="110" t="n">
        <f aca="false">Aportes!BI98</f>
        <v>0</v>
      </c>
      <c r="BJ90" s="111" t="n">
        <f aca="false">SUM(B90:BI90)</f>
        <v>200000</v>
      </c>
    </row>
    <row r="91" customFormat="false" ht="15" hidden="false" customHeight="false" outlineLevel="0" collapsed="false">
      <c r="A91" s="27" t="s">
        <v>585</v>
      </c>
      <c r="B91" s="110" t="n">
        <f aca="false">B85+B90</f>
        <v>0</v>
      </c>
      <c r="C91" s="110" t="n">
        <f aca="false">C85+C90</f>
        <v>0</v>
      </c>
      <c r="D91" s="110" t="n">
        <f aca="false">D85+D90</f>
        <v>0</v>
      </c>
      <c r="E91" s="110" t="n">
        <f aca="false">E85+E90</f>
        <v>8500</v>
      </c>
      <c r="F91" s="110" t="n">
        <f aca="false">F85+F90</f>
        <v>-8100</v>
      </c>
      <c r="G91" s="110" t="n">
        <f aca="false">G85+G90</f>
        <v>-2100</v>
      </c>
      <c r="H91" s="110" t="n">
        <f aca="false">H85+H90</f>
        <v>2900</v>
      </c>
      <c r="I91" s="110" t="n">
        <f aca="false">I85+I90</f>
        <v>6772.18</v>
      </c>
      <c r="J91" s="110" t="n">
        <f aca="false">J85+J90</f>
        <v>-12600</v>
      </c>
      <c r="K91" s="110" t="n">
        <f aca="false">K85+K90</f>
        <v>9990.01267500001</v>
      </c>
      <c r="L91" s="110" t="n">
        <f aca="false">L85+L90</f>
        <v>12545.367575</v>
      </c>
      <c r="M91" s="110" t="n">
        <f aca="false">M85+M90</f>
        <v>880.982300000003</v>
      </c>
      <c r="N91" s="110" t="n">
        <f aca="false">N85+N90</f>
        <v>-66733.677740096</v>
      </c>
      <c r="O91" s="110" t="n">
        <f aca="false">O85+O90</f>
        <v>-34843.5976405144</v>
      </c>
      <c r="P91" s="110" t="n">
        <f aca="false">P85+P90</f>
        <v>-10750.2376527746</v>
      </c>
      <c r="Q91" s="110" t="n">
        <f aca="false">Q85+Q90</f>
        <v>18403.2507209199</v>
      </c>
      <c r="R91" s="110" t="n">
        <f aca="false">R85+R90</f>
        <v>34241.7766731023</v>
      </c>
      <c r="S91" s="110" t="n">
        <f aca="false">S85+S90</f>
        <v>57675.5706167009</v>
      </c>
      <c r="T91" s="110" t="n">
        <f aca="false">T85+T90</f>
        <v>37184.7056442422</v>
      </c>
      <c r="U91" s="110" t="n">
        <f aca="false">U85+U90</f>
        <v>74786.0981361015</v>
      </c>
      <c r="V91" s="110" t="n">
        <f aca="false">V85+V90</f>
        <v>86563.6667630173</v>
      </c>
      <c r="W91" s="110" t="n">
        <f aca="false">W85+W90</f>
        <v>96115.0712684959</v>
      </c>
      <c r="X91" s="110" t="n">
        <f aca="false">X85+X90</f>
        <v>105119.111266692</v>
      </c>
      <c r="Y91" s="110" t="n">
        <f aca="false">Y85+Y90</f>
        <v>128591.296727032</v>
      </c>
      <c r="Z91" s="110" t="n">
        <f aca="false">Z85+Z90</f>
        <v>21518.6403200593</v>
      </c>
      <c r="AA91" s="110" t="n">
        <f aca="false">AA85+AA90</f>
        <v>78750.8536886069</v>
      </c>
      <c r="AB91" s="110" t="n">
        <f aca="false">AB85+AB90</f>
        <v>96436.5738583015</v>
      </c>
      <c r="AC91" s="110" t="n">
        <f aca="false">AC85+AC90</f>
        <v>113217.651585646</v>
      </c>
      <c r="AD91" s="110" t="n">
        <f aca="false">AD85+AD90</f>
        <v>149970.159685849</v>
      </c>
      <c r="AE91" s="110" t="n">
        <f aca="false">AE85+AE90</f>
        <v>156490.390839078</v>
      </c>
      <c r="AF91" s="110" t="n">
        <f aca="false">AF85+AF90</f>
        <v>191543.081053268</v>
      </c>
      <c r="AG91" s="110" t="n">
        <f aca="false">AG85+AG90</f>
        <v>210156.051001794</v>
      </c>
      <c r="AH91" s="110" t="n">
        <f aca="false">AH85+AH90</f>
        <v>227528.105547794</v>
      </c>
      <c r="AI91" s="110" t="n">
        <f aca="false">AI85+AI90</f>
        <v>243596.081415081</v>
      </c>
      <c r="AJ91" s="110" t="n">
        <f aca="false">AJ85+AJ90</f>
        <v>258575.328708122</v>
      </c>
      <c r="AK91" s="110" t="n">
        <f aca="false">AK85+AK90</f>
        <v>272433.328595178</v>
      </c>
      <c r="AL91" s="110" t="n">
        <f aca="false">AL85+AL90</f>
        <v>142207.819595745</v>
      </c>
      <c r="AM91" s="110" t="n">
        <f aca="false">AM85+AM90</f>
        <v>190621.109933859</v>
      </c>
      <c r="AN91" s="110" t="n">
        <f aca="false">AN85+AN90</f>
        <v>235826.271377284</v>
      </c>
      <c r="AO91" s="110" t="n">
        <f aca="false">AO85+AO90</f>
        <v>278067.670036885</v>
      </c>
      <c r="AP91" s="110" t="n">
        <f aca="false">AP85+AP90</f>
        <v>317496.153894451</v>
      </c>
      <c r="AQ91" s="110" t="n">
        <f aca="false">AQ85+AQ90</f>
        <v>329275.434927172</v>
      </c>
      <c r="AR91" s="110" t="n">
        <f aca="false">AR85+AR90</f>
        <v>388635.212858331</v>
      </c>
      <c r="AS91" s="110" t="n">
        <f aca="false">AS85+AS90</f>
        <v>420658.754779544</v>
      </c>
      <c r="AT91" s="110" t="n">
        <f aca="false">AT85+AT90</f>
        <v>450608.469593926</v>
      </c>
      <c r="AU91" s="110" t="n">
        <f aca="false">AU85+AU90</f>
        <v>478566.387340185</v>
      </c>
      <c r="AV91" s="110" t="n">
        <f aca="false">AV85+AV90</f>
        <v>504665.705254512</v>
      </c>
      <c r="AW91" s="110" t="n">
        <f aca="false">AW85+AW90</f>
        <v>528987.375257132</v>
      </c>
      <c r="AX91" s="110" t="n">
        <f aca="false">AX85+AX90</f>
        <v>468925.343681611</v>
      </c>
      <c r="AY91" s="110" t="n">
        <f aca="false">AY85+AY90</f>
        <v>555705.067295195</v>
      </c>
      <c r="AZ91" s="110" t="n">
        <f aca="false">AZ85+AZ90</f>
        <v>637096.53134903</v>
      </c>
      <c r="BA91" s="110" t="n">
        <f aca="false">BA85+BA90</f>
        <v>713347.551067258</v>
      </c>
      <c r="BB91" s="110" t="n">
        <f aca="false">BB85+BB90</f>
        <v>784856.325798232</v>
      </c>
      <c r="BC91" s="110" t="n">
        <f aca="false">BC85+BC90</f>
        <v>821887.647772502</v>
      </c>
      <c r="BD91" s="110" t="n">
        <f aca="false">BD85+BD90</f>
        <v>914738.17062881</v>
      </c>
      <c r="BE91" s="110" t="n">
        <f aca="false">BE85+BE90</f>
        <v>973687.536187483</v>
      </c>
      <c r="BF91" s="110" t="n">
        <f aca="false">BF85+BF90</f>
        <v>1028894.44668195</v>
      </c>
      <c r="BG91" s="110" t="n">
        <f aca="false">BG85+BG90</f>
        <v>1080690.36938187</v>
      </c>
      <c r="BH91" s="110" t="n">
        <f aca="false">BH85+BH90</f>
        <v>1129249.25716291</v>
      </c>
      <c r="BI91" s="110" t="n">
        <f aca="false">BI85+BI90</f>
        <v>1174799.26056656</v>
      </c>
      <c r="BJ91" s="111" t="n">
        <f aca="false">SUM(B91:BI91)</f>
        <v>17114851.6960541</v>
      </c>
    </row>
    <row r="92" customFormat="false" ht="15" hidden="false" customHeight="false" outlineLevel="0" collapsed="false">
      <c r="A92" s="51" t="s">
        <v>494</v>
      </c>
      <c r="B92" s="111" t="n">
        <f aca="false">B91</f>
        <v>0</v>
      </c>
      <c r="C92" s="111" t="n">
        <f aca="false">B92+C91</f>
        <v>0</v>
      </c>
      <c r="D92" s="111" t="n">
        <f aca="false">C92+D91</f>
        <v>0</v>
      </c>
      <c r="E92" s="111" t="n">
        <f aca="false">D92+E91</f>
        <v>8500</v>
      </c>
      <c r="F92" s="111" t="n">
        <f aca="false">E92+F91</f>
        <v>400</v>
      </c>
      <c r="G92" s="111" t="n">
        <f aca="false">F92+G91</f>
        <v>-1700</v>
      </c>
      <c r="H92" s="111" t="n">
        <f aca="false">G92+H91</f>
        <v>1200</v>
      </c>
      <c r="I92" s="111" t="n">
        <f aca="false">H92+I91</f>
        <v>7972.18</v>
      </c>
      <c r="J92" s="111" t="n">
        <f aca="false">I92+J91</f>
        <v>-4627.82</v>
      </c>
      <c r="K92" s="111" t="n">
        <f aca="false">J92+K91</f>
        <v>5362.19267500001</v>
      </c>
      <c r="L92" s="111" t="n">
        <f aca="false">K92+L91</f>
        <v>17907.56025</v>
      </c>
      <c r="M92" s="111" t="n">
        <f aca="false">L92+M91</f>
        <v>18788.54255</v>
      </c>
      <c r="N92" s="111" t="n">
        <f aca="false">M92+N91</f>
        <v>-47945.135190096</v>
      </c>
      <c r="O92" s="111" t="n">
        <f aca="false">N92+O91</f>
        <v>-82788.7328306104</v>
      </c>
      <c r="P92" s="111" t="n">
        <f aca="false">O92+P91</f>
        <v>-93538.970483385</v>
      </c>
      <c r="Q92" s="111" t="n">
        <f aca="false">P92+Q91</f>
        <v>-75135.7197624651</v>
      </c>
      <c r="R92" s="111" t="n">
        <f aca="false">Q92+R91</f>
        <v>-40893.9430893628</v>
      </c>
      <c r="S92" s="111" t="n">
        <f aca="false">R92+S91</f>
        <v>16781.6275273381</v>
      </c>
      <c r="T92" s="111" t="n">
        <f aca="false">S92+T91</f>
        <v>53966.3331715803</v>
      </c>
      <c r="U92" s="111" t="n">
        <f aca="false">T92+U91</f>
        <v>128752.431307682</v>
      </c>
      <c r="V92" s="111" t="n">
        <f aca="false">U92+V91</f>
        <v>215316.098070699</v>
      </c>
      <c r="W92" s="111" t="n">
        <f aca="false">V92+W91</f>
        <v>311431.169339195</v>
      </c>
      <c r="X92" s="111" t="n">
        <f aca="false">W92+X91</f>
        <v>416550.280605887</v>
      </c>
      <c r="Y92" s="111" t="n">
        <f aca="false">X92+Y91</f>
        <v>545141.577332919</v>
      </c>
      <c r="Z92" s="111" t="n">
        <f aca="false">Y92+Z91</f>
        <v>566660.217652978</v>
      </c>
      <c r="AA92" s="111" t="n">
        <f aca="false">Z92+AA91</f>
        <v>645411.071341585</v>
      </c>
      <c r="AB92" s="111" t="n">
        <f aca="false">AA92+AB91</f>
        <v>741847.645199887</v>
      </c>
      <c r="AC92" s="111" t="n">
        <f aca="false">AB92+AC91</f>
        <v>855065.296785532</v>
      </c>
      <c r="AD92" s="111" t="n">
        <f aca="false">AC92+AD91</f>
        <v>1005035.45647138</v>
      </c>
      <c r="AE92" s="111" t="n">
        <f aca="false">AD92+AE91</f>
        <v>1161525.84731046</v>
      </c>
      <c r="AF92" s="111" t="n">
        <f aca="false">AE92+AF91</f>
        <v>1353068.92836373</v>
      </c>
      <c r="AG92" s="111" t="n">
        <f aca="false">AF92+AG91</f>
        <v>1563224.97936552</v>
      </c>
      <c r="AH92" s="111" t="n">
        <f aca="false">AG92+AH91</f>
        <v>1790753.08491332</v>
      </c>
      <c r="AI92" s="111" t="n">
        <f aca="false">AH92+AI91</f>
        <v>2034349.1663284</v>
      </c>
      <c r="AJ92" s="111" t="n">
        <f aca="false">AI92+AJ91</f>
        <v>2292924.49503652</v>
      </c>
      <c r="AK92" s="111" t="n">
        <f aca="false">AJ92+AK91</f>
        <v>2565357.8236317</v>
      </c>
      <c r="AL92" s="111" t="n">
        <f aca="false">AK92+AL91</f>
        <v>2707565.64322744</v>
      </c>
      <c r="AM92" s="111" t="n">
        <f aca="false">AL92+AM91</f>
        <v>2898186.7531613</v>
      </c>
      <c r="AN92" s="111" t="n">
        <f aca="false">AM92+AN91</f>
        <v>3134013.02453858</v>
      </c>
      <c r="AO92" s="111" t="n">
        <f aca="false">AN92+AO91</f>
        <v>3412080.69457547</v>
      </c>
      <c r="AP92" s="111" t="n">
        <f aca="false">AO92+AP91</f>
        <v>3729576.84846992</v>
      </c>
      <c r="AQ92" s="111" t="n">
        <f aca="false">AP92+AQ91</f>
        <v>4058852.28339709</v>
      </c>
      <c r="AR92" s="111" t="n">
        <f aca="false">AQ92+AR91</f>
        <v>4447487.49625542</v>
      </c>
      <c r="AS92" s="111" t="n">
        <f aca="false">AR92+AS91</f>
        <v>4868146.25103497</v>
      </c>
      <c r="AT92" s="111" t="n">
        <f aca="false">AS92+AT91</f>
        <v>5318754.72062889</v>
      </c>
      <c r="AU92" s="111" t="n">
        <f aca="false">AT92+AU91</f>
        <v>5797321.10796908</v>
      </c>
      <c r="AV92" s="111" t="n">
        <f aca="false">AU92+AV91</f>
        <v>6301986.81322359</v>
      </c>
      <c r="AW92" s="111" t="n">
        <f aca="false">AV92+AW91</f>
        <v>6830974.18848072</v>
      </c>
      <c r="AX92" s="111" t="n">
        <f aca="false">AW92+AX91</f>
        <v>7299899.53216233</v>
      </c>
      <c r="AY92" s="111" t="n">
        <f aca="false">AX92+AY91</f>
        <v>7855604.59945753</v>
      </c>
      <c r="AZ92" s="111" t="n">
        <f aca="false">AY92+AZ91</f>
        <v>8492701.13080656</v>
      </c>
      <c r="BA92" s="111" t="n">
        <f aca="false">AZ92+BA91</f>
        <v>9206048.68187382</v>
      </c>
      <c r="BB92" s="111" t="n">
        <f aca="false">BA92+BB91</f>
        <v>9990905.00767205</v>
      </c>
      <c r="BC92" s="111" t="n">
        <f aca="false">BB92+BC91</f>
        <v>10812792.6554446</v>
      </c>
      <c r="BD92" s="111" t="n">
        <f aca="false">BC92+BD91</f>
        <v>11727530.8260734</v>
      </c>
      <c r="BE92" s="111" t="n">
        <f aca="false">BD92+BE91</f>
        <v>12701218.3622608</v>
      </c>
      <c r="BF92" s="111" t="n">
        <f aca="false">BE92+BF91</f>
        <v>13730112.8089428</v>
      </c>
      <c r="BG92" s="111" t="n">
        <f aca="false">BF92+BG91</f>
        <v>14810803.1783247</v>
      </c>
      <c r="BH92" s="111" t="n">
        <f aca="false">BG92+BH91</f>
        <v>15940052.4354876</v>
      </c>
      <c r="BI92" s="111" t="n">
        <f aca="false">BH92+BI91</f>
        <v>17114851.6960541</v>
      </c>
      <c r="BJ92" s="111" t="n">
        <f aca="false">BI92</f>
        <v>17114851.6960541</v>
      </c>
      <c r="BK92" s="29" t="s">
        <v>571</v>
      </c>
    </row>
    <row r="93" customFormat="false" ht="15" hidden="false" customHeight="false" outlineLevel="0" collapsed="false">
      <c r="A93" s="27" t="s">
        <v>586</v>
      </c>
      <c r="B93" s="108" t="n">
        <f aca="false">IF(B88&lt;0,B$5,0)</f>
        <v>0</v>
      </c>
      <c r="C93" s="108" t="n">
        <f aca="false">IF(C88&lt;0,C$5,0)</f>
        <v>0</v>
      </c>
      <c r="D93" s="108" t="n">
        <f aca="false">IF(D88&lt;0,D$5,0)</f>
        <v>0</v>
      </c>
      <c r="E93" s="108" t="n">
        <f aca="false">IF(E88&lt;0,E$5,0)</f>
        <v>4</v>
      </c>
      <c r="F93" s="108" t="n">
        <f aca="false">IF(F88&lt;0,F$5,0)</f>
        <v>5</v>
      </c>
      <c r="G93" s="108" t="n">
        <f aca="false">IF(G88&lt;0,G$5,0)</f>
        <v>6</v>
      </c>
      <c r="H93" s="108" t="n">
        <f aca="false">IF(H88&lt;0,H$5,0)</f>
        <v>7</v>
      </c>
      <c r="I93" s="108" t="n">
        <f aca="false">IF(I88&lt;0,I$5,0)</f>
        <v>8</v>
      </c>
      <c r="J93" s="108" t="n">
        <f aca="false">IF(J88&lt;0,J$5,0)</f>
        <v>9</v>
      </c>
      <c r="K93" s="108" t="n">
        <f aca="false">IF(K88&lt;0,K$5,0)</f>
        <v>10</v>
      </c>
      <c r="L93" s="108" t="n">
        <f aca="false">IF(L88&lt;0,L$5,0)</f>
        <v>11</v>
      </c>
      <c r="M93" s="108" t="n">
        <f aca="false">IF(M88&lt;0,M$5,0)</f>
        <v>12</v>
      </c>
      <c r="N93" s="108" t="n">
        <f aca="false">IF(N88&lt;0,N$5,0)</f>
        <v>13</v>
      </c>
      <c r="O93" s="108" t="n">
        <f aca="false">IF(O88&lt;0,O$5,0)</f>
        <v>14</v>
      </c>
      <c r="P93" s="108" t="n">
        <f aca="false">IF(P88&lt;0,P$5,0)</f>
        <v>15</v>
      </c>
      <c r="Q93" s="108" t="n">
        <f aca="false">IF(Q88&lt;0,Q$5,0)</f>
        <v>16</v>
      </c>
      <c r="R93" s="108" t="n">
        <f aca="false">IF(R88&lt;0,R$5,0)</f>
        <v>17</v>
      </c>
      <c r="S93" s="108" t="n">
        <f aca="false">IF(S88&lt;0,S$5,0)</f>
        <v>18</v>
      </c>
      <c r="T93" s="108" t="n">
        <f aca="false">IF(T88&lt;0,T$5,0)</f>
        <v>19</v>
      </c>
      <c r="U93" s="108" t="n">
        <f aca="false">IF(U88&lt;0,U$5,0)</f>
        <v>20</v>
      </c>
      <c r="V93" s="108" t="n">
        <f aca="false">IF(V88&lt;0,V$5,0)</f>
        <v>0</v>
      </c>
      <c r="W93" s="108" t="n">
        <f aca="false">IF(W88&lt;0,W$5,0)</f>
        <v>0</v>
      </c>
      <c r="X93" s="108" t="n">
        <f aca="false">IF(X88&lt;0,X$5,0)</f>
        <v>0</v>
      </c>
      <c r="Y93" s="108" t="n">
        <f aca="false">IF(Y88&lt;0,Y$5,0)</f>
        <v>0</v>
      </c>
      <c r="Z93" s="108" t="n">
        <f aca="false">IF(Z88&lt;0,Z$5,0)</f>
        <v>0</v>
      </c>
      <c r="AA93" s="108" t="n">
        <f aca="false">IF(AA88&lt;0,AA$5,0)</f>
        <v>0</v>
      </c>
      <c r="AB93" s="108" t="n">
        <f aca="false">IF(AB88&lt;0,AB$5,0)</f>
        <v>0</v>
      </c>
      <c r="AC93" s="108" t="n">
        <f aca="false">IF(AC88&lt;0,AC$5,0)</f>
        <v>0</v>
      </c>
      <c r="AD93" s="108" t="n">
        <f aca="false">IF(AD88&lt;0,AD$5,0)</f>
        <v>0</v>
      </c>
      <c r="AE93" s="108" t="n">
        <f aca="false">IF(AE88&lt;0,AE$5,0)</f>
        <v>0</v>
      </c>
      <c r="AF93" s="108" t="n">
        <f aca="false">IF(AF88&lt;0,AF$5,0)</f>
        <v>0</v>
      </c>
      <c r="AG93" s="108" t="n">
        <f aca="false">IF(AG88&lt;0,AG$5,0)</f>
        <v>0</v>
      </c>
      <c r="AH93" s="108" t="n">
        <f aca="false">IF(AH88&lt;0,AH$5,0)</f>
        <v>0</v>
      </c>
      <c r="AI93" s="108" t="n">
        <f aca="false">IF(AI88&lt;0,AI$5,0)</f>
        <v>0</v>
      </c>
      <c r="AJ93" s="108" t="n">
        <f aca="false">IF(AJ88&lt;0,AJ$5,0)</f>
        <v>0</v>
      </c>
      <c r="AK93" s="108" t="n">
        <f aca="false">IF(AK88&lt;0,AK$5,0)</f>
        <v>0</v>
      </c>
      <c r="AL93" s="108" t="n">
        <f aca="false">IF(AL88&lt;0,AL$5,0)</f>
        <v>0</v>
      </c>
      <c r="AM93" s="108" t="n">
        <f aca="false">IF(AM88&lt;0,AM$5,0)</f>
        <v>0</v>
      </c>
      <c r="AN93" s="108" t="n">
        <f aca="false">IF(AN88&lt;0,AN$5,0)</f>
        <v>0</v>
      </c>
      <c r="AO93" s="108" t="n">
        <f aca="false">IF(AO88&lt;0,AO$5,0)</f>
        <v>0</v>
      </c>
      <c r="AP93" s="108" t="n">
        <f aca="false">IF(AP88&lt;0,AP$5,0)</f>
        <v>0</v>
      </c>
      <c r="AQ93" s="108" t="n">
        <f aca="false">IF(AQ88&lt;0,AQ$5,0)</f>
        <v>0</v>
      </c>
      <c r="AR93" s="108" t="n">
        <f aca="false">IF(AR88&lt;0,AR$5,0)</f>
        <v>0</v>
      </c>
      <c r="AS93" s="108" t="n">
        <f aca="false">IF(AS88&lt;0,AS$5,0)</f>
        <v>0</v>
      </c>
      <c r="AT93" s="108" t="n">
        <f aca="false">IF(AT88&lt;0,AT$5,0)</f>
        <v>0</v>
      </c>
      <c r="AU93" s="108" t="n">
        <f aca="false">IF(AU88&lt;0,AU$5,0)</f>
        <v>0</v>
      </c>
      <c r="AV93" s="108" t="n">
        <f aca="false">IF(AV88&lt;0,AV$5,0)</f>
        <v>0</v>
      </c>
      <c r="AW93" s="108" t="n">
        <f aca="false">IF(AW88&lt;0,AW$5,0)</f>
        <v>0</v>
      </c>
      <c r="AX93" s="108" t="n">
        <f aca="false">IF(AX88&lt;0,AX$5,0)</f>
        <v>0</v>
      </c>
      <c r="AY93" s="108" t="n">
        <f aca="false">IF(AY88&lt;0,AY$5,0)</f>
        <v>0</v>
      </c>
      <c r="AZ93" s="108" t="n">
        <f aca="false">IF(AZ88&lt;0,AZ$5,0)</f>
        <v>0</v>
      </c>
      <c r="BA93" s="108" t="n">
        <f aca="false">IF(BA88&lt;0,BA$5,0)</f>
        <v>0</v>
      </c>
      <c r="BB93" s="108" t="n">
        <f aca="false">IF(BB88&lt;0,BB$5,0)</f>
        <v>0</v>
      </c>
      <c r="BC93" s="108" t="n">
        <f aca="false">IF(BC88&lt;0,BC$5,0)</f>
        <v>0</v>
      </c>
      <c r="BD93" s="108" t="n">
        <f aca="false">IF(BD88&lt;0,BD$5,0)</f>
        <v>0</v>
      </c>
      <c r="BE93" s="108" t="n">
        <f aca="false">IF(BE88&lt;0,BE$5,0)</f>
        <v>0</v>
      </c>
      <c r="BF93" s="108" t="n">
        <f aca="false">IF(BF88&lt;0,BF$5,0)</f>
        <v>0</v>
      </c>
      <c r="BG93" s="108" t="n">
        <f aca="false">IF(BG88&lt;0,BG$5,0)</f>
        <v>0</v>
      </c>
      <c r="BH93" s="108" t="n">
        <f aca="false">IF(BH88&lt;0,BH$5,0)</f>
        <v>0</v>
      </c>
      <c r="BI93" s="108" t="n">
        <f aca="false">IF(BI88&lt;0,BI$5,0)</f>
        <v>0</v>
      </c>
      <c r="BJ93" s="109" t="n">
        <f aca="false">BI93</f>
        <v>0</v>
      </c>
      <c r="BK93" s="29" t="s">
        <v>587</v>
      </c>
    </row>
    <row r="94" customFormat="false" ht="15" hidden="false" customHeight="false" outlineLevel="0" collapsed="false">
      <c r="A94" s="27" t="s">
        <v>588</v>
      </c>
      <c r="B94" s="108" t="n">
        <f aca="false">IF(B87&lt;0,B$5,0)</f>
        <v>0</v>
      </c>
      <c r="C94" s="108" t="n">
        <f aca="false">IF(C87&lt;0,C$5,0)</f>
        <v>0</v>
      </c>
      <c r="D94" s="108" t="n">
        <f aca="false">IF(D87&lt;0,D$5,0)</f>
        <v>0</v>
      </c>
      <c r="E94" s="108" t="n">
        <f aca="false">IF(E87&lt;0,E$5,0)</f>
        <v>4</v>
      </c>
      <c r="F94" s="108" t="n">
        <f aca="false">IF(F87&lt;0,F$5,0)</f>
        <v>5</v>
      </c>
      <c r="G94" s="108" t="n">
        <f aca="false">IF(G87&lt;0,G$5,0)</f>
        <v>6</v>
      </c>
      <c r="H94" s="108" t="n">
        <f aca="false">IF(H87&lt;0,H$5,0)</f>
        <v>7</v>
      </c>
      <c r="I94" s="108" t="n">
        <f aca="false">IF(I87&lt;0,I$5,0)</f>
        <v>8</v>
      </c>
      <c r="J94" s="108" t="n">
        <f aca="false">IF(J87&lt;0,J$5,0)</f>
        <v>9</v>
      </c>
      <c r="K94" s="108" t="n">
        <f aca="false">IF(K87&lt;0,K$5,0)</f>
        <v>10</v>
      </c>
      <c r="L94" s="108" t="n">
        <f aca="false">IF(L87&lt;0,L$5,0)</f>
        <v>11</v>
      </c>
      <c r="M94" s="108" t="n">
        <f aca="false">IF(M87&lt;0,M$5,0)</f>
        <v>12</v>
      </c>
      <c r="N94" s="108" t="n">
        <f aca="false">IF(N87&lt;0,N$5,0)</f>
        <v>13</v>
      </c>
      <c r="O94" s="108" t="n">
        <f aca="false">IF(O87&lt;0,O$5,0)</f>
        <v>14</v>
      </c>
      <c r="P94" s="108" t="n">
        <f aca="false">IF(P87&lt;0,P$5,0)</f>
        <v>15</v>
      </c>
      <c r="Q94" s="108" t="n">
        <f aca="false">IF(Q87&lt;0,Q$5,0)</f>
        <v>16</v>
      </c>
      <c r="R94" s="108" t="n">
        <f aca="false">IF(R87&lt;0,R$5,0)</f>
        <v>17</v>
      </c>
      <c r="S94" s="108" t="n">
        <f aca="false">IF(S87&lt;0,S$5,0)</f>
        <v>18</v>
      </c>
      <c r="T94" s="108" t="n">
        <f aca="false">IF(T87&lt;0,T$5,0)</f>
        <v>19</v>
      </c>
      <c r="U94" s="108" t="n">
        <f aca="false">IF(U87&lt;0,U$5,0)</f>
        <v>20</v>
      </c>
      <c r="V94" s="108" t="n">
        <f aca="false">IF(V87&lt;0,V$5,0)</f>
        <v>21</v>
      </c>
      <c r="W94" s="108" t="n">
        <f aca="false">IF(W87&lt;0,W$5,0)</f>
        <v>0</v>
      </c>
      <c r="X94" s="108" t="n">
        <f aca="false">IF(X87&lt;0,X$5,0)</f>
        <v>0</v>
      </c>
      <c r="Y94" s="108" t="n">
        <f aca="false">IF(Y87&lt;0,Y$5,0)</f>
        <v>0</v>
      </c>
      <c r="Z94" s="108" t="n">
        <f aca="false">IF(Z87&lt;0,Z$5,0)</f>
        <v>0</v>
      </c>
      <c r="AA94" s="108" t="n">
        <f aca="false">IF(AA87&lt;0,AA$5,0)</f>
        <v>0</v>
      </c>
      <c r="AB94" s="108" t="n">
        <f aca="false">IF(AB87&lt;0,AB$5,0)</f>
        <v>0</v>
      </c>
      <c r="AC94" s="108" t="n">
        <f aca="false">IF(AC87&lt;0,AC$5,0)</f>
        <v>0</v>
      </c>
      <c r="AD94" s="108" t="n">
        <f aca="false">IF(AD87&lt;0,AD$5,0)</f>
        <v>0</v>
      </c>
      <c r="AE94" s="108" t="n">
        <f aca="false">IF(AE87&lt;0,AE$5,0)</f>
        <v>0</v>
      </c>
      <c r="AF94" s="108" t="n">
        <f aca="false">IF(AF87&lt;0,AF$5,0)</f>
        <v>0</v>
      </c>
      <c r="AG94" s="108" t="n">
        <f aca="false">IF(AG87&lt;0,AG$5,0)</f>
        <v>0</v>
      </c>
      <c r="AH94" s="108" t="n">
        <f aca="false">IF(AH87&lt;0,AH$5,0)</f>
        <v>0</v>
      </c>
      <c r="AI94" s="108" t="n">
        <f aca="false">IF(AI87&lt;0,AI$5,0)</f>
        <v>0</v>
      </c>
      <c r="AJ94" s="108" t="n">
        <f aca="false">IF(AJ87&lt;0,AJ$5,0)</f>
        <v>0</v>
      </c>
      <c r="AK94" s="108" t="n">
        <f aca="false">IF(AK87&lt;0,AK$5,0)</f>
        <v>0</v>
      </c>
      <c r="AL94" s="108" t="n">
        <f aca="false">IF(AL87&lt;0,AL$5,0)</f>
        <v>0</v>
      </c>
      <c r="AM94" s="108" t="n">
        <f aca="false">IF(AM87&lt;0,AM$5,0)</f>
        <v>0</v>
      </c>
      <c r="AN94" s="108" t="n">
        <f aca="false">IF(AN87&lt;0,AN$5,0)</f>
        <v>0</v>
      </c>
      <c r="AO94" s="108" t="n">
        <f aca="false">IF(AO87&lt;0,AO$5,0)</f>
        <v>0</v>
      </c>
      <c r="AP94" s="108" t="n">
        <f aca="false">IF(AP87&lt;0,AP$5,0)</f>
        <v>0</v>
      </c>
      <c r="AQ94" s="108" t="n">
        <f aca="false">IF(AQ87&lt;0,AQ$5,0)</f>
        <v>0</v>
      </c>
      <c r="AR94" s="108" t="n">
        <f aca="false">IF(AR87&lt;0,AR$5,0)</f>
        <v>0</v>
      </c>
      <c r="AS94" s="108" t="n">
        <f aca="false">IF(AS87&lt;0,AS$5,0)</f>
        <v>0</v>
      </c>
      <c r="AT94" s="108" t="n">
        <f aca="false">IF(AT87&lt;0,AT$5,0)</f>
        <v>0</v>
      </c>
      <c r="AU94" s="108" t="n">
        <f aca="false">IF(AU87&lt;0,AU$5,0)</f>
        <v>0</v>
      </c>
      <c r="AV94" s="108" t="n">
        <f aca="false">IF(AV87&lt;0,AV$5,0)</f>
        <v>0</v>
      </c>
      <c r="AW94" s="108" t="n">
        <f aca="false">IF(AW87&lt;0,AW$5,0)</f>
        <v>0</v>
      </c>
      <c r="AX94" s="108" t="n">
        <f aca="false">IF(AX87&lt;0,AX$5,0)</f>
        <v>0</v>
      </c>
      <c r="AY94" s="108" t="n">
        <f aca="false">IF(AY87&lt;0,AY$5,0)</f>
        <v>0</v>
      </c>
      <c r="AZ94" s="108" t="n">
        <f aca="false">IF(AZ87&lt;0,AZ$5,0)</f>
        <v>0</v>
      </c>
      <c r="BA94" s="108" t="n">
        <f aca="false">IF(BA87&lt;0,BA$5,0)</f>
        <v>0</v>
      </c>
      <c r="BB94" s="108" t="n">
        <f aca="false">IF(BB87&lt;0,BB$5,0)</f>
        <v>0</v>
      </c>
      <c r="BC94" s="108" t="n">
        <f aca="false">IF(BC87&lt;0,BC$5,0)</f>
        <v>0</v>
      </c>
      <c r="BD94" s="108" t="n">
        <f aca="false">IF(BD87&lt;0,BD$5,0)</f>
        <v>0</v>
      </c>
      <c r="BE94" s="108" t="n">
        <f aca="false">IF(BE87&lt;0,BE$5,0)</f>
        <v>0</v>
      </c>
      <c r="BF94" s="108" t="n">
        <f aca="false">IF(BF87&lt;0,BF$5,0)</f>
        <v>0</v>
      </c>
      <c r="BG94" s="108" t="n">
        <f aca="false">IF(BG87&lt;0,BG$5,0)</f>
        <v>0</v>
      </c>
      <c r="BH94" s="108" t="n">
        <f aca="false">IF(BH87&lt;0,BH$5,0)</f>
        <v>0</v>
      </c>
      <c r="BI94" s="108" t="n">
        <f aca="false">IF(BI87&lt;0,BI$5,0)</f>
        <v>0</v>
      </c>
      <c r="BJ94" s="109" t="n">
        <f aca="false">BI94</f>
        <v>0</v>
      </c>
      <c r="BK94" s="29" t="s">
        <v>587</v>
      </c>
    </row>
    <row r="101" customFormat="false" ht="19.5" hidden="false" customHeight="true" outlineLevel="0" collapsed="false">
      <c r="A101" s="171" t="s">
        <v>590</v>
      </c>
      <c r="B101" s="172"/>
      <c r="C101" s="172"/>
      <c r="D101" s="172"/>
      <c r="E101" s="172"/>
      <c r="F101" s="172"/>
      <c r="G101" s="172"/>
      <c r="H101" s="172"/>
      <c r="I101" s="172"/>
      <c r="J101" s="172"/>
      <c r="K101" s="172"/>
      <c r="L101" s="172"/>
      <c r="M101" s="172"/>
      <c r="N101" s="172"/>
      <c r="O101" s="172"/>
      <c r="P101" s="172"/>
      <c r="Q101" s="172"/>
      <c r="R101" s="172"/>
      <c r="S101" s="172"/>
      <c r="T101" s="172"/>
      <c r="U101" s="172"/>
      <c r="V101" s="172"/>
      <c r="W101" s="172"/>
      <c r="X101" s="172"/>
      <c r="Y101" s="172"/>
      <c r="Z101" s="172"/>
      <c r="AA101" s="172"/>
      <c r="AB101" s="172"/>
      <c r="AC101" s="172"/>
      <c r="AD101" s="172"/>
      <c r="AE101" s="172"/>
      <c r="AF101" s="172"/>
      <c r="AG101" s="172"/>
      <c r="AH101" s="172"/>
      <c r="AI101" s="172"/>
      <c r="AJ101" s="172"/>
      <c r="AK101" s="172"/>
      <c r="AL101" s="172"/>
      <c r="AM101" s="172"/>
      <c r="AN101" s="172"/>
      <c r="AO101" s="172"/>
      <c r="AP101" s="172"/>
      <c r="AQ101" s="172"/>
      <c r="AR101" s="172"/>
      <c r="AS101" s="172"/>
      <c r="AT101" s="172"/>
      <c r="AU101" s="172"/>
      <c r="AV101" s="172"/>
      <c r="AW101" s="172"/>
      <c r="AX101" s="172"/>
      <c r="AY101" s="172"/>
      <c r="AZ101" s="172"/>
      <c r="BA101" s="172"/>
      <c r="BB101" s="172"/>
      <c r="BC101" s="172"/>
      <c r="BD101" s="172"/>
      <c r="BE101" s="172"/>
      <c r="BF101" s="172"/>
      <c r="BG101" s="172"/>
      <c r="BH101" s="172"/>
      <c r="BI101" s="172"/>
      <c r="BJ101" s="172"/>
      <c r="BK101" s="172"/>
    </row>
    <row r="102" customFormat="false" ht="15" hidden="false" customHeight="false" outlineLevel="0" collapsed="false">
      <c r="A102" s="27" t="s">
        <v>536</v>
      </c>
      <c r="B102" s="108" t="n">
        <f aca="false">IF(B$4&lt;Premissas!$B$13,0,INDEX(Premissas!$C$46:$G$46,B$7))</f>
        <v>0</v>
      </c>
      <c r="C102" s="108" t="n">
        <f aca="false">IF(C$4&lt;Premissas!$B$13,0,INDEX(Premissas!$C$46:$G$46,C$7))</f>
        <v>0</v>
      </c>
      <c r="D102" s="108" t="n">
        <f aca="false">IF(D$4&lt;Premissas!$B$13,0,INDEX(Premissas!$C$46:$G$46,D$7))</f>
        <v>0</v>
      </c>
      <c r="E102" s="108" t="n">
        <f aca="false">IF(E$4&lt;Premissas!$B$13,0,INDEX(Premissas!$C$46:$G$46,E$7))</f>
        <v>0</v>
      </c>
      <c r="F102" s="108" t="n">
        <f aca="false">IF(F$4&lt;Premissas!$B$13,0,INDEX(Premissas!$C$46:$G$46,F$7))</f>
        <v>0</v>
      </c>
      <c r="G102" s="108" t="n">
        <f aca="false">IF(G$4&lt;Premissas!$B$13,0,INDEX(Premissas!$C$46:$G$46,G$7))</f>
        <v>0</v>
      </c>
      <c r="H102" s="108" t="n">
        <f aca="false">IF(H$4&lt;Premissas!$B$13,0,INDEX(Premissas!$C$46:$G$46,H$7))</f>
        <v>0</v>
      </c>
      <c r="I102" s="108" t="n">
        <f aca="false">IF(I$4&lt;Premissas!$B$13,0,INDEX(Premissas!$C$46:$G$46,I$7))</f>
        <v>0</v>
      </c>
      <c r="J102" s="108" t="n">
        <f aca="false">IF(J$4&lt;Premissas!$B$13,0,INDEX(Premissas!$C$46:$G$46,J$7))</f>
        <v>0</v>
      </c>
      <c r="K102" s="108" t="n">
        <f aca="false">IF(K$4&lt;Premissas!$B$13,0,INDEX(Premissas!$C$46:$G$46,K$7))</f>
        <v>25340</v>
      </c>
      <c r="L102" s="108" t="n">
        <f aca="false">IF(L$4&lt;Premissas!$B$13,0,INDEX(Premissas!$C$46:$G$46,L$7))</f>
        <v>25340</v>
      </c>
      <c r="M102" s="108" t="n">
        <f aca="false">IF(M$4&lt;Premissas!$B$13,0,INDEX(Premissas!$C$46:$G$46,M$7))</f>
        <v>25340</v>
      </c>
      <c r="N102" s="108" t="n">
        <f aca="false">IF(N$4&lt;Premissas!$B$13,0,INDEX(Premissas!$C$46:$G$46,N$7))</f>
        <v>40544</v>
      </c>
      <c r="O102" s="108" t="n">
        <f aca="false">IF(O$4&lt;Premissas!$B$13,0,INDEX(Premissas!$C$46:$G$46,O$7))</f>
        <v>40544</v>
      </c>
      <c r="P102" s="108" t="n">
        <f aca="false">IF(P$4&lt;Premissas!$B$13,0,INDEX(Premissas!$C$46:$G$46,P$7))</f>
        <v>40544</v>
      </c>
      <c r="Q102" s="108" t="n">
        <f aca="false">IF(Q$4&lt;Premissas!$B$13,0,INDEX(Premissas!$C$46:$G$46,Q$7))</f>
        <v>40544</v>
      </c>
      <c r="R102" s="108" t="n">
        <f aca="false">IF(R$4&lt;Premissas!$B$13,0,INDEX(Premissas!$C$46:$G$46,R$7))</f>
        <v>40544</v>
      </c>
      <c r="S102" s="108" t="n">
        <f aca="false">IF(S$4&lt;Premissas!$B$13,0,INDEX(Premissas!$C$46:$G$46,S$7))</f>
        <v>40544</v>
      </c>
      <c r="T102" s="108" t="n">
        <f aca="false">IF(T$4&lt;Premissas!$B$13,0,INDEX(Premissas!$C$46:$G$46,T$7))</f>
        <v>40544</v>
      </c>
      <c r="U102" s="108" t="n">
        <f aca="false">IF(U$4&lt;Premissas!$B$13,0,INDEX(Premissas!$C$46:$G$46,U$7))</f>
        <v>40544</v>
      </c>
      <c r="V102" s="108" t="n">
        <f aca="false">IF(V$4&lt;Premissas!$B$13,0,INDEX(Premissas!$C$46:$G$46,V$7))</f>
        <v>40544</v>
      </c>
      <c r="W102" s="108" t="n">
        <f aca="false">IF(W$4&lt;Premissas!$B$13,0,INDEX(Premissas!$C$46:$G$46,W$7))</f>
        <v>40544</v>
      </c>
      <c r="X102" s="108" t="n">
        <f aca="false">IF(X$4&lt;Premissas!$B$13,0,INDEX(Premissas!$C$46:$G$46,X$7))</f>
        <v>40544</v>
      </c>
      <c r="Y102" s="108" t="n">
        <f aca="false">IF(Y$4&lt;Premissas!$B$13,0,INDEX(Premissas!$C$46:$G$46,Y$7))</f>
        <v>40544</v>
      </c>
      <c r="Z102" s="108" t="n">
        <f aca="false">IF(Z$4&lt;Premissas!$B$13,0,INDEX(Premissas!$C$46:$G$46,Z$7))</f>
        <v>64870.4</v>
      </c>
      <c r="AA102" s="108" t="n">
        <f aca="false">IF(AA$4&lt;Premissas!$B$13,0,INDEX(Premissas!$C$46:$G$46,AA$7))</f>
        <v>64870.4</v>
      </c>
      <c r="AB102" s="108" t="n">
        <f aca="false">IF(AB$4&lt;Premissas!$B$13,0,INDEX(Premissas!$C$46:$G$46,AB$7))</f>
        <v>64870.4</v>
      </c>
      <c r="AC102" s="108" t="n">
        <f aca="false">IF(AC$4&lt;Premissas!$B$13,0,INDEX(Premissas!$C$46:$G$46,AC$7))</f>
        <v>64870.4</v>
      </c>
      <c r="AD102" s="108" t="n">
        <f aca="false">IF(AD$4&lt;Premissas!$B$13,0,INDEX(Premissas!$C$46:$G$46,AD$7))</f>
        <v>64870.4</v>
      </c>
      <c r="AE102" s="108" t="n">
        <f aca="false">IF(AE$4&lt;Premissas!$B$13,0,INDEX(Premissas!$C$46:$G$46,AE$7))</f>
        <v>64870.4</v>
      </c>
      <c r="AF102" s="108" t="n">
        <f aca="false">IF(AF$4&lt;Premissas!$B$13,0,INDEX(Premissas!$C$46:$G$46,AF$7))</f>
        <v>64870.4</v>
      </c>
      <c r="AG102" s="108" t="n">
        <f aca="false">IF(AG$4&lt;Premissas!$B$13,0,INDEX(Premissas!$C$46:$G$46,AG$7))</f>
        <v>64870.4</v>
      </c>
      <c r="AH102" s="108" t="n">
        <f aca="false">IF(AH$4&lt;Premissas!$B$13,0,INDEX(Premissas!$C$46:$G$46,AH$7))</f>
        <v>64870.4</v>
      </c>
      <c r="AI102" s="108" t="n">
        <f aca="false">IF(AI$4&lt;Premissas!$B$13,0,INDEX(Premissas!$C$46:$G$46,AI$7))</f>
        <v>64870.4</v>
      </c>
      <c r="AJ102" s="108" t="n">
        <f aca="false">IF(AJ$4&lt;Premissas!$B$13,0,INDEX(Premissas!$C$46:$G$46,AJ$7))</f>
        <v>64870.4</v>
      </c>
      <c r="AK102" s="108" t="n">
        <f aca="false">IF(AK$4&lt;Premissas!$B$13,0,INDEX(Premissas!$C$46:$G$46,AK$7))</f>
        <v>64870.4</v>
      </c>
      <c r="AL102" s="108" t="n">
        <f aca="false">IF(AL$4&lt;Premissas!$B$13,0,INDEX(Premissas!$C$46:$G$46,AL$7))</f>
        <v>103792.64</v>
      </c>
      <c r="AM102" s="108" t="n">
        <f aca="false">IF(AM$4&lt;Premissas!$B$13,0,INDEX(Premissas!$C$46:$G$46,AM$7))</f>
        <v>103792.64</v>
      </c>
      <c r="AN102" s="108" t="n">
        <f aca="false">IF(AN$4&lt;Premissas!$B$13,0,INDEX(Premissas!$C$46:$G$46,AN$7))</f>
        <v>103792.64</v>
      </c>
      <c r="AO102" s="108" t="n">
        <f aca="false">IF(AO$4&lt;Premissas!$B$13,0,INDEX(Premissas!$C$46:$G$46,AO$7))</f>
        <v>103792.64</v>
      </c>
      <c r="AP102" s="108" t="n">
        <f aca="false">IF(AP$4&lt;Premissas!$B$13,0,INDEX(Premissas!$C$46:$G$46,AP$7))</f>
        <v>103792.64</v>
      </c>
      <c r="AQ102" s="108" t="n">
        <f aca="false">IF(AQ$4&lt;Premissas!$B$13,0,INDEX(Premissas!$C$46:$G$46,AQ$7))</f>
        <v>103792.64</v>
      </c>
      <c r="AR102" s="108" t="n">
        <f aca="false">IF(AR$4&lt;Premissas!$B$13,0,INDEX(Premissas!$C$46:$G$46,AR$7))</f>
        <v>103792.64</v>
      </c>
      <c r="AS102" s="108" t="n">
        <f aca="false">IF(AS$4&lt;Premissas!$B$13,0,INDEX(Premissas!$C$46:$G$46,AS$7))</f>
        <v>103792.64</v>
      </c>
      <c r="AT102" s="108" t="n">
        <f aca="false">IF(AT$4&lt;Premissas!$B$13,0,INDEX(Premissas!$C$46:$G$46,AT$7))</f>
        <v>103792.64</v>
      </c>
      <c r="AU102" s="108" t="n">
        <f aca="false">IF(AU$4&lt;Premissas!$B$13,0,INDEX(Premissas!$C$46:$G$46,AU$7))</f>
        <v>103792.64</v>
      </c>
      <c r="AV102" s="108" t="n">
        <f aca="false">IF(AV$4&lt;Premissas!$B$13,0,INDEX(Premissas!$C$46:$G$46,AV$7))</f>
        <v>103792.64</v>
      </c>
      <c r="AW102" s="108" t="n">
        <f aca="false">IF(AW$4&lt;Premissas!$B$13,0,INDEX(Premissas!$C$46:$G$46,AW$7))</f>
        <v>103792.64</v>
      </c>
      <c r="AX102" s="108" t="n">
        <f aca="false">IF(AX$4&lt;Premissas!$B$13,0,INDEX(Premissas!$C$46:$G$46,AX$7))</f>
        <v>166068.224</v>
      </c>
      <c r="AY102" s="108" t="n">
        <f aca="false">IF(AY$4&lt;Premissas!$B$13,0,INDEX(Premissas!$C$46:$G$46,AY$7))</f>
        <v>166068.224</v>
      </c>
      <c r="AZ102" s="108" t="n">
        <f aca="false">IF(AZ$4&lt;Premissas!$B$13,0,INDEX(Premissas!$C$46:$G$46,AZ$7))</f>
        <v>166068.224</v>
      </c>
      <c r="BA102" s="108" t="n">
        <f aca="false">IF(BA$4&lt;Premissas!$B$13,0,INDEX(Premissas!$C$46:$G$46,BA$7))</f>
        <v>166068.224</v>
      </c>
      <c r="BB102" s="108" t="n">
        <f aca="false">IF(BB$4&lt;Premissas!$B$13,0,INDEX(Premissas!$C$46:$G$46,BB$7))</f>
        <v>166068.224</v>
      </c>
      <c r="BC102" s="108" t="n">
        <f aca="false">IF(BC$4&lt;Premissas!$B$13,0,INDEX(Premissas!$C$46:$G$46,BC$7))</f>
        <v>166068.224</v>
      </c>
      <c r="BD102" s="108" t="n">
        <f aca="false">IF(BD$4&lt;Premissas!$B$13,0,INDEX(Premissas!$C$46:$G$46,BD$7))</f>
        <v>166068.224</v>
      </c>
      <c r="BE102" s="108" t="n">
        <f aca="false">IF(BE$4&lt;Premissas!$B$13,0,INDEX(Premissas!$C$46:$G$46,BE$7))</f>
        <v>166068.224</v>
      </c>
      <c r="BF102" s="108" t="n">
        <f aca="false">IF(BF$4&lt;Premissas!$B$13,0,INDEX(Premissas!$C$46:$G$46,BF$7))</f>
        <v>166068.224</v>
      </c>
      <c r="BG102" s="108" t="n">
        <f aca="false">IF(BG$4&lt;Premissas!$B$13,0,INDEX(Premissas!$C$46:$G$46,BG$7))</f>
        <v>166068.224</v>
      </c>
      <c r="BH102" s="108" t="n">
        <f aca="false">IF(BH$4&lt;Premissas!$B$13,0,INDEX(Premissas!$C$46:$G$46,BH$7))</f>
        <v>166068.224</v>
      </c>
      <c r="BI102" s="108" t="n">
        <f aca="false">IF(BI$4&lt;Premissas!$B$13,0,INDEX(Premissas!$C$46:$G$46,BI$7))</f>
        <v>166068.224</v>
      </c>
      <c r="BJ102" s="109" t="n">
        <f aca="false">SUM(B102:BI102)</f>
        <v>4579323.168</v>
      </c>
    </row>
    <row r="103" customFormat="false" ht="15" hidden="false" customHeight="false" outlineLevel="0" collapsed="false">
      <c r="A103" s="27" t="s">
        <v>537</v>
      </c>
      <c r="B103" s="108" t="n">
        <f aca="false">0</f>
        <v>0</v>
      </c>
      <c r="C103" s="108" t="n">
        <f aca="false">B105</f>
        <v>0</v>
      </c>
      <c r="D103" s="108" t="n">
        <f aca="false">C105</f>
        <v>0</v>
      </c>
      <c r="E103" s="108" t="n">
        <f aca="false">D105</f>
        <v>0</v>
      </c>
      <c r="F103" s="108" t="n">
        <f aca="false">E105</f>
        <v>0</v>
      </c>
      <c r="G103" s="108" t="n">
        <f aca="false">F105</f>
        <v>0</v>
      </c>
      <c r="H103" s="108" t="n">
        <f aca="false">G105</f>
        <v>0</v>
      </c>
      <c r="I103" s="108" t="n">
        <f aca="false">H105</f>
        <v>0</v>
      </c>
      <c r="J103" s="108" t="n">
        <f aca="false">I105</f>
        <v>0</v>
      </c>
      <c r="K103" s="108" t="n">
        <f aca="false">J105</f>
        <v>0</v>
      </c>
      <c r="L103" s="108" t="n">
        <f aca="false">K105</f>
        <v>25340</v>
      </c>
      <c r="M103" s="108" t="n">
        <f aca="false">L105</f>
        <v>49159.6</v>
      </c>
      <c r="N103" s="108" t="n">
        <f aca="false">M105</f>
        <v>71550.024</v>
      </c>
      <c r="O103" s="108" t="n">
        <f aca="false">N105</f>
        <v>108144.4626752</v>
      </c>
      <c r="P103" s="108" t="n">
        <f aca="false">O105</f>
        <v>142718.888335529</v>
      </c>
      <c r="Q103" s="108" t="n">
        <f aca="false">P105</f>
        <v>175384.805699408</v>
      </c>
      <c r="R103" s="108" t="n">
        <f aca="false">Q105</f>
        <v>206247.5644248</v>
      </c>
      <c r="S103" s="108" t="n">
        <f aca="false">R105</f>
        <v>235406.698868551</v>
      </c>
      <c r="T103" s="108" t="n">
        <f aca="false">S105</f>
        <v>262956.249091007</v>
      </c>
      <c r="U103" s="108" t="n">
        <f aca="false">T105</f>
        <v>288985.064141184</v>
      </c>
      <c r="V103" s="108" t="n">
        <f aca="false">U105</f>
        <v>313577.088600591</v>
      </c>
      <c r="W103" s="108" t="n">
        <f aca="false">V105</f>
        <v>336811.633309838</v>
      </c>
      <c r="X103" s="108" t="n">
        <f aca="false">W105</f>
        <v>358763.631151135</v>
      </c>
      <c r="Y103" s="108" t="n">
        <f aca="false">X105</f>
        <v>379503.878711592</v>
      </c>
      <c r="Z103" s="108" t="n">
        <f aca="false">Y105</f>
        <v>399099.264606712</v>
      </c>
      <c r="AA103" s="108" t="n">
        <f aca="false">Z105</f>
        <v>443701.807552925</v>
      </c>
      <c r="AB103" s="108" t="n">
        <f aca="false">AA105</f>
        <v>486039.254958157</v>
      </c>
      <c r="AC103" s="108" t="n">
        <f aca="false">AB105</f>
        <v>526226.637434362</v>
      </c>
      <c r="AD103" s="108" t="n">
        <f aca="false">AC105</f>
        <v>564373.143878896</v>
      </c>
      <c r="AE103" s="108" t="n">
        <f aca="false">AD105</f>
        <v>600582.41814015</v>
      </c>
      <c r="AF103" s="108" t="n">
        <f aca="false">AE105</f>
        <v>634952.840617321</v>
      </c>
      <c r="AG103" s="108" t="n">
        <f aca="false">AF105</f>
        <v>667577.795559411</v>
      </c>
      <c r="AH103" s="108" t="n">
        <f aca="false">AG105</f>
        <v>698545.924789721</v>
      </c>
      <c r="AI103" s="108" t="n">
        <f aca="false">AH105</f>
        <v>727941.3685452</v>
      </c>
      <c r="AJ103" s="108" t="n">
        <f aca="false">AI105</f>
        <v>755843.994085001</v>
      </c>
      <c r="AK103" s="108" t="n">
        <f aca="false">AJ105</f>
        <v>782329.612689388</v>
      </c>
      <c r="AL103" s="108" t="n">
        <f aca="false">AK105</f>
        <v>807470.18563857</v>
      </c>
      <c r="AM103" s="108" t="n">
        <f aca="false">AL105</f>
        <v>873536.785003699</v>
      </c>
      <c r="AN103" s="108" t="n">
        <f aca="false">AM105</f>
        <v>936516.668281241</v>
      </c>
      <c r="AO103" s="108" t="n">
        <f aca="false">AN105</f>
        <v>996554.050797806</v>
      </c>
      <c r="AP103" s="108" t="n">
        <f aca="false">AO105</f>
        <v>1053786.40995535</v>
      </c>
      <c r="AQ103" s="108" t="n">
        <f aca="false">AP105</f>
        <v>1108344.80003563</v>
      </c>
      <c r="AR103" s="108" t="n">
        <f aca="false">AQ105</f>
        <v>1160354.15229662</v>
      </c>
      <c r="AS103" s="108" t="n">
        <f aca="false">AR105</f>
        <v>1209933.56104801</v>
      </c>
      <c r="AT103" s="108" t="n">
        <f aca="false">AS105</f>
        <v>1257196.55636089</v>
      </c>
      <c r="AU103" s="108" t="n">
        <f aca="false">AT105</f>
        <v>1302251.36403611</v>
      </c>
      <c r="AV103" s="108" t="n">
        <f aca="false">AU105</f>
        <v>1345201.1534266</v>
      </c>
      <c r="AW103" s="108" t="n">
        <f aca="false">AV105</f>
        <v>1386144.27368103</v>
      </c>
      <c r="AX103" s="108" t="n">
        <f aca="false">AW105</f>
        <v>1425174.47894999</v>
      </c>
      <c r="AY103" s="108" t="n">
        <f aca="false">AX105</f>
        <v>1529983.6051405</v>
      </c>
      <c r="AZ103" s="108" t="n">
        <f aca="false">AY105</f>
        <v>1630287.66012221</v>
      </c>
      <c r="BA103" s="108" t="n">
        <f aca="false">AZ105</f>
        <v>1726280.28797303</v>
      </c>
      <c r="BB103" s="108" t="n">
        <f aca="false">BA105</f>
        <v>1818146.80925559</v>
      </c>
      <c r="BC103" s="108" t="n">
        <f aca="false">BB105</f>
        <v>1906064.57879176</v>
      </c>
      <c r="BD103" s="108" t="n">
        <f aca="false">BC105</f>
        <v>1990203.32805865</v>
      </c>
      <c r="BE103" s="108" t="n">
        <f aca="false">BD105</f>
        <v>2070725.49286727</v>
      </c>
      <c r="BF103" s="108" t="n">
        <f aca="false">BE105</f>
        <v>2147786.52695631</v>
      </c>
      <c r="BG103" s="108" t="n">
        <f aca="false">BF105</f>
        <v>2221535.20210665</v>
      </c>
      <c r="BH103" s="108" t="n">
        <f aca="false">BG105</f>
        <v>2292113.89535576</v>
      </c>
      <c r="BI103" s="108" t="n">
        <f aca="false">BH105</f>
        <v>2359658.8638667</v>
      </c>
      <c r="BJ103" s="109" t="n">
        <f aca="false">BI103</f>
        <v>2359658.8638667</v>
      </c>
      <c r="BK103" s="29" t="s">
        <v>571</v>
      </c>
    </row>
    <row r="104" customFormat="false" ht="15" hidden="false" customHeight="false" outlineLevel="0" collapsed="false">
      <c r="A104" s="27" t="s">
        <v>539</v>
      </c>
      <c r="B104" s="108" t="n">
        <f aca="false">-B103*INDEX(Premissas!$C$50:$G$50,B$7)</f>
        <v>-0</v>
      </c>
      <c r="C104" s="108" t="n">
        <f aca="false">-C103*INDEX(Premissas!$C$50:$G$50,C$7)</f>
        <v>-0</v>
      </c>
      <c r="D104" s="108" t="n">
        <f aca="false">-D103*INDEX(Premissas!$C$50:$G$50,D$7)</f>
        <v>-0</v>
      </c>
      <c r="E104" s="108" t="n">
        <f aca="false">-E103*INDEX(Premissas!$C$50:$G$50,E$7)</f>
        <v>-0</v>
      </c>
      <c r="F104" s="108" t="n">
        <f aca="false">-F103*INDEX(Premissas!$C$50:$G$50,F$7)</f>
        <v>-0</v>
      </c>
      <c r="G104" s="108" t="n">
        <f aca="false">-G103*INDEX(Premissas!$C$50:$G$50,G$7)</f>
        <v>-0</v>
      </c>
      <c r="H104" s="108" t="n">
        <f aca="false">-H103*INDEX(Premissas!$C$50:$G$50,H$7)</f>
        <v>-0</v>
      </c>
      <c r="I104" s="108" t="n">
        <f aca="false">-I103*INDEX(Premissas!$C$50:$G$50,I$7)</f>
        <v>-0</v>
      </c>
      <c r="J104" s="108" t="n">
        <f aca="false">-J103*INDEX(Premissas!$C$50:$G$50,J$7)</f>
        <v>-0</v>
      </c>
      <c r="K104" s="108" t="n">
        <f aca="false">-K103*INDEX(Premissas!$C$50:$G$50,K$7)</f>
        <v>-0</v>
      </c>
      <c r="L104" s="108" t="n">
        <f aca="false">-L103*INDEX(Premissas!$C$50:$G$50,L$7)</f>
        <v>-1520.4</v>
      </c>
      <c r="M104" s="108" t="n">
        <f aca="false">-M103*INDEX(Premissas!$C$50:$G$50,M$7)</f>
        <v>-2949.576</v>
      </c>
      <c r="N104" s="108" t="n">
        <f aca="false">-N103*INDEX(Premissas!$C$50:$G$50,N$7)</f>
        <v>-3949.5613248</v>
      </c>
      <c r="O104" s="108" t="n">
        <f aca="false">-O103*INDEX(Premissas!$C$50:$G$50,O$7)</f>
        <v>-5969.57433967104</v>
      </c>
      <c r="P104" s="108" t="n">
        <f aca="false">-P103*INDEX(Premissas!$C$50:$G$50,P$7)</f>
        <v>-7878.0826361212</v>
      </c>
      <c r="Q104" s="108" t="n">
        <f aca="false">-Q103*INDEX(Premissas!$C$50:$G$50,Q$7)</f>
        <v>-9681.24127460731</v>
      </c>
      <c r="R104" s="108" t="n">
        <f aca="false">-R103*INDEX(Premissas!$C$50:$G$50,R$7)</f>
        <v>-11384.865556249</v>
      </c>
      <c r="S104" s="108" t="n">
        <f aca="false">-S103*INDEX(Premissas!$C$50:$G$50,S$7)</f>
        <v>-12994.449777544</v>
      </c>
      <c r="T104" s="108" t="n">
        <f aca="false">-T103*INDEX(Premissas!$C$50:$G$50,T$7)</f>
        <v>-14515.1849498236</v>
      </c>
      <c r="U104" s="108" t="n">
        <f aca="false">-U103*INDEX(Premissas!$C$50:$G$50,U$7)</f>
        <v>-15951.9755405933</v>
      </c>
      <c r="V104" s="108" t="n">
        <f aca="false">-V103*INDEX(Premissas!$C$50:$G$50,V$7)</f>
        <v>-17309.4552907526</v>
      </c>
      <c r="W104" s="108" t="n">
        <f aca="false">-W103*INDEX(Premissas!$C$50:$G$50,W$7)</f>
        <v>-18592.0021587031</v>
      </c>
      <c r="X104" s="108" t="n">
        <f aca="false">-X103*INDEX(Premissas!$C$50:$G$50,X$7)</f>
        <v>-19803.7524395426</v>
      </c>
      <c r="Y104" s="108" t="n">
        <f aca="false">-Y103*INDEX(Premissas!$C$50:$G$50,Y$7)</f>
        <v>-20948.6141048799</v>
      </c>
      <c r="Z104" s="108" t="n">
        <f aca="false">-Z103*INDEX(Premissas!$C$50:$G$50,Z$7)</f>
        <v>-20267.8570537873</v>
      </c>
      <c r="AA104" s="108" t="n">
        <f aca="false">-AA103*INDEX(Premissas!$C$50:$G$50,AA$7)</f>
        <v>-22532.9525947677</v>
      </c>
      <c r="AB104" s="108" t="n">
        <f aca="false">-AB103*INDEX(Premissas!$C$50:$G$50,AB$7)</f>
        <v>-24683.0175237951</v>
      </c>
      <c r="AC104" s="108" t="n">
        <f aca="false">-AC103*INDEX(Premissas!$C$50:$G$50,AC$7)</f>
        <v>-26723.8935554667</v>
      </c>
      <c r="AD104" s="108" t="n">
        <f aca="false">-AD103*INDEX(Premissas!$C$50:$G$50,AD$7)</f>
        <v>-28661.1257387458</v>
      </c>
      <c r="AE104" s="108" t="n">
        <f aca="false">-AE103*INDEX(Premissas!$C$50:$G$50,AE$7)</f>
        <v>-30499.9775228294</v>
      </c>
      <c r="AF104" s="108" t="n">
        <f aca="false">-AF103*INDEX(Premissas!$C$50:$G$50,AF$7)</f>
        <v>-32245.44505791</v>
      </c>
      <c r="AG104" s="108" t="n">
        <f aca="false">-AG103*INDEX(Premissas!$C$50:$G$50,AG$7)</f>
        <v>-33902.2707696891</v>
      </c>
      <c r="AH104" s="108" t="n">
        <f aca="false">-AH103*INDEX(Premissas!$C$50:$G$50,AH$7)</f>
        <v>-35474.9562445212</v>
      </c>
      <c r="AI104" s="108" t="n">
        <f aca="false">-AI103*INDEX(Premissas!$C$50:$G$50,AI$7)</f>
        <v>-36967.7744601995</v>
      </c>
      <c r="AJ104" s="108" t="n">
        <f aca="false">-AJ103*INDEX(Premissas!$C$50:$G$50,AJ$7)</f>
        <v>-38384.7813956127</v>
      </c>
      <c r="AK104" s="108" t="n">
        <f aca="false">-AK103*INDEX(Premissas!$C$50:$G$50,AK$7)</f>
        <v>-39729.8270508179</v>
      </c>
      <c r="AL104" s="108" t="n">
        <f aca="false">-AL103*INDEX(Premissas!$C$50:$G$50,AL$7)</f>
        <v>-37726.0406348716</v>
      </c>
      <c r="AM104" s="108" t="n">
        <f aca="false">-AM103*INDEX(Premissas!$C$50:$G$50,AM$7)</f>
        <v>-40812.7567224576</v>
      </c>
      <c r="AN104" s="108" t="n">
        <f aca="false">-AN103*INDEX(Premissas!$C$50:$G$50,AN$7)</f>
        <v>-43755.257483435</v>
      </c>
      <c r="AO104" s="108" t="n">
        <f aca="false">-AO103*INDEX(Premissas!$C$50:$G$50,AO$7)</f>
        <v>-46560.2808424585</v>
      </c>
      <c r="AP104" s="108" t="n">
        <f aca="false">-AP103*INDEX(Premissas!$C$50:$G$50,AP$7)</f>
        <v>-49234.2499197186</v>
      </c>
      <c r="AQ104" s="108" t="n">
        <f aca="false">-AQ103*INDEX(Premissas!$C$50:$G$50,AQ$7)</f>
        <v>-51783.2877390087</v>
      </c>
      <c r="AR104" s="108" t="n">
        <f aca="false">-AR103*INDEX(Premissas!$C$50:$G$50,AR$7)</f>
        <v>-54213.2312486131</v>
      </c>
      <c r="AS104" s="108" t="n">
        <f aca="false">-AS103*INDEX(Premissas!$C$50:$G$50,AS$7)</f>
        <v>-56529.6446871211</v>
      </c>
      <c r="AT104" s="108" t="n">
        <f aca="false">-AT103*INDEX(Premissas!$C$50:$G$50,AT$7)</f>
        <v>-58737.8323247728</v>
      </c>
      <c r="AU104" s="108" t="n">
        <f aca="false">-AU103*INDEX(Premissas!$C$50:$G$50,AU$7)</f>
        <v>-60842.8506095132</v>
      </c>
      <c r="AV104" s="108" t="n">
        <f aca="false">-AV103*INDEX(Premissas!$C$50:$G$50,AV$7)</f>
        <v>-62849.5197455672</v>
      </c>
      <c r="AW104" s="108" t="n">
        <f aca="false">-AW103*INDEX(Premissas!$C$50:$G$50,AW$7)</f>
        <v>-64762.4347310482</v>
      </c>
      <c r="AX104" s="108" t="n">
        <f aca="false">-AX103*INDEX(Premissas!$C$50:$G$50,AX$7)</f>
        <v>-61259.0978094863</v>
      </c>
      <c r="AY104" s="108" t="n">
        <f aca="false">-AY103*INDEX(Premissas!$C$50:$G$50,AY$7)</f>
        <v>-65764.1690182844</v>
      </c>
      <c r="AZ104" s="108" t="n">
        <f aca="false">-AZ103*INDEX(Premissas!$C$50:$G$50,AZ$7)</f>
        <v>-70075.5961491856</v>
      </c>
      <c r="BA104" s="108" t="n">
        <f aca="false">-BA103*INDEX(Premissas!$C$50:$G$50,BA$7)</f>
        <v>-74201.702717439</v>
      </c>
      <c r="BB104" s="108" t="n">
        <f aca="false">-BB103*INDEX(Premissas!$C$50:$G$50,BB$7)</f>
        <v>-78150.45446383</v>
      </c>
      <c r="BC104" s="108" t="n">
        <f aca="false">-BC103*INDEX(Premissas!$C$50:$G$50,BC$7)</f>
        <v>-81929.4747331069</v>
      </c>
      <c r="BD104" s="108" t="n">
        <f aca="false">-BD103*INDEX(Premissas!$C$50:$G$50,BD$7)</f>
        <v>-85546.0591913874</v>
      </c>
      <c r="BE104" s="108" t="n">
        <f aca="false">-BE103*INDEX(Premissas!$C$50:$G$50,BE$7)</f>
        <v>-89007.1899109584</v>
      </c>
      <c r="BF104" s="108" t="n">
        <f aca="false">-BF103*INDEX(Premissas!$C$50:$G$50,BF$7)</f>
        <v>-92319.548849661</v>
      </c>
      <c r="BG104" s="108" t="n">
        <f aca="false">-BG103*INDEX(Premissas!$C$50:$G$50,BG$7)</f>
        <v>-95489.5307508827</v>
      </c>
      <c r="BH104" s="108" t="n">
        <f aca="false">-BH103*INDEX(Premissas!$C$50:$G$50,BH$7)</f>
        <v>-98523.2554890628</v>
      </c>
      <c r="BI104" s="108" t="n">
        <f aca="false">-BI103*INDEX(Premissas!$C$50:$G$50,BI$7)</f>
        <v>-101426.579884542</v>
      </c>
      <c r="BJ104" s="109" t="n">
        <f aca="false">SUM(B104:BI104)</f>
        <v>-2155022.66001784</v>
      </c>
    </row>
    <row r="105" customFormat="false" ht="15" hidden="false" customHeight="false" outlineLevel="0" collapsed="false">
      <c r="A105" s="51" t="s">
        <v>540</v>
      </c>
      <c r="B105" s="157" t="n">
        <f aca="false">B103+B104+B102</f>
        <v>0</v>
      </c>
      <c r="C105" s="157" t="n">
        <f aca="false">C103+C104+C102</f>
        <v>0</v>
      </c>
      <c r="D105" s="157" t="n">
        <f aca="false">D103+D104+D102</f>
        <v>0</v>
      </c>
      <c r="E105" s="157" t="n">
        <f aca="false">E103+E104+E102</f>
        <v>0</v>
      </c>
      <c r="F105" s="157" t="n">
        <f aca="false">F103+F104+F102</f>
        <v>0</v>
      </c>
      <c r="G105" s="157" t="n">
        <f aca="false">G103+G104+G102</f>
        <v>0</v>
      </c>
      <c r="H105" s="157" t="n">
        <f aca="false">H103+H104+H102</f>
        <v>0</v>
      </c>
      <c r="I105" s="157" t="n">
        <f aca="false">I103+I104+I102</f>
        <v>0</v>
      </c>
      <c r="J105" s="157" t="n">
        <f aca="false">J103+J104+J102</f>
        <v>0</v>
      </c>
      <c r="K105" s="157" t="n">
        <f aca="false">K103+K104+K102</f>
        <v>25340</v>
      </c>
      <c r="L105" s="157" t="n">
        <f aca="false">L103+L104+L102</f>
        <v>49159.6</v>
      </c>
      <c r="M105" s="157" t="n">
        <f aca="false">M103+M104+M102</f>
        <v>71550.024</v>
      </c>
      <c r="N105" s="157" t="n">
        <f aca="false">N103+N104+N102</f>
        <v>108144.4626752</v>
      </c>
      <c r="O105" s="157" t="n">
        <f aca="false">O103+O104+O102</f>
        <v>142718.888335529</v>
      </c>
      <c r="P105" s="157" t="n">
        <f aca="false">P103+P104+P102</f>
        <v>175384.805699408</v>
      </c>
      <c r="Q105" s="157" t="n">
        <f aca="false">Q103+Q104+Q102</f>
        <v>206247.5644248</v>
      </c>
      <c r="R105" s="157" t="n">
        <f aca="false">R103+R104+R102</f>
        <v>235406.698868551</v>
      </c>
      <c r="S105" s="157" t="n">
        <f aca="false">S103+S104+S102</f>
        <v>262956.249091007</v>
      </c>
      <c r="T105" s="157" t="n">
        <f aca="false">T103+T104+T102</f>
        <v>288985.064141184</v>
      </c>
      <c r="U105" s="157" t="n">
        <f aca="false">U103+U104+U102</f>
        <v>313577.088600591</v>
      </c>
      <c r="V105" s="157" t="n">
        <f aca="false">V103+V104+V102</f>
        <v>336811.633309838</v>
      </c>
      <c r="W105" s="157" t="n">
        <f aca="false">W103+W104+W102</f>
        <v>358763.631151135</v>
      </c>
      <c r="X105" s="157" t="n">
        <f aca="false">X103+X104+X102</f>
        <v>379503.878711592</v>
      </c>
      <c r="Y105" s="157" t="n">
        <f aca="false">Y103+Y104+Y102</f>
        <v>399099.264606712</v>
      </c>
      <c r="Z105" s="157" t="n">
        <f aca="false">Z103+Z104+Z102</f>
        <v>443701.807552925</v>
      </c>
      <c r="AA105" s="157" t="n">
        <f aca="false">AA103+AA104+AA102</f>
        <v>486039.254958157</v>
      </c>
      <c r="AB105" s="157" t="n">
        <f aca="false">AB103+AB104+AB102</f>
        <v>526226.637434362</v>
      </c>
      <c r="AC105" s="157" t="n">
        <f aca="false">AC103+AC104+AC102</f>
        <v>564373.143878896</v>
      </c>
      <c r="AD105" s="157" t="n">
        <f aca="false">AD103+AD104+AD102</f>
        <v>600582.41814015</v>
      </c>
      <c r="AE105" s="157" t="n">
        <f aca="false">AE103+AE104+AE102</f>
        <v>634952.840617321</v>
      </c>
      <c r="AF105" s="157" t="n">
        <f aca="false">AF103+AF104+AF102</f>
        <v>667577.795559411</v>
      </c>
      <c r="AG105" s="157" t="n">
        <f aca="false">AG103+AG104+AG102</f>
        <v>698545.924789721</v>
      </c>
      <c r="AH105" s="157" t="n">
        <f aca="false">AH103+AH104+AH102</f>
        <v>727941.3685452</v>
      </c>
      <c r="AI105" s="157" t="n">
        <f aca="false">AI103+AI104+AI102</f>
        <v>755843.994085001</v>
      </c>
      <c r="AJ105" s="157" t="n">
        <f aca="false">AJ103+AJ104+AJ102</f>
        <v>782329.612689388</v>
      </c>
      <c r="AK105" s="157" t="n">
        <f aca="false">AK103+AK104+AK102</f>
        <v>807470.18563857</v>
      </c>
      <c r="AL105" s="157" t="n">
        <f aca="false">AL103+AL104+AL102</f>
        <v>873536.785003699</v>
      </c>
      <c r="AM105" s="157" t="n">
        <f aca="false">AM103+AM104+AM102</f>
        <v>936516.668281241</v>
      </c>
      <c r="AN105" s="157" t="n">
        <f aca="false">AN103+AN104+AN102</f>
        <v>996554.050797806</v>
      </c>
      <c r="AO105" s="157" t="n">
        <f aca="false">AO103+AO104+AO102</f>
        <v>1053786.40995535</v>
      </c>
      <c r="AP105" s="157" t="n">
        <f aca="false">AP103+AP104+AP102</f>
        <v>1108344.80003563</v>
      </c>
      <c r="AQ105" s="157" t="n">
        <f aca="false">AQ103+AQ104+AQ102</f>
        <v>1160354.15229662</v>
      </c>
      <c r="AR105" s="157" t="n">
        <f aca="false">AR103+AR104+AR102</f>
        <v>1209933.56104801</v>
      </c>
      <c r="AS105" s="157" t="n">
        <f aca="false">AS103+AS104+AS102</f>
        <v>1257196.55636089</v>
      </c>
      <c r="AT105" s="157" t="n">
        <f aca="false">AT103+AT104+AT102</f>
        <v>1302251.36403611</v>
      </c>
      <c r="AU105" s="157" t="n">
        <f aca="false">AU103+AU104+AU102</f>
        <v>1345201.1534266</v>
      </c>
      <c r="AV105" s="157" t="n">
        <f aca="false">AV103+AV104+AV102</f>
        <v>1386144.27368103</v>
      </c>
      <c r="AW105" s="157" t="n">
        <f aca="false">AW103+AW104+AW102</f>
        <v>1425174.47894999</v>
      </c>
      <c r="AX105" s="157" t="n">
        <f aca="false">AX103+AX104+AX102</f>
        <v>1529983.6051405</v>
      </c>
      <c r="AY105" s="157" t="n">
        <f aca="false">AY103+AY104+AY102</f>
        <v>1630287.66012221</v>
      </c>
      <c r="AZ105" s="157" t="n">
        <f aca="false">AZ103+AZ104+AZ102</f>
        <v>1726280.28797303</v>
      </c>
      <c r="BA105" s="157" t="n">
        <f aca="false">BA103+BA104+BA102</f>
        <v>1818146.80925559</v>
      </c>
      <c r="BB105" s="157" t="n">
        <f aca="false">BB103+BB104+BB102</f>
        <v>1906064.57879176</v>
      </c>
      <c r="BC105" s="157" t="n">
        <f aca="false">BC103+BC104+BC102</f>
        <v>1990203.32805865</v>
      </c>
      <c r="BD105" s="157" t="n">
        <f aca="false">BD103+BD104+BD102</f>
        <v>2070725.49286727</v>
      </c>
      <c r="BE105" s="157" t="n">
        <f aca="false">BE103+BE104+BE102</f>
        <v>2147786.52695631</v>
      </c>
      <c r="BF105" s="157" t="n">
        <f aca="false">BF103+BF104+BF102</f>
        <v>2221535.20210665</v>
      </c>
      <c r="BG105" s="157" t="n">
        <f aca="false">BG103+BG104+BG102</f>
        <v>2292113.89535576</v>
      </c>
      <c r="BH105" s="157" t="n">
        <f aca="false">BH103+BH104+BH102</f>
        <v>2359658.8638667</v>
      </c>
      <c r="BI105" s="157" t="n">
        <f aca="false">BI103+BI104+BI102</f>
        <v>2424300.50798216</v>
      </c>
      <c r="BJ105" s="109" t="n">
        <f aca="false">BI105</f>
        <v>2424300.50798216</v>
      </c>
      <c r="BK105" s="29" t="s">
        <v>571</v>
      </c>
    </row>
    <row r="106" customFormat="false" ht="15" hidden="false" customHeight="false" outlineLevel="0" collapsed="false">
      <c r="A106" s="27" t="s">
        <v>572</v>
      </c>
      <c r="B106" s="167" t="n">
        <f aca="false">IF(B$4&lt;Premissas!$B$13,0,INDEX(Premissas!$C$54:$G$54,B$7)*MIN(1,MAX(0,(B$5-Premissas!$B$14+1)/Premissas!$B$15)))</f>
        <v>0</v>
      </c>
      <c r="C106" s="167" t="n">
        <f aca="false">IF(C$4&lt;Premissas!$B$13,0,INDEX(Premissas!$C$54:$G$54,C$7)*MIN(1,MAX(0,(C$5-Premissas!$B$14+1)/Premissas!$B$15)))</f>
        <v>0</v>
      </c>
      <c r="D106" s="167" t="n">
        <f aca="false">IF(D$4&lt;Premissas!$B$13,0,INDEX(Premissas!$C$54:$G$54,D$7)*MIN(1,MAX(0,(D$5-Premissas!$B$14+1)/Premissas!$B$15)))</f>
        <v>0</v>
      </c>
      <c r="E106" s="167" t="n">
        <f aca="false">IF(E$4&lt;Premissas!$B$13,0,INDEX(Premissas!$C$54:$G$54,E$7)*MIN(1,MAX(0,(E$5-Premissas!$B$14+1)/Premissas!$B$15)))</f>
        <v>0</v>
      </c>
      <c r="F106" s="167" t="n">
        <f aca="false">IF(F$4&lt;Premissas!$B$13,0,INDEX(Premissas!$C$54:$G$54,F$7)*MIN(1,MAX(0,(F$5-Premissas!$B$14+1)/Premissas!$B$15)))</f>
        <v>0</v>
      </c>
      <c r="G106" s="167" t="n">
        <f aca="false">IF(G$4&lt;Premissas!$B$13,0,INDEX(Premissas!$C$54:$G$54,G$7)*MIN(1,MAX(0,(G$5-Premissas!$B$14+1)/Premissas!$B$15)))</f>
        <v>0</v>
      </c>
      <c r="H106" s="167" t="n">
        <f aca="false">IF(H$4&lt;Premissas!$B$13,0,INDEX(Premissas!$C$54:$G$54,H$7)*MIN(1,MAX(0,(H$5-Premissas!$B$14+1)/Premissas!$B$15)))</f>
        <v>0</v>
      </c>
      <c r="I106" s="167" t="n">
        <f aca="false">IF(I$4&lt;Premissas!$B$13,0,INDEX(Premissas!$C$54:$G$54,I$7)*MIN(1,MAX(0,(I$5-Premissas!$B$14+1)/Premissas!$B$15)))</f>
        <v>0</v>
      </c>
      <c r="J106" s="167" t="n">
        <f aca="false">IF(J$4&lt;Premissas!$B$13,0,INDEX(Premissas!$C$54:$G$54,J$7)*MIN(1,MAX(0,(J$5-Premissas!$B$14+1)/Premissas!$B$15)))</f>
        <v>0</v>
      </c>
      <c r="K106" s="167" t="n">
        <f aca="false">IF(K$4&lt;Premissas!$B$13,0,INDEX(Premissas!$C$54:$G$54,K$7)*MIN(1,MAX(0,(K$5-Premissas!$B$14+1)/Premissas!$B$15)))</f>
        <v>0.0116666666666667</v>
      </c>
      <c r="L106" s="167" t="n">
        <f aca="false">IF(L$4&lt;Premissas!$B$13,0,INDEX(Premissas!$C$54:$G$54,L$7)*MIN(1,MAX(0,(L$5-Premissas!$B$14+1)/Premissas!$B$15)))</f>
        <v>0.0233333333333333</v>
      </c>
      <c r="M106" s="167" t="n">
        <f aca="false">IF(M$4&lt;Premissas!$B$13,0,INDEX(Premissas!$C$54:$G$54,M$7)*MIN(1,MAX(0,(M$5-Premissas!$B$14+1)/Premissas!$B$15)))</f>
        <v>0.035</v>
      </c>
      <c r="N106" s="167" t="n">
        <f aca="false">IF(N$4&lt;Premissas!$B$13,0,INDEX(Premissas!$C$54:$G$54,N$7)*MIN(1,MAX(0,(N$5-Premissas!$B$14+1)/Premissas!$B$15)))</f>
        <v>0.0513333333333333</v>
      </c>
      <c r="O106" s="167" t="n">
        <f aca="false">IF(O$4&lt;Premissas!$B$13,0,INDEX(Premissas!$C$54:$G$54,O$7)*MIN(1,MAX(0,(O$5-Premissas!$B$14+1)/Premissas!$B$15)))</f>
        <v>0.0641666666666667</v>
      </c>
      <c r="P106" s="167" t="n">
        <f aca="false">IF(P$4&lt;Premissas!$B$13,0,INDEX(Premissas!$C$54:$G$54,P$7)*MIN(1,MAX(0,(P$5-Premissas!$B$14+1)/Premissas!$B$15)))</f>
        <v>0.077</v>
      </c>
      <c r="Q106" s="167" t="n">
        <f aca="false">IF(Q$4&lt;Premissas!$B$13,0,INDEX(Premissas!$C$54:$G$54,Q$7)*MIN(1,MAX(0,(Q$5-Premissas!$B$14+1)/Premissas!$B$15)))</f>
        <v>0.077</v>
      </c>
      <c r="R106" s="167" t="n">
        <f aca="false">IF(R$4&lt;Premissas!$B$13,0,INDEX(Premissas!$C$54:$G$54,R$7)*MIN(1,MAX(0,(R$5-Premissas!$B$14+1)/Premissas!$B$15)))</f>
        <v>0.077</v>
      </c>
      <c r="S106" s="167" t="n">
        <f aca="false">IF(S$4&lt;Premissas!$B$13,0,INDEX(Premissas!$C$54:$G$54,S$7)*MIN(1,MAX(0,(S$5-Premissas!$B$14+1)/Premissas!$B$15)))</f>
        <v>0.077</v>
      </c>
      <c r="T106" s="167" t="n">
        <f aca="false">IF(T$4&lt;Premissas!$B$13,0,INDEX(Premissas!$C$54:$G$54,T$7)*MIN(1,MAX(0,(T$5-Premissas!$B$14+1)/Premissas!$B$15)))</f>
        <v>0.077</v>
      </c>
      <c r="U106" s="167" t="n">
        <f aca="false">IF(U$4&lt;Premissas!$B$13,0,INDEX(Premissas!$C$54:$G$54,U$7)*MIN(1,MAX(0,(U$5-Premissas!$B$14+1)/Premissas!$B$15)))</f>
        <v>0.077</v>
      </c>
      <c r="V106" s="167" t="n">
        <f aca="false">IF(V$4&lt;Premissas!$B$13,0,INDEX(Premissas!$C$54:$G$54,V$7)*MIN(1,MAX(0,(V$5-Premissas!$B$14+1)/Premissas!$B$15)))</f>
        <v>0.077</v>
      </c>
      <c r="W106" s="167" t="n">
        <f aca="false">IF(W$4&lt;Premissas!$B$13,0,INDEX(Premissas!$C$54:$G$54,W$7)*MIN(1,MAX(0,(W$5-Premissas!$B$14+1)/Premissas!$B$15)))</f>
        <v>0.077</v>
      </c>
      <c r="X106" s="167" t="n">
        <f aca="false">IF(X$4&lt;Premissas!$B$13,0,INDEX(Premissas!$C$54:$G$54,X$7)*MIN(1,MAX(0,(X$5-Premissas!$B$14+1)/Premissas!$B$15)))</f>
        <v>0.077</v>
      </c>
      <c r="Y106" s="167" t="n">
        <f aca="false">IF(Y$4&lt;Premissas!$B$13,0,INDEX(Premissas!$C$54:$G$54,Y$7)*MIN(1,MAX(0,(Y$5-Premissas!$B$14+1)/Premissas!$B$15)))</f>
        <v>0.077</v>
      </c>
      <c r="Z106" s="167" t="n">
        <f aca="false">IF(Z$4&lt;Premissas!$B$13,0,INDEX(Premissas!$C$54:$G$54,Z$7)*MIN(1,MAX(0,(Z$5-Premissas!$B$14+1)/Premissas!$B$15)))</f>
        <v>0.0847</v>
      </c>
      <c r="AA106" s="167" t="n">
        <f aca="false">IF(AA$4&lt;Premissas!$B$13,0,INDEX(Premissas!$C$54:$G$54,AA$7)*MIN(1,MAX(0,(AA$5-Premissas!$B$14+1)/Premissas!$B$15)))</f>
        <v>0.0847</v>
      </c>
      <c r="AB106" s="167" t="n">
        <f aca="false">IF(AB$4&lt;Premissas!$B$13,0,INDEX(Premissas!$C$54:$G$54,AB$7)*MIN(1,MAX(0,(AB$5-Premissas!$B$14+1)/Premissas!$B$15)))</f>
        <v>0.0847</v>
      </c>
      <c r="AC106" s="167" t="n">
        <f aca="false">IF(AC$4&lt;Premissas!$B$13,0,INDEX(Premissas!$C$54:$G$54,AC$7)*MIN(1,MAX(0,(AC$5-Premissas!$B$14+1)/Premissas!$B$15)))</f>
        <v>0.0847</v>
      </c>
      <c r="AD106" s="167" t="n">
        <f aca="false">IF(AD$4&lt;Premissas!$B$13,0,INDEX(Premissas!$C$54:$G$54,AD$7)*MIN(1,MAX(0,(AD$5-Premissas!$B$14+1)/Premissas!$B$15)))</f>
        <v>0.0847</v>
      </c>
      <c r="AE106" s="167" t="n">
        <f aca="false">IF(AE$4&lt;Premissas!$B$13,0,INDEX(Premissas!$C$54:$G$54,AE$7)*MIN(1,MAX(0,(AE$5-Premissas!$B$14+1)/Premissas!$B$15)))</f>
        <v>0.0847</v>
      </c>
      <c r="AF106" s="167" t="n">
        <f aca="false">IF(AF$4&lt;Premissas!$B$13,0,INDEX(Premissas!$C$54:$G$54,AF$7)*MIN(1,MAX(0,(AF$5-Premissas!$B$14+1)/Premissas!$B$15)))</f>
        <v>0.0847</v>
      </c>
      <c r="AG106" s="167" t="n">
        <f aca="false">IF(AG$4&lt;Premissas!$B$13,0,INDEX(Premissas!$C$54:$G$54,AG$7)*MIN(1,MAX(0,(AG$5-Premissas!$B$14+1)/Premissas!$B$15)))</f>
        <v>0.0847</v>
      </c>
      <c r="AH106" s="167" t="n">
        <f aca="false">IF(AH$4&lt;Premissas!$B$13,0,INDEX(Premissas!$C$54:$G$54,AH$7)*MIN(1,MAX(0,(AH$5-Premissas!$B$14+1)/Premissas!$B$15)))</f>
        <v>0.0847</v>
      </c>
      <c r="AI106" s="167" t="n">
        <f aca="false">IF(AI$4&lt;Premissas!$B$13,0,INDEX(Premissas!$C$54:$G$54,AI$7)*MIN(1,MAX(0,(AI$5-Premissas!$B$14+1)/Premissas!$B$15)))</f>
        <v>0.0847</v>
      </c>
      <c r="AJ106" s="167" t="n">
        <f aca="false">IF(AJ$4&lt;Premissas!$B$13,0,INDEX(Premissas!$C$54:$G$54,AJ$7)*MIN(1,MAX(0,(AJ$5-Premissas!$B$14+1)/Premissas!$B$15)))</f>
        <v>0.0847</v>
      </c>
      <c r="AK106" s="167" t="n">
        <f aca="false">IF(AK$4&lt;Premissas!$B$13,0,INDEX(Premissas!$C$54:$G$54,AK$7)*MIN(1,MAX(0,(AK$5-Premissas!$B$14+1)/Premissas!$B$15)))</f>
        <v>0.0847</v>
      </c>
      <c r="AL106" s="167" t="n">
        <f aca="false">IF(AL$4&lt;Premissas!$B$13,0,INDEX(Premissas!$C$54:$G$54,AL$7)*MIN(1,MAX(0,(AL$5-Premissas!$B$14+1)/Premissas!$B$15)))</f>
        <v>0.09317</v>
      </c>
      <c r="AM106" s="167" t="n">
        <f aca="false">IF(AM$4&lt;Premissas!$B$13,0,INDEX(Premissas!$C$54:$G$54,AM$7)*MIN(1,MAX(0,(AM$5-Premissas!$B$14+1)/Premissas!$B$15)))</f>
        <v>0.09317</v>
      </c>
      <c r="AN106" s="167" t="n">
        <f aca="false">IF(AN$4&lt;Premissas!$B$13,0,INDEX(Premissas!$C$54:$G$54,AN$7)*MIN(1,MAX(0,(AN$5-Premissas!$B$14+1)/Premissas!$B$15)))</f>
        <v>0.09317</v>
      </c>
      <c r="AO106" s="167" t="n">
        <f aca="false">IF(AO$4&lt;Premissas!$B$13,0,INDEX(Premissas!$C$54:$G$54,AO$7)*MIN(1,MAX(0,(AO$5-Premissas!$B$14+1)/Premissas!$B$15)))</f>
        <v>0.09317</v>
      </c>
      <c r="AP106" s="167" t="n">
        <f aca="false">IF(AP$4&lt;Premissas!$B$13,0,INDEX(Premissas!$C$54:$G$54,AP$7)*MIN(1,MAX(0,(AP$5-Premissas!$B$14+1)/Premissas!$B$15)))</f>
        <v>0.09317</v>
      </c>
      <c r="AQ106" s="167" t="n">
        <f aca="false">IF(AQ$4&lt;Premissas!$B$13,0,INDEX(Premissas!$C$54:$G$54,AQ$7)*MIN(1,MAX(0,(AQ$5-Premissas!$B$14+1)/Premissas!$B$15)))</f>
        <v>0.09317</v>
      </c>
      <c r="AR106" s="167" t="n">
        <f aca="false">IF(AR$4&lt;Premissas!$B$13,0,INDEX(Premissas!$C$54:$G$54,AR$7)*MIN(1,MAX(0,(AR$5-Premissas!$B$14+1)/Premissas!$B$15)))</f>
        <v>0.09317</v>
      </c>
      <c r="AS106" s="167" t="n">
        <f aca="false">IF(AS$4&lt;Premissas!$B$13,0,INDEX(Premissas!$C$54:$G$54,AS$7)*MIN(1,MAX(0,(AS$5-Premissas!$B$14+1)/Premissas!$B$15)))</f>
        <v>0.09317</v>
      </c>
      <c r="AT106" s="167" t="n">
        <f aca="false">IF(AT$4&lt;Premissas!$B$13,0,INDEX(Premissas!$C$54:$G$54,AT$7)*MIN(1,MAX(0,(AT$5-Premissas!$B$14+1)/Premissas!$B$15)))</f>
        <v>0.09317</v>
      </c>
      <c r="AU106" s="167" t="n">
        <f aca="false">IF(AU$4&lt;Premissas!$B$13,0,INDEX(Premissas!$C$54:$G$54,AU$7)*MIN(1,MAX(0,(AU$5-Premissas!$B$14+1)/Premissas!$B$15)))</f>
        <v>0.09317</v>
      </c>
      <c r="AV106" s="167" t="n">
        <f aca="false">IF(AV$4&lt;Premissas!$B$13,0,INDEX(Premissas!$C$54:$G$54,AV$7)*MIN(1,MAX(0,(AV$5-Premissas!$B$14+1)/Premissas!$B$15)))</f>
        <v>0.09317</v>
      </c>
      <c r="AW106" s="167" t="n">
        <f aca="false">IF(AW$4&lt;Premissas!$B$13,0,INDEX(Premissas!$C$54:$G$54,AW$7)*MIN(1,MAX(0,(AW$5-Premissas!$B$14+1)/Premissas!$B$15)))</f>
        <v>0.09317</v>
      </c>
      <c r="AX106" s="167" t="n">
        <f aca="false">IF(AX$4&lt;Premissas!$B$13,0,INDEX(Premissas!$C$54:$G$54,AX$7)*MIN(1,MAX(0,(AX$5-Premissas!$B$14+1)/Premissas!$B$15)))</f>
        <v>0.102487</v>
      </c>
      <c r="AY106" s="167" t="n">
        <f aca="false">IF(AY$4&lt;Premissas!$B$13,0,INDEX(Premissas!$C$54:$G$54,AY$7)*MIN(1,MAX(0,(AY$5-Premissas!$B$14+1)/Premissas!$B$15)))</f>
        <v>0.102487</v>
      </c>
      <c r="AZ106" s="167" t="n">
        <f aca="false">IF(AZ$4&lt;Premissas!$B$13,0,INDEX(Premissas!$C$54:$G$54,AZ$7)*MIN(1,MAX(0,(AZ$5-Premissas!$B$14+1)/Premissas!$B$15)))</f>
        <v>0.102487</v>
      </c>
      <c r="BA106" s="167" t="n">
        <f aca="false">IF(BA$4&lt;Premissas!$B$13,0,INDEX(Premissas!$C$54:$G$54,BA$7)*MIN(1,MAX(0,(BA$5-Premissas!$B$14+1)/Premissas!$B$15)))</f>
        <v>0.102487</v>
      </c>
      <c r="BB106" s="167" t="n">
        <f aca="false">IF(BB$4&lt;Premissas!$B$13,0,INDEX(Premissas!$C$54:$G$54,BB$7)*MIN(1,MAX(0,(BB$5-Premissas!$B$14+1)/Premissas!$B$15)))</f>
        <v>0.102487</v>
      </c>
      <c r="BC106" s="167" t="n">
        <f aca="false">IF(BC$4&lt;Premissas!$B$13,0,INDEX(Premissas!$C$54:$G$54,BC$7)*MIN(1,MAX(0,(BC$5-Premissas!$B$14+1)/Premissas!$B$15)))</f>
        <v>0.102487</v>
      </c>
      <c r="BD106" s="167" t="n">
        <f aca="false">IF(BD$4&lt;Premissas!$B$13,0,INDEX(Premissas!$C$54:$G$54,BD$7)*MIN(1,MAX(0,(BD$5-Premissas!$B$14+1)/Premissas!$B$15)))</f>
        <v>0.102487</v>
      </c>
      <c r="BE106" s="167" t="n">
        <f aca="false">IF(BE$4&lt;Premissas!$B$13,0,INDEX(Premissas!$C$54:$G$54,BE$7)*MIN(1,MAX(0,(BE$5-Premissas!$B$14+1)/Premissas!$B$15)))</f>
        <v>0.102487</v>
      </c>
      <c r="BF106" s="167" t="n">
        <f aca="false">IF(BF$4&lt;Premissas!$B$13,0,INDEX(Premissas!$C$54:$G$54,BF$7)*MIN(1,MAX(0,(BF$5-Premissas!$B$14+1)/Premissas!$B$15)))</f>
        <v>0.102487</v>
      </c>
      <c r="BG106" s="167" t="n">
        <f aca="false">IF(BG$4&lt;Premissas!$B$13,0,INDEX(Premissas!$C$54:$G$54,BG$7)*MIN(1,MAX(0,(BG$5-Premissas!$B$14+1)/Premissas!$B$15)))</f>
        <v>0.102487</v>
      </c>
      <c r="BH106" s="167" t="n">
        <f aca="false">IF(BH$4&lt;Premissas!$B$13,0,INDEX(Premissas!$C$54:$G$54,BH$7)*MIN(1,MAX(0,(BH$5-Premissas!$B$14+1)/Premissas!$B$15)))</f>
        <v>0.102487</v>
      </c>
      <c r="BI106" s="167" t="n">
        <f aca="false">IF(BI$4&lt;Premissas!$B$13,0,INDEX(Premissas!$C$54:$G$54,BI$7)*MIN(1,MAX(0,(BI$5-Premissas!$B$14+1)/Premissas!$B$15)))</f>
        <v>0.102487</v>
      </c>
      <c r="BJ106" s="143" t="n">
        <f aca="false">BI106</f>
        <v>0.102487</v>
      </c>
    </row>
    <row r="107" customFormat="false" ht="15" hidden="false" customHeight="false" outlineLevel="0" collapsed="false">
      <c r="A107" s="51" t="s">
        <v>542</v>
      </c>
      <c r="B107" s="157" t="n">
        <f aca="false">ROUND(B105*B106,0)</f>
        <v>0</v>
      </c>
      <c r="C107" s="157" t="n">
        <f aca="false">ROUND(C105*C106,0)</f>
        <v>0</v>
      </c>
      <c r="D107" s="157" t="n">
        <f aca="false">ROUND(D105*D106,0)</f>
        <v>0</v>
      </c>
      <c r="E107" s="157" t="n">
        <f aca="false">ROUND(E105*E106,0)</f>
        <v>0</v>
      </c>
      <c r="F107" s="157" t="n">
        <f aca="false">ROUND(F105*F106,0)</f>
        <v>0</v>
      </c>
      <c r="G107" s="157" t="n">
        <f aca="false">ROUND(G105*G106,0)</f>
        <v>0</v>
      </c>
      <c r="H107" s="157" t="n">
        <f aca="false">ROUND(H105*H106,0)</f>
        <v>0</v>
      </c>
      <c r="I107" s="157" t="n">
        <f aca="false">ROUND(I105*I106,0)</f>
        <v>0</v>
      </c>
      <c r="J107" s="157" t="n">
        <f aca="false">ROUND(J105*J106,0)</f>
        <v>0</v>
      </c>
      <c r="K107" s="157" t="n">
        <f aca="false">ROUND(K105*K106,0)</f>
        <v>296</v>
      </c>
      <c r="L107" s="157" t="n">
        <f aca="false">ROUND(L105*L106,0)</f>
        <v>1147</v>
      </c>
      <c r="M107" s="157" t="n">
        <f aca="false">ROUND(M105*M106,0)</f>
        <v>2504</v>
      </c>
      <c r="N107" s="157" t="n">
        <f aca="false">ROUND(N105*N106,0)</f>
        <v>5551</v>
      </c>
      <c r="O107" s="157" t="n">
        <f aca="false">ROUND(O105*O106,0)</f>
        <v>9158</v>
      </c>
      <c r="P107" s="157" t="n">
        <f aca="false">ROUND(P105*P106,0)</f>
        <v>13505</v>
      </c>
      <c r="Q107" s="157" t="n">
        <f aca="false">ROUND(Q105*Q106,0)</f>
        <v>15881</v>
      </c>
      <c r="R107" s="157" t="n">
        <f aca="false">ROUND(R105*R106,0)</f>
        <v>18126</v>
      </c>
      <c r="S107" s="157" t="n">
        <f aca="false">ROUND(S105*S106,0)</f>
        <v>20248</v>
      </c>
      <c r="T107" s="157" t="n">
        <f aca="false">ROUND(T105*T106,0)</f>
        <v>22252</v>
      </c>
      <c r="U107" s="157" t="n">
        <f aca="false">ROUND(U105*U106,0)</f>
        <v>24145</v>
      </c>
      <c r="V107" s="157" t="n">
        <f aca="false">ROUND(V105*V106,0)</f>
        <v>25934</v>
      </c>
      <c r="W107" s="157" t="n">
        <f aca="false">ROUND(W105*W106,0)</f>
        <v>27625</v>
      </c>
      <c r="X107" s="157" t="n">
        <f aca="false">ROUND(X105*X106,0)</f>
        <v>29222</v>
      </c>
      <c r="Y107" s="157" t="n">
        <f aca="false">ROUND(Y105*Y106,0)</f>
        <v>30731</v>
      </c>
      <c r="Z107" s="157" t="n">
        <f aca="false">ROUND(Z105*Z106,0)</f>
        <v>37582</v>
      </c>
      <c r="AA107" s="157" t="n">
        <f aca="false">ROUND(AA105*AA106,0)</f>
        <v>41168</v>
      </c>
      <c r="AB107" s="157" t="n">
        <f aca="false">ROUND(AB105*AB106,0)</f>
        <v>44571</v>
      </c>
      <c r="AC107" s="157" t="n">
        <f aca="false">ROUND(AC105*AC106,0)</f>
        <v>47802</v>
      </c>
      <c r="AD107" s="157" t="n">
        <f aca="false">ROUND(AD105*AD106,0)</f>
        <v>50869</v>
      </c>
      <c r="AE107" s="157" t="n">
        <f aca="false">ROUND(AE105*AE106,0)</f>
        <v>53781</v>
      </c>
      <c r="AF107" s="157" t="n">
        <f aca="false">ROUND(AF105*AF106,0)</f>
        <v>56544</v>
      </c>
      <c r="AG107" s="157" t="n">
        <f aca="false">ROUND(AG105*AG106,0)</f>
        <v>59167</v>
      </c>
      <c r="AH107" s="157" t="n">
        <f aca="false">ROUND(AH105*AH106,0)</f>
        <v>61657</v>
      </c>
      <c r="AI107" s="157" t="n">
        <f aca="false">ROUND(AI105*AI106,0)</f>
        <v>64020</v>
      </c>
      <c r="AJ107" s="157" t="n">
        <f aca="false">ROUND(AJ105*AJ106,0)</f>
        <v>66263</v>
      </c>
      <c r="AK107" s="157" t="n">
        <f aca="false">ROUND(AK105*AK106,0)</f>
        <v>68393</v>
      </c>
      <c r="AL107" s="157" t="n">
        <f aca="false">ROUND(AL105*AL106,0)</f>
        <v>81387</v>
      </c>
      <c r="AM107" s="157" t="n">
        <f aca="false">ROUND(AM105*AM106,0)</f>
        <v>87255</v>
      </c>
      <c r="AN107" s="157" t="n">
        <f aca="false">ROUND(AN105*AN106,0)</f>
        <v>92849</v>
      </c>
      <c r="AO107" s="157" t="n">
        <f aca="false">ROUND(AO105*AO106,0)</f>
        <v>98181</v>
      </c>
      <c r="AP107" s="157" t="n">
        <f aca="false">ROUND(AP105*AP106,0)</f>
        <v>103264</v>
      </c>
      <c r="AQ107" s="157" t="n">
        <f aca="false">ROUND(AQ105*AQ106,0)</f>
        <v>108110</v>
      </c>
      <c r="AR107" s="157" t="n">
        <f aca="false">ROUND(AR105*AR106,0)</f>
        <v>112730</v>
      </c>
      <c r="AS107" s="157" t="n">
        <f aca="false">ROUND(AS105*AS106,0)</f>
        <v>117133</v>
      </c>
      <c r="AT107" s="157" t="n">
        <f aca="false">ROUND(AT105*AT106,0)</f>
        <v>121331</v>
      </c>
      <c r="AU107" s="157" t="n">
        <f aca="false">ROUND(AU105*AU106,0)</f>
        <v>125332</v>
      </c>
      <c r="AV107" s="157" t="n">
        <f aca="false">ROUND(AV105*AV106,0)</f>
        <v>129147</v>
      </c>
      <c r="AW107" s="157" t="n">
        <f aca="false">ROUND(AW105*AW106,0)</f>
        <v>132784</v>
      </c>
      <c r="AX107" s="157" t="n">
        <f aca="false">ROUND(AX105*AX106,0)</f>
        <v>156803</v>
      </c>
      <c r="AY107" s="157" t="n">
        <f aca="false">ROUND(AY105*AY106,0)</f>
        <v>167083</v>
      </c>
      <c r="AZ107" s="157" t="n">
        <f aca="false">ROUND(AZ105*AZ106,0)</f>
        <v>176921</v>
      </c>
      <c r="BA107" s="157" t="n">
        <f aca="false">ROUND(BA105*BA106,0)</f>
        <v>186336</v>
      </c>
      <c r="BB107" s="157" t="n">
        <f aca="false">ROUND(BB105*BB106,0)</f>
        <v>195347</v>
      </c>
      <c r="BC107" s="157" t="n">
        <f aca="false">ROUND(BC105*BC106,0)</f>
        <v>203970</v>
      </c>
      <c r="BD107" s="157" t="n">
        <f aca="false">ROUND(BD105*BD106,0)</f>
        <v>212222</v>
      </c>
      <c r="BE107" s="157" t="n">
        <f aca="false">ROUND(BE105*BE106,0)</f>
        <v>220120</v>
      </c>
      <c r="BF107" s="157" t="n">
        <f aca="false">ROUND(BF105*BF106,0)</f>
        <v>227678</v>
      </c>
      <c r="BG107" s="157" t="n">
        <f aca="false">ROUND(BG105*BG106,0)</f>
        <v>234912</v>
      </c>
      <c r="BH107" s="157" t="n">
        <f aca="false">ROUND(BH105*BH106,0)</f>
        <v>241834</v>
      </c>
      <c r="BI107" s="157" t="n">
        <f aca="false">ROUND(BI105*BI106,0)</f>
        <v>248459</v>
      </c>
      <c r="BJ107" s="109" t="n">
        <f aca="false">BI107</f>
        <v>248459</v>
      </c>
      <c r="BK107" s="29" t="s">
        <v>571</v>
      </c>
    </row>
    <row r="108" customFormat="false" ht="15" hidden="false" customHeight="false" outlineLevel="0" collapsed="false">
      <c r="A108" s="27" t="s">
        <v>543</v>
      </c>
      <c r="B108" s="108" t="n">
        <f aca="false">ROUND(B107*INDEX(Premissas!$C$34:$G$34,B$7),0)</f>
        <v>0</v>
      </c>
      <c r="C108" s="108" t="n">
        <f aca="false">ROUND(C107*INDEX(Premissas!$C$34:$G$34,C$7),0)</f>
        <v>0</v>
      </c>
      <c r="D108" s="108" t="n">
        <f aca="false">ROUND(D107*INDEX(Premissas!$C$34:$G$34,D$7),0)</f>
        <v>0</v>
      </c>
      <c r="E108" s="108" t="n">
        <f aca="false">ROUND(E107*INDEX(Premissas!$C$34:$G$34,E$7),0)</f>
        <v>0</v>
      </c>
      <c r="F108" s="108" t="n">
        <f aca="false">ROUND(F107*INDEX(Premissas!$C$34:$G$34,F$7),0)</f>
        <v>0</v>
      </c>
      <c r="G108" s="108" t="n">
        <f aca="false">ROUND(G107*INDEX(Premissas!$C$34:$G$34,G$7),0)</f>
        <v>0</v>
      </c>
      <c r="H108" s="108" t="n">
        <f aca="false">ROUND(H107*INDEX(Premissas!$C$34:$G$34,H$7),0)</f>
        <v>0</v>
      </c>
      <c r="I108" s="108" t="n">
        <f aca="false">ROUND(I107*INDEX(Premissas!$C$34:$G$34,I$7),0)</f>
        <v>0</v>
      </c>
      <c r="J108" s="108" t="n">
        <f aca="false">ROUND(J107*INDEX(Premissas!$C$34:$G$34,J$7),0)</f>
        <v>0</v>
      </c>
      <c r="K108" s="108" t="n">
        <f aca="false">ROUND(K107*INDEX(Premissas!$C$34:$G$34,K$7),0)</f>
        <v>222</v>
      </c>
      <c r="L108" s="108" t="n">
        <f aca="false">ROUND(L107*INDEX(Premissas!$C$34:$G$34,L$7),0)</f>
        <v>860</v>
      </c>
      <c r="M108" s="108" t="n">
        <f aca="false">ROUND(M107*INDEX(Premissas!$C$34:$G$34,M$7),0)</f>
        <v>1878</v>
      </c>
      <c r="N108" s="108" t="n">
        <f aca="false">ROUND(N107*INDEX(Premissas!$C$34:$G$34,N$7),0)</f>
        <v>3997</v>
      </c>
      <c r="O108" s="108" t="n">
        <f aca="false">ROUND(O107*INDEX(Premissas!$C$34:$G$34,O$7),0)</f>
        <v>6594</v>
      </c>
      <c r="P108" s="108" t="n">
        <f aca="false">ROUND(P107*INDEX(Premissas!$C$34:$G$34,P$7),0)</f>
        <v>9724</v>
      </c>
      <c r="Q108" s="108" t="n">
        <f aca="false">ROUND(Q107*INDEX(Premissas!$C$34:$G$34,Q$7),0)</f>
        <v>11434</v>
      </c>
      <c r="R108" s="108" t="n">
        <f aca="false">ROUND(R107*INDEX(Premissas!$C$34:$G$34,R$7),0)</f>
        <v>13051</v>
      </c>
      <c r="S108" s="108" t="n">
        <f aca="false">ROUND(S107*INDEX(Premissas!$C$34:$G$34,S$7),0)</f>
        <v>14579</v>
      </c>
      <c r="T108" s="108" t="n">
        <f aca="false">ROUND(T107*INDEX(Premissas!$C$34:$G$34,T$7),0)</f>
        <v>16021</v>
      </c>
      <c r="U108" s="108" t="n">
        <f aca="false">ROUND(U107*INDEX(Premissas!$C$34:$G$34,U$7),0)</f>
        <v>17384</v>
      </c>
      <c r="V108" s="108" t="n">
        <f aca="false">ROUND(V107*INDEX(Premissas!$C$34:$G$34,V$7),0)</f>
        <v>18672</v>
      </c>
      <c r="W108" s="108" t="n">
        <f aca="false">ROUND(W107*INDEX(Premissas!$C$34:$G$34,W$7),0)</f>
        <v>19890</v>
      </c>
      <c r="X108" s="108" t="n">
        <f aca="false">ROUND(X107*INDEX(Premissas!$C$34:$G$34,X$7),0)</f>
        <v>21040</v>
      </c>
      <c r="Y108" s="108" t="n">
        <f aca="false">ROUND(Y107*INDEX(Premissas!$C$34:$G$34,Y$7),0)</f>
        <v>22126</v>
      </c>
      <c r="Z108" s="108" t="n">
        <f aca="false">ROUND(Z107*INDEX(Premissas!$C$34:$G$34,Z$7),0)</f>
        <v>25556</v>
      </c>
      <c r="AA108" s="108" t="n">
        <f aca="false">ROUND(AA107*INDEX(Premissas!$C$34:$G$34,AA$7),0)</f>
        <v>27994</v>
      </c>
      <c r="AB108" s="108" t="n">
        <f aca="false">ROUND(AB107*INDEX(Premissas!$C$34:$G$34,AB$7),0)</f>
        <v>30308</v>
      </c>
      <c r="AC108" s="108" t="n">
        <f aca="false">ROUND(AC107*INDEX(Premissas!$C$34:$G$34,AC$7),0)</f>
        <v>32505</v>
      </c>
      <c r="AD108" s="108" t="n">
        <f aca="false">ROUND(AD107*INDEX(Premissas!$C$34:$G$34,AD$7),0)</f>
        <v>34591</v>
      </c>
      <c r="AE108" s="108" t="n">
        <f aca="false">ROUND(AE107*INDEX(Premissas!$C$34:$G$34,AE$7),0)</f>
        <v>36571</v>
      </c>
      <c r="AF108" s="108" t="n">
        <f aca="false">ROUND(AF107*INDEX(Premissas!$C$34:$G$34,AF$7),0)</f>
        <v>38450</v>
      </c>
      <c r="AG108" s="108" t="n">
        <f aca="false">ROUND(AG107*INDEX(Premissas!$C$34:$G$34,AG$7),0)</f>
        <v>40234</v>
      </c>
      <c r="AH108" s="108" t="n">
        <f aca="false">ROUND(AH107*INDEX(Premissas!$C$34:$G$34,AH$7),0)</f>
        <v>41927</v>
      </c>
      <c r="AI108" s="108" t="n">
        <f aca="false">ROUND(AI107*INDEX(Premissas!$C$34:$G$34,AI$7),0)</f>
        <v>43534</v>
      </c>
      <c r="AJ108" s="108" t="n">
        <f aca="false">ROUND(AJ107*INDEX(Premissas!$C$34:$G$34,AJ$7),0)</f>
        <v>45059</v>
      </c>
      <c r="AK108" s="108" t="n">
        <f aca="false">ROUND(AK107*INDEX(Premissas!$C$34:$G$34,AK$7),0)</f>
        <v>46507</v>
      </c>
      <c r="AL108" s="108" t="n">
        <f aca="false">ROUND(AL107*INDEX(Premissas!$C$34:$G$34,AL$7),0)</f>
        <v>52088</v>
      </c>
      <c r="AM108" s="108" t="n">
        <f aca="false">ROUND(AM107*INDEX(Premissas!$C$34:$G$34,AM$7),0)</f>
        <v>55843</v>
      </c>
      <c r="AN108" s="108" t="n">
        <f aca="false">ROUND(AN107*INDEX(Premissas!$C$34:$G$34,AN$7),0)</f>
        <v>59423</v>
      </c>
      <c r="AO108" s="108" t="n">
        <f aca="false">ROUND(AO107*INDEX(Premissas!$C$34:$G$34,AO$7),0)</f>
        <v>62836</v>
      </c>
      <c r="AP108" s="108" t="n">
        <f aca="false">ROUND(AP107*INDEX(Premissas!$C$34:$G$34,AP$7),0)</f>
        <v>66089</v>
      </c>
      <c r="AQ108" s="108" t="n">
        <f aca="false">ROUND(AQ107*INDEX(Premissas!$C$34:$G$34,AQ$7),0)</f>
        <v>69190</v>
      </c>
      <c r="AR108" s="108" t="n">
        <f aca="false">ROUND(AR107*INDEX(Premissas!$C$34:$G$34,AR$7),0)</f>
        <v>72147</v>
      </c>
      <c r="AS108" s="108" t="n">
        <f aca="false">ROUND(AS107*INDEX(Premissas!$C$34:$G$34,AS$7),0)</f>
        <v>74965</v>
      </c>
      <c r="AT108" s="108" t="n">
        <f aca="false">ROUND(AT107*INDEX(Premissas!$C$34:$G$34,AT$7),0)</f>
        <v>77652</v>
      </c>
      <c r="AU108" s="108" t="n">
        <f aca="false">ROUND(AU107*INDEX(Premissas!$C$34:$G$34,AU$7),0)</f>
        <v>80212</v>
      </c>
      <c r="AV108" s="108" t="n">
        <f aca="false">ROUND(AV107*INDEX(Premissas!$C$34:$G$34,AV$7),0)</f>
        <v>82654</v>
      </c>
      <c r="AW108" s="108" t="n">
        <f aca="false">ROUND(AW107*INDEX(Premissas!$C$34:$G$34,AW$7),0)</f>
        <v>84982</v>
      </c>
      <c r="AX108" s="108" t="n">
        <f aca="false">ROUND(AX107*INDEX(Premissas!$C$34:$G$34,AX$7),0)</f>
        <v>94082</v>
      </c>
      <c r="AY108" s="108" t="n">
        <f aca="false">ROUND(AY107*INDEX(Premissas!$C$34:$G$34,AY$7),0)</f>
        <v>100250</v>
      </c>
      <c r="AZ108" s="108" t="n">
        <f aca="false">ROUND(AZ107*INDEX(Premissas!$C$34:$G$34,AZ$7),0)</f>
        <v>106153</v>
      </c>
      <c r="BA108" s="108" t="n">
        <f aca="false">ROUND(BA107*INDEX(Premissas!$C$34:$G$34,BA$7),0)</f>
        <v>111802</v>
      </c>
      <c r="BB108" s="108" t="n">
        <f aca="false">ROUND(BB107*INDEX(Premissas!$C$34:$G$34,BB$7),0)</f>
        <v>117208</v>
      </c>
      <c r="BC108" s="108" t="n">
        <f aca="false">ROUND(BC107*INDEX(Premissas!$C$34:$G$34,BC$7),0)</f>
        <v>122382</v>
      </c>
      <c r="BD108" s="108" t="n">
        <f aca="false">ROUND(BD107*INDEX(Premissas!$C$34:$G$34,BD$7),0)</f>
        <v>127333</v>
      </c>
      <c r="BE108" s="108" t="n">
        <f aca="false">ROUND(BE107*INDEX(Premissas!$C$34:$G$34,BE$7),0)</f>
        <v>132072</v>
      </c>
      <c r="BF108" s="108" t="n">
        <f aca="false">ROUND(BF107*INDEX(Premissas!$C$34:$G$34,BF$7),0)</f>
        <v>136607</v>
      </c>
      <c r="BG108" s="108" t="n">
        <f aca="false">ROUND(BG107*INDEX(Premissas!$C$34:$G$34,BG$7),0)</f>
        <v>140947</v>
      </c>
      <c r="BH108" s="108" t="n">
        <f aca="false">ROUND(BH107*INDEX(Premissas!$C$34:$G$34,BH$7),0)</f>
        <v>145100</v>
      </c>
      <c r="BI108" s="108" t="n">
        <f aca="false">ROUND(BI107*INDEX(Premissas!$C$34:$G$34,BI$7),0)</f>
        <v>149075</v>
      </c>
      <c r="BJ108" s="109" t="n">
        <f aca="false">BI108</f>
        <v>149075</v>
      </c>
      <c r="BK108" s="29" t="s">
        <v>571</v>
      </c>
    </row>
    <row r="109" customFormat="false" ht="15" hidden="false" customHeight="false" outlineLevel="0" collapsed="false">
      <c r="A109" s="27" t="s">
        <v>544</v>
      </c>
      <c r="B109" s="108" t="n">
        <f aca="false">ROUND(B107*INDEX(Premissas!$C$35:$G$35,B$7),0)</f>
        <v>0</v>
      </c>
      <c r="C109" s="108" t="n">
        <f aca="false">ROUND(C107*INDEX(Premissas!$C$35:$G$35,C$7),0)</f>
        <v>0</v>
      </c>
      <c r="D109" s="108" t="n">
        <f aca="false">ROUND(D107*INDEX(Premissas!$C$35:$G$35,D$7),0)</f>
        <v>0</v>
      </c>
      <c r="E109" s="108" t="n">
        <f aca="false">ROUND(E107*INDEX(Premissas!$C$35:$G$35,E$7),0)</f>
        <v>0</v>
      </c>
      <c r="F109" s="108" t="n">
        <f aca="false">ROUND(F107*INDEX(Premissas!$C$35:$G$35,F$7),0)</f>
        <v>0</v>
      </c>
      <c r="G109" s="108" t="n">
        <f aca="false">ROUND(G107*INDEX(Premissas!$C$35:$G$35,G$7),0)</f>
        <v>0</v>
      </c>
      <c r="H109" s="108" t="n">
        <f aca="false">ROUND(H107*INDEX(Premissas!$C$35:$G$35,H$7),0)</f>
        <v>0</v>
      </c>
      <c r="I109" s="108" t="n">
        <f aca="false">ROUND(I107*INDEX(Premissas!$C$35:$G$35,I$7),0)</f>
        <v>0</v>
      </c>
      <c r="J109" s="108" t="n">
        <f aca="false">ROUND(J107*INDEX(Premissas!$C$35:$G$35,J$7),0)</f>
        <v>0</v>
      </c>
      <c r="K109" s="108" t="n">
        <f aca="false">ROUND(K107*INDEX(Premissas!$C$35:$G$35,K$7),0)</f>
        <v>59</v>
      </c>
      <c r="L109" s="108" t="n">
        <f aca="false">ROUND(L107*INDEX(Premissas!$C$35:$G$35,L$7),0)</f>
        <v>229</v>
      </c>
      <c r="M109" s="108" t="n">
        <f aca="false">ROUND(M107*INDEX(Premissas!$C$35:$G$35,M$7),0)</f>
        <v>501</v>
      </c>
      <c r="N109" s="108" t="n">
        <f aca="false">ROUND(N107*INDEX(Premissas!$C$35:$G$35,N$7),0)</f>
        <v>1221</v>
      </c>
      <c r="O109" s="108" t="n">
        <f aca="false">ROUND(O107*INDEX(Premissas!$C$35:$G$35,O$7),0)</f>
        <v>2015</v>
      </c>
      <c r="P109" s="108" t="n">
        <f aca="false">ROUND(P107*INDEX(Premissas!$C$35:$G$35,P$7),0)</f>
        <v>2971</v>
      </c>
      <c r="Q109" s="108" t="n">
        <f aca="false">ROUND(Q107*INDEX(Premissas!$C$35:$G$35,Q$7),0)</f>
        <v>3494</v>
      </c>
      <c r="R109" s="108" t="n">
        <f aca="false">ROUND(R107*INDEX(Premissas!$C$35:$G$35,R$7),0)</f>
        <v>3988</v>
      </c>
      <c r="S109" s="108" t="n">
        <f aca="false">ROUND(S107*INDEX(Premissas!$C$35:$G$35,S$7),0)</f>
        <v>4455</v>
      </c>
      <c r="T109" s="108" t="n">
        <f aca="false">ROUND(T107*INDEX(Premissas!$C$35:$G$35,T$7),0)</f>
        <v>4895</v>
      </c>
      <c r="U109" s="108" t="n">
        <f aca="false">ROUND(U107*INDEX(Premissas!$C$35:$G$35,U$7),0)</f>
        <v>5312</v>
      </c>
      <c r="V109" s="108" t="n">
        <f aca="false">ROUND(V107*INDEX(Premissas!$C$35:$G$35,V$7),0)</f>
        <v>5705</v>
      </c>
      <c r="W109" s="108" t="n">
        <f aca="false">ROUND(W107*INDEX(Premissas!$C$35:$G$35,W$7),0)</f>
        <v>6078</v>
      </c>
      <c r="X109" s="108" t="n">
        <f aca="false">ROUND(X107*INDEX(Premissas!$C$35:$G$35,X$7),0)</f>
        <v>6429</v>
      </c>
      <c r="Y109" s="108" t="n">
        <f aca="false">ROUND(Y107*INDEX(Premissas!$C$35:$G$35,Y$7),0)</f>
        <v>6761</v>
      </c>
      <c r="Z109" s="108" t="n">
        <f aca="false">ROUND(Z107*INDEX(Premissas!$C$35:$G$35,Z$7),0)</f>
        <v>9020</v>
      </c>
      <c r="AA109" s="108" t="n">
        <f aca="false">ROUND(AA107*INDEX(Premissas!$C$35:$G$35,AA$7),0)</f>
        <v>9880</v>
      </c>
      <c r="AB109" s="108" t="n">
        <f aca="false">ROUND(AB107*INDEX(Premissas!$C$35:$G$35,AB$7),0)</f>
        <v>10697</v>
      </c>
      <c r="AC109" s="108" t="n">
        <f aca="false">ROUND(AC107*INDEX(Premissas!$C$35:$G$35,AC$7),0)</f>
        <v>11472</v>
      </c>
      <c r="AD109" s="108" t="n">
        <f aca="false">ROUND(AD107*INDEX(Premissas!$C$35:$G$35,AD$7),0)</f>
        <v>12209</v>
      </c>
      <c r="AE109" s="108" t="n">
        <f aca="false">ROUND(AE107*INDEX(Premissas!$C$35:$G$35,AE$7),0)</f>
        <v>12907</v>
      </c>
      <c r="AF109" s="108" t="n">
        <f aca="false">ROUND(AF107*INDEX(Premissas!$C$35:$G$35,AF$7),0)</f>
        <v>13571</v>
      </c>
      <c r="AG109" s="108" t="n">
        <f aca="false">ROUND(AG107*INDEX(Premissas!$C$35:$G$35,AG$7),0)</f>
        <v>14200</v>
      </c>
      <c r="AH109" s="108" t="n">
        <f aca="false">ROUND(AH107*INDEX(Premissas!$C$35:$G$35,AH$7),0)</f>
        <v>14798</v>
      </c>
      <c r="AI109" s="108" t="n">
        <f aca="false">ROUND(AI107*INDEX(Premissas!$C$35:$G$35,AI$7),0)</f>
        <v>15365</v>
      </c>
      <c r="AJ109" s="108" t="n">
        <f aca="false">ROUND(AJ107*INDEX(Premissas!$C$35:$G$35,AJ$7),0)</f>
        <v>15903</v>
      </c>
      <c r="AK109" s="108" t="n">
        <f aca="false">ROUND(AK107*INDEX(Premissas!$C$35:$G$35,AK$7),0)</f>
        <v>16414</v>
      </c>
      <c r="AL109" s="108" t="n">
        <f aca="false">ROUND(AL107*INDEX(Premissas!$C$35:$G$35,AL$7),0)</f>
        <v>21161</v>
      </c>
      <c r="AM109" s="108" t="n">
        <f aca="false">ROUND(AM107*INDEX(Premissas!$C$35:$G$35,AM$7),0)</f>
        <v>22686</v>
      </c>
      <c r="AN109" s="108" t="n">
        <f aca="false">ROUND(AN107*INDEX(Premissas!$C$35:$G$35,AN$7),0)</f>
        <v>24141</v>
      </c>
      <c r="AO109" s="108" t="n">
        <f aca="false">ROUND(AO107*INDEX(Premissas!$C$35:$G$35,AO$7),0)</f>
        <v>25527</v>
      </c>
      <c r="AP109" s="108" t="n">
        <f aca="false">ROUND(AP107*INDEX(Premissas!$C$35:$G$35,AP$7),0)</f>
        <v>26849</v>
      </c>
      <c r="AQ109" s="108" t="n">
        <f aca="false">ROUND(AQ107*INDEX(Premissas!$C$35:$G$35,AQ$7),0)</f>
        <v>28109</v>
      </c>
      <c r="AR109" s="108" t="n">
        <f aca="false">ROUND(AR107*INDEX(Premissas!$C$35:$G$35,AR$7),0)</f>
        <v>29310</v>
      </c>
      <c r="AS109" s="108" t="n">
        <f aca="false">ROUND(AS107*INDEX(Premissas!$C$35:$G$35,AS$7),0)</f>
        <v>30455</v>
      </c>
      <c r="AT109" s="108" t="n">
        <f aca="false">ROUND(AT107*INDEX(Premissas!$C$35:$G$35,AT$7),0)</f>
        <v>31546</v>
      </c>
      <c r="AU109" s="108" t="n">
        <f aca="false">ROUND(AU107*INDEX(Premissas!$C$35:$G$35,AU$7),0)</f>
        <v>32586</v>
      </c>
      <c r="AV109" s="108" t="n">
        <f aca="false">ROUND(AV107*INDEX(Premissas!$C$35:$G$35,AV$7),0)</f>
        <v>33578</v>
      </c>
      <c r="AW109" s="108" t="n">
        <f aca="false">ROUND(AW107*INDEX(Premissas!$C$35:$G$35,AW$7),0)</f>
        <v>34524</v>
      </c>
      <c r="AX109" s="108" t="n">
        <f aca="false">ROUND(AX107*INDEX(Premissas!$C$35:$G$35,AX$7),0)</f>
        <v>43905</v>
      </c>
      <c r="AY109" s="108" t="n">
        <f aca="false">ROUND(AY107*INDEX(Premissas!$C$35:$G$35,AY$7),0)</f>
        <v>46783</v>
      </c>
      <c r="AZ109" s="108" t="n">
        <f aca="false">ROUND(AZ107*INDEX(Premissas!$C$35:$G$35,AZ$7),0)</f>
        <v>49538</v>
      </c>
      <c r="BA109" s="108" t="n">
        <f aca="false">ROUND(BA107*INDEX(Premissas!$C$35:$G$35,BA$7),0)</f>
        <v>52174</v>
      </c>
      <c r="BB109" s="108" t="n">
        <f aca="false">ROUND(BB107*INDEX(Premissas!$C$35:$G$35,BB$7),0)</f>
        <v>54697</v>
      </c>
      <c r="BC109" s="108" t="n">
        <f aca="false">ROUND(BC107*INDEX(Premissas!$C$35:$G$35,BC$7),0)</f>
        <v>57112</v>
      </c>
      <c r="BD109" s="108" t="n">
        <f aca="false">ROUND(BD107*INDEX(Premissas!$C$35:$G$35,BD$7),0)</f>
        <v>59422</v>
      </c>
      <c r="BE109" s="108" t="n">
        <f aca="false">ROUND(BE107*INDEX(Premissas!$C$35:$G$35,BE$7),0)</f>
        <v>61634</v>
      </c>
      <c r="BF109" s="108" t="n">
        <f aca="false">ROUND(BF107*INDEX(Premissas!$C$35:$G$35,BF$7),0)</f>
        <v>63750</v>
      </c>
      <c r="BG109" s="108" t="n">
        <f aca="false">ROUND(BG107*INDEX(Premissas!$C$35:$G$35,BG$7),0)</f>
        <v>65775</v>
      </c>
      <c r="BH109" s="108" t="n">
        <f aca="false">ROUND(BH107*INDEX(Premissas!$C$35:$G$35,BH$7),0)</f>
        <v>67714</v>
      </c>
      <c r="BI109" s="108" t="n">
        <f aca="false">ROUND(BI107*INDEX(Premissas!$C$35:$G$35,BI$7),0)</f>
        <v>69569</v>
      </c>
      <c r="BJ109" s="109" t="n">
        <f aca="false">BI109</f>
        <v>69569</v>
      </c>
      <c r="BK109" s="29" t="s">
        <v>571</v>
      </c>
    </row>
    <row r="110" customFormat="false" ht="15" hidden="false" customHeight="false" outlineLevel="0" collapsed="false">
      <c r="A110" s="27" t="s">
        <v>545</v>
      </c>
      <c r="B110" s="108" t="n">
        <f aca="false">B107-B108-B109</f>
        <v>0</v>
      </c>
      <c r="C110" s="108" t="n">
        <f aca="false">C107-C108-C109</f>
        <v>0</v>
      </c>
      <c r="D110" s="108" t="n">
        <f aca="false">D107-D108-D109</f>
        <v>0</v>
      </c>
      <c r="E110" s="108" t="n">
        <f aca="false">E107-E108-E109</f>
        <v>0</v>
      </c>
      <c r="F110" s="108" t="n">
        <f aca="false">F107-F108-F109</f>
        <v>0</v>
      </c>
      <c r="G110" s="108" t="n">
        <f aca="false">G107-G108-G109</f>
        <v>0</v>
      </c>
      <c r="H110" s="108" t="n">
        <f aca="false">H107-H108-H109</f>
        <v>0</v>
      </c>
      <c r="I110" s="108" t="n">
        <f aca="false">I107-I108-I109</f>
        <v>0</v>
      </c>
      <c r="J110" s="108" t="n">
        <f aca="false">J107-J108-J109</f>
        <v>0</v>
      </c>
      <c r="K110" s="108" t="n">
        <f aca="false">K107-K108-K109</f>
        <v>15</v>
      </c>
      <c r="L110" s="108" t="n">
        <f aca="false">L107-L108-L109</f>
        <v>58</v>
      </c>
      <c r="M110" s="108" t="n">
        <f aca="false">M107-M108-M109</f>
        <v>125</v>
      </c>
      <c r="N110" s="108" t="n">
        <f aca="false">N107-N108-N109</f>
        <v>333</v>
      </c>
      <c r="O110" s="108" t="n">
        <f aca="false">O107-O108-O109</f>
        <v>549</v>
      </c>
      <c r="P110" s="108" t="n">
        <f aca="false">P107-P108-P109</f>
        <v>810</v>
      </c>
      <c r="Q110" s="108" t="n">
        <f aca="false">Q107-Q108-Q109</f>
        <v>953</v>
      </c>
      <c r="R110" s="108" t="n">
        <f aca="false">R107-R108-R109</f>
        <v>1087</v>
      </c>
      <c r="S110" s="108" t="n">
        <f aca="false">S107-S108-S109</f>
        <v>1214</v>
      </c>
      <c r="T110" s="108" t="n">
        <f aca="false">T107-T108-T109</f>
        <v>1336</v>
      </c>
      <c r="U110" s="108" t="n">
        <f aca="false">U107-U108-U109</f>
        <v>1449</v>
      </c>
      <c r="V110" s="108" t="n">
        <f aca="false">V107-V108-V109</f>
        <v>1557</v>
      </c>
      <c r="W110" s="108" t="n">
        <f aca="false">W107-W108-W109</f>
        <v>1657</v>
      </c>
      <c r="X110" s="108" t="n">
        <f aca="false">X107-X108-X109</f>
        <v>1753</v>
      </c>
      <c r="Y110" s="108" t="n">
        <f aca="false">Y107-Y108-Y109</f>
        <v>1844</v>
      </c>
      <c r="Z110" s="108" t="n">
        <f aca="false">Z107-Z108-Z109</f>
        <v>3006</v>
      </c>
      <c r="AA110" s="108" t="n">
        <f aca="false">AA107-AA108-AA109</f>
        <v>3294</v>
      </c>
      <c r="AB110" s="108" t="n">
        <f aca="false">AB107-AB108-AB109</f>
        <v>3566</v>
      </c>
      <c r="AC110" s="108" t="n">
        <f aca="false">AC107-AC108-AC109</f>
        <v>3825</v>
      </c>
      <c r="AD110" s="108" t="n">
        <f aca="false">AD107-AD108-AD109</f>
        <v>4069</v>
      </c>
      <c r="AE110" s="108" t="n">
        <f aca="false">AE107-AE108-AE109</f>
        <v>4303</v>
      </c>
      <c r="AF110" s="108" t="n">
        <f aca="false">AF107-AF108-AF109</f>
        <v>4523</v>
      </c>
      <c r="AG110" s="108" t="n">
        <f aca="false">AG107-AG108-AG109</f>
        <v>4733</v>
      </c>
      <c r="AH110" s="108" t="n">
        <f aca="false">AH107-AH108-AH109</f>
        <v>4932</v>
      </c>
      <c r="AI110" s="108" t="n">
        <f aca="false">AI107-AI108-AI109</f>
        <v>5121</v>
      </c>
      <c r="AJ110" s="108" t="n">
        <f aca="false">AJ107-AJ108-AJ109</f>
        <v>5301</v>
      </c>
      <c r="AK110" s="108" t="n">
        <f aca="false">AK107-AK108-AK109</f>
        <v>5472</v>
      </c>
      <c r="AL110" s="108" t="n">
        <f aca="false">AL107-AL108-AL109</f>
        <v>8138</v>
      </c>
      <c r="AM110" s="108" t="n">
        <f aca="false">AM107-AM108-AM109</f>
        <v>8726</v>
      </c>
      <c r="AN110" s="108" t="n">
        <f aca="false">AN107-AN108-AN109</f>
        <v>9285</v>
      </c>
      <c r="AO110" s="108" t="n">
        <f aca="false">AO107-AO108-AO109</f>
        <v>9818</v>
      </c>
      <c r="AP110" s="108" t="n">
        <f aca="false">AP107-AP108-AP109</f>
        <v>10326</v>
      </c>
      <c r="AQ110" s="108" t="n">
        <f aca="false">AQ107-AQ108-AQ109</f>
        <v>10811</v>
      </c>
      <c r="AR110" s="108" t="n">
        <f aca="false">AR107-AR108-AR109</f>
        <v>11273</v>
      </c>
      <c r="AS110" s="108" t="n">
        <f aca="false">AS107-AS108-AS109</f>
        <v>11713</v>
      </c>
      <c r="AT110" s="108" t="n">
        <f aca="false">AT107-AT108-AT109</f>
        <v>12133</v>
      </c>
      <c r="AU110" s="108" t="n">
        <f aca="false">AU107-AU108-AU109</f>
        <v>12534</v>
      </c>
      <c r="AV110" s="108" t="n">
        <f aca="false">AV107-AV108-AV109</f>
        <v>12915</v>
      </c>
      <c r="AW110" s="108" t="n">
        <f aca="false">AW107-AW108-AW109</f>
        <v>13278</v>
      </c>
      <c r="AX110" s="108" t="n">
        <f aca="false">AX107-AX108-AX109</f>
        <v>18816</v>
      </c>
      <c r="AY110" s="108" t="n">
        <f aca="false">AY107-AY108-AY109</f>
        <v>20050</v>
      </c>
      <c r="AZ110" s="108" t="n">
        <f aca="false">AZ107-AZ108-AZ109</f>
        <v>21230</v>
      </c>
      <c r="BA110" s="108" t="n">
        <f aca="false">BA107-BA108-BA109</f>
        <v>22360</v>
      </c>
      <c r="BB110" s="108" t="n">
        <f aca="false">BB107-BB108-BB109</f>
        <v>23442</v>
      </c>
      <c r="BC110" s="108" t="n">
        <f aca="false">BC107-BC108-BC109</f>
        <v>24476</v>
      </c>
      <c r="BD110" s="108" t="n">
        <f aca="false">BD107-BD108-BD109</f>
        <v>25467</v>
      </c>
      <c r="BE110" s="108" t="n">
        <f aca="false">BE107-BE108-BE109</f>
        <v>26414</v>
      </c>
      <c r="BF110" s="108" t="n">
        <f aca="false">BF107-BF108-BF109</f>
        <v>27321</v>
      </c>
      <c r="BG110" s="108" t="n">
        <f aca="false">BG107-BG108-BG109</f>
        <v>28190</v>
      </c>
      <c r="BH110" s="108" t="n">
        <f aca="false">BH107-BH108-BH109</f>
        <v>29020</v>
      </c>
      <c r="BI110" s="108" t="n">
        <f aca="false">BI107-BI108-BI109</f>
        <v>29815</v>
      </c>
      <c r="BJ110" s="109" t="n">
        <f aca="false">BI110</f>
        <v>29815</v>
      </c>
      <c r="BK110" s="29" t="s">
        <v>571</v>
      </c>
    </row>
    <row r="111" customFormat="false" ht="15" hidden="false" customHeight="false" outlineLevel="0" collapsed="false">
      <c r="A111" s="27" t="s">
        <v>573</v>
      </c>
      <c r="B111" s="110" t="n">
        <f aca="false">B108*Premissas!$B$29*(1+Premissas!$B$32)^(B$6-2026)</f>
        <v>0</v>
      </c>
      <c r="C111" s="110" t="n">
        <f aca="false">C108*Premissas!$B$29*(1+Premissas!$B$32)^(C$6-2026)</f>
        <v>0</v>
      </c>
      <c r="D111" s="110" t="n">
        <f aca="false">D108*Premissas!$B$29*(1+Premissas!$B$32)^(D$6-2026)</f>
        <v>0</v>
      </c>
      <c r="E111" s="110" t="n">
        <f aca="false">E108*Premissas!$B$29*(1+Premissas!$B$32)^(E$6-2026)</f>
        <v>0</v>
      </c>
      <c r="F111" s="110" t="n">
        <f aca="false">F108*Premissas!$B$29*(1+Premissas!$B$32)^(F$6-2026)</f>
        <v>0</v>
      </c>
      <c r="G111" s="110" t="n">
        <f aca="false">G108*Premissas!$B$29*(1+Premissas!$B$32)^(G$6-2026)</f>
        <v>0</v>
      </c>
      <c r="H111" s="110" t="n">
        <f aca="false">H108*Premissas!$B$29*(1+Premissas!$B$32)^(H$6-2026)</f>
        <v>0</v>
      </c>
      <c r="I111" s="110" t="n">
        <f aca="false">I108*Premissas!$B$29*(1+Premissas!$B$32)^(I$6-2026)</f>
        <v>0</v>
      </c>
      <c r="J111" s="110" t="n">
        <f aca="false">J108*Premissas!$B$29*(1+Premissas!$B$32)^(J$6-2026)</f>
        <v>0</v>
      </c>
      <c r="K111" s="110" t="n">
        <f aca="false">K108*Premissas!$B$29*(1+Premissas!$B$32)^(K$6-2026)</f>
        <v>4417.8</v>
      </c>
      <c r="L111" s="110" t="n">
        <f aca="false">L108*Premissas!$B$29*(1+Premissas!$B$32)^(L$6-2026)</f>
        <v>17114</v>
      </c>
      <c r="M111" s="110" t="n">
        <f aca="false">M108*Premissas!$B$29*(1+Premissas!$B$32)^(M$6-2026)</f>
        <v>37372.2</v>
      </c>
      <c r="N111" s="110" t="n">
        <f aca="false">N108*Premissas!$B$29*(1+Premissas!$B$32)^(N$6-2026)</f>
        <v>83119.6135</v>
      </c>
      <c r="O111" s="110" t="n">
        <f aca="false">O108*Premissas!$B$29*(1+Premissas!$B$32)^(O$6-2026)</f>
        <v>137125.527</v>
      </c>
      <c r="P111" s="110" t="n">
        <f aca="false">P108*Premissas!$B$29*(1+Premissas!$B$32)^(P$6-2026)</f>
        <v>202215.442</v>
      </c>
      <c r="Q111" s="110" t="n">
        <f aca="false">Q108*Premissas!$B$29*(1+Premissas!$B$32)^(Q$6-2026)</f>
        <v>237775.747</v>
      </c>
      <c r="R111" s="110" t="n">
        <f aca="false">R108*Premissas!$B$29*(1+Premissas!$B$32)^(R$6-2026)</f>
        <v>271402.0705</v>
      </c>
      <c r="S111" s="110" t="n">
        <f aca="false">S108*Premissas!$B$29*(1+Premissas!$B$32)^(S$6-2026)</f>
        <v>303177.5945</v>
      </c>
      <c r="T111" s="110" t="n">
        <f aca="false">T108*Premissas!$B$29*(1+Premissas!$B$32)^(T$6-2026)</f>
        <v>333164.7055</v>
      </c>
      <c r="U111" s="110" t="n">
        <f aca="false">U108*Premissas!$B$29*(1+Premissas!$B$32)^(U$6-2026)</f>
        <v>361508.972</v>
      </c>
      <c r="V111" s="110" t="n">
        <f aca="false">V108*Premissas!$B$29*(1+Premissas!$B$32)^(V$6-2026)</f>
        <v>388293.576</v>
      </c>
      <c r="W111" s="110" t="n">
        <f aca="false">W108*Premissas!$B$29*(1+Premissas!$B$32)^(W$6-2026)</f>
        <v>413622.495</v>
      </c>
      <c r="X111" s="110" t="n">
        <f aca="false">X108*Premissas!$B$29*(1+Premissas!$B$32)^(X$6-2026)</f>
        <v>437537.32</v>
      </c>
      <c r="Y111" s="110" t="n">
        <f aca="false">Y108*Premissas!$B$29*(1+Premissas!$B$32)^(Y$6-2026)</f>
        <v>460121.233</v>
      </c>
      <c r="Z111" s="110" t="n">
        <f aca="false">Z108*Premissas!$B$29*(1+Premissas!$B$32)^(Z$6-2026)</f>
        <v>555365.03891</v>
      </c>
      <c r="AA111" s="110" t="n">
        <f aca="false">AA108*Premissas!$B$29*(1+Premissas!$B$32)^(AA$6-2026)</f>
        <v>608345.942215</v>
      </c>
      <c r="AB111" s="110" t="n">
        <f aca="false">AB108*Premissas!$B$29*(1+Premissas!$B$32)^(AB$6-2026)</f>
        <v>658632.16463</v>
      </c>
      <c r="AC111" s="110" t="n">
        <f aca="false">AC108*Premissas!$B$29*(1+Premissas!$B$32)^(AC$6-2026)</f>
        <v>706375.8252375</v>
      </c>
      <c r="AD111" s="110" t="n">
        <f aca="false">AD108*Premissas!$B$29*(1+Premissas!$B$32)^(AD$6-2026)</f>
        <v>751707.3118225</v>
      </c>
      <c r="AE111" s="110" t="n">
        <f aca="false">AE108*Premissas!$B$29*(1+Premissas!$B$32)^(AE$6-2026)</f>
        <v>794735.2808725</v>
      </c>
      <c r="AF111" s="110" t="n">
        <f aca="false">AF108*Premissas!$B$29*(1+Premissas!$B$32)^(AF$6-2026)</f>
        <v>835568.388875</v>
      </c>
      <c r="AG111" s="110" t="n">
        <f aca="false">AG108*Premissas!$B$29*(1+Premissas!$B$32)^(AG$6-2026)</f>
        <v>874337.023615</v>
      </c>
      <c r="AH111" s="110" t="n">
        <f aca="false">AH108*Premissas!$B$29*(1+Premissas!$B$32)^(AH$6-2026)</f>
        <v>911128.1102825</v>
      </c>
      <c r="AI111" s="110" t="n">
        <f aca="false">AI108*Premissas!$B$29*(1+Premissas!$B$32)^(AI$6-2026)</f>
        <v>946050.305365</v>
      </c>
      <c r="AJ111" s="110" t="n">
        <f aca="false">AJ108*Premissas!$B$29*(1+Premissas!$B$32)^(AJ$6-2026)</f>
        <v>979190.5340525</v>
      </c>
      <c r="AK111" s="110" t="n">
        <f aca="false">AK108*Premissas!$B$29*(1+Premissas!$B$32)^(AK$6-2026)</f>
        <v>1010657.4528325</v>
      </c>
      <c r="AL111" s="110" t="n">
        <f aca="false">AL108*Premissas!$B$29*(1+Premissas!$B$32)^(AL$6-2026)</f>
        <v>1182877.1162681</v>
      </c>
      <c r="AM111" s="110" t="n">
        <f aca="false">AM108*Premissas!$B$29*(1+Premissas!$B$32)^(AM$6-2026)</f>
        <v>1268150.18437566</v>
      </c>
      <c r="AN111" s="110" t="n">
        <f aca="false">AN108*Premissas!$B$29*(1+Premissas!$B$32)^(AN$6-2026)</f>
        <v>1349449.14145291</v>
      </c>
      <c r="AO111" s="110" t="n">
        <f aca="false">AO108*Premissas!$B$29*(1+Premissas!$B$32)^(AO$6-2026)</f>
        <v>1426955.66114695</v>
      </c>
      <c r="AP111" s="110" t="n">
        <f aca="false">AP108*Premissas!$B$29*(1+Premissas!$B$32)^(AP$6-2026)</f>
        <v>1500828.70789899</v>
      </c>
      <c r="AQ111" s="110" t="n">
        <f aca="false">AQ108*Premissas!$B$29*(1+Premissas!$B$32)^(AQ$6-2026)</f>
        <v>1571249.95535612</v>
      </c>
      <c r="AR111" s="110" t="n">
        <f aca="false">AR108*Premissas!$B$29*(1+Premissas!$B$32)^(AR$6-2026)</f>
        <v>1638401.07716546</v>
      </c>
      <c r="AS111" s="110" t="n">
        <f aca="false">AS108*Premissas!$B$29*(1+Premissas!$B$32)^(AS$6-2026)</f>
        <v>1702395.61935644</v>
      </c>
      <c r="AT111" s="110" t="n">
        <f aca="false">AT108*Premissas!$B$29*(1+Premissas!$B$32)^(AT$6-2026)</f>
        <v>1763415.25557615</v>
      </c>
      <c r="AU111" s="110" t="n">
        <f aca="false">AU108*Premissas!$B$29*(1+Premissas!$B$32)^(AU$6-2026)</f>
        <v>1821550.82264815</v>
      </c>
      <c r="AV111" s="110" t="n">
        <f aca="false">AV108*Premissas!$B$29*(1+Premissas!$B$32)^(AV$6-2026)</f>
        <v>1877006.70342542</v>
      </c>
      <c r="AW111" s="110" t="n">
        <f aca="false">AW108*Premissas!$B$29*(1+Premissas!$B$32)^(AW$6-2026)</f>
        <v>1929873.73473152</v>
      </c>
      <c r="AX111" s="110" t="n">
        <f aca="false">AX108*Premissas!$B$29*(1+Premissas!$B$32)^(AX$6-2026)</f>
        <v>2232671.24618162</v>
      </c>
      <c r="AY111" s="110" t="n">
        <f aca="false">AY108*Premissas!$B$29*(1+Premissas!$B$32)^(AY$6-2026)</f>
        <v>2379044.79528186</v>
      </c>
      <c r="AZ111" s="110" t="n">
        <f aca="false">AZ108*Premissas!$B$29*(1+Premissas!$B$32)^(AZ$6-2026)</f>
        <v>2519129.5975417</v>
      </c>
      <c r="BA111" s="110" t="n">
        <f aca="false">BA108*Premissas!$B$29*(1+Premissas!$B$32)^(BA$6-2026)</f>
        <v>2653186.69528282</v>
      </c>
      <c r="BB111" s="110" t="n">
        <f aca="false">BB108*Premissas!$B$29*(1+Premissas!$B$32)^(BB$6-2026)</f>
        <v>2781477.13082689</v>
      </c>
      <c r="BC111" s="110" t="n">
        <f aca="false">BC108*Premissas!$B$29*(1+Premissas!$B$32)^(BC$6-2026)</f>
        <v>2904261.94649561</v>
      </c>
      <c r="BD111" s="110" t="n">
        <f aca="false">BD108*Premissas!$B$29*(1+Premissas!$B$32)^(BD$6-2026)</f>
        <v>3021754.72237032</v>
      </c>
      <c r="BE111" s="110" t="n">
        <f aca="false">BE108*Premissas!$B$29*(1+Premissas!$B$32)^(BE$6-2026)</f>
        <v>3134216.50077272</v>
      </c>
      <c r="BF111" s="110" t="n">
        <f aca="false">BF108*Premissas!$B$29*(1+Premissas!$B$32)^(BF$6-2026)</f>
        <v>3241837.13066403</v>
      </c>
      <c r="BG111" s="110" t="n">
        <f aca="false">BG108*Premissas!$B$29*(1+Premissas!$B$32)^(BG$6-2026)</f>
        <v>3344830.19212561</v>
      </c>
      <c r="BH111" s="110" t="n">
        <f aca="false">BH108*Premissas!$B$29*(1+Premissas!$B$32)^(BH$6-2026)</f>
        <v>3443385.53411868</v>
      </c>
      <c r="BI111" s="110" t="n">
        <f aca="false">BI108*Premissas!$B$29*(1+Premissas!$B$32)^(BI$6-2026)</f>
        <v>3537716.73672462</v>
      </c>
      <c r="BJ111" s="111" t="n">
        <f aca="false">SUM(B111:BI111)</f>
        <v>67545727.8824984</v>
      </c>
    </row>
    <row r="112" customFormat="false" ht="15" hidden="false" customHeight="false" outlineLevel="0" collapsed="false">
      <c r="A112" s="27" t="s">
        <v>574</v>
      </c>
      <c r="B112" s="110" t="n">
        <f aca="false">B109*Premissas!$B$30*(1+Premissas!$B$32)^(B$6-2026)</f>
        <v>0</v>
      </c>
      <c r="C112" s="110" t="n">
        <f aca="false">C109*Premissas!$B$30*(1+Premissas!$B$32)^(C$6-2026)</f>
        <v>0</v>
      </c>
      <c r="D112" s="110" t="n">
        <f aca="false">D109*Premissas!$B$30*(1+Premissas!$B$32)^(D$6-2026)</f>
        <v>0</v>
      </c>
      <c r="E112" s="110" t="n">
        <f aca="false">E109*Premissas!$B$30*(1+Premissas!$B$32)^(E$6-2026)</f>
        <v>0</v>
      </c>
      <c r="F112" s="110" t="n">
        <f aca="false">F109*Premissas!$B$30*(1+Premissas!$B$32)^(F$6-2026)</f>
        <v>0</v>
      </c>
      <c r="G112" s="110" t="n">
        <f aca="false">G109*Premissas!$B$30*(1+Premissas!$B$32)^(G$6-2026)</f>
        <v>0</v>
      </c>
      <c r="H112" s="110" t="n">
        <f aca="false">H109*Premissas!$B$30*(1+Premissas!$B$32)^(H$6-2026)</f>
        <v>0</v>
      </c>
      <c r="I112" s="110" t="n">
        <f aca="false">I109*Premissas!$B$30*(1+Premissas!$B$32)^(I$6-2026)</f>
        <v>0</v>
      </c>
      <c r="J112" s="110" t="n">
        <f aca="false">J109*Premissas!$B$30*(1+Premissas!$B$32)^(J$6-2026)</f>
        <v>0</v>
      </c>
      <c r="K112" s="110" t="n">
        <f aca="false">K109*Premissas!$B$30*(1+Premissas!$B$32)^(K$6-2026)</f>
        <v>2354.1</v>
      </c>
      <c r="L112" s="110" t="n">
        <f aca="false">L109*Premissas!$B$30*(1+Premissas!$B$32)^(L$6-2026)</f>
        <v>9137.1</v>
      </c>
      <c r="M112" s="110" t="n">
        <f aca="false">M109*Premissas!$B$30*(1+Premissas!$B$32)^(M$6-2026)</f>
        <v>19989.9</v>
      </c>
      <c r="N112" s="110" t="n">
        <f aca="false">N109*Premissas!$B$30*(1+Premissas!$B$32)^(N$6-2026)</f>
        <v>50910.2055</v>
      </c>
      <c r="O112" s="110" t="n">
        <f aca="false">O109*Premissas!$B$30*(1+Premissas!$B$32)^(O$6-2026)</f>
        <v>84016.4325</v>
      </c>
      <c r="P112" s="110" t="n">
        <f aca="false">P109*Premissas!$B$30*(1+Premissas!$B$32)^(P$6-2026)</f>
        <v>123877.3305</v>
      </c>
      <c r="Q112" s="110" t="n">
        <f aca="false">Q109*Premissas!$B$30*(1+Premissas!$B$32)^(Q$6-2026)</f>
        <v>145684.077</v>
      </c>
      <c r="R112" s="110" t="n">
        <f aca="false">R109*Premissas!$B$30*(1+Premissas!$B$32)^(R$6-2026)</f>
        <v>166281.654</v>
      </c>
      <c r="S112" s="110" t="n">
        <f aca="false">S109*Premissas!$B$30*(1+Premissas!$B$32)^(S$6-2026)</f>
        <v>185753.4525</v>
      </c>
      <c r="T112" s="110" t="n">
        <f aca="false">T109*Premissas!$B$30*(1+Premissas!$B$32)^(T$6-2026)</f>
        <v>204099.4725</v>
      </c>
      <c r="U112" s="110" t="n">
        <f aca="false">U109*Premissas!$B$30*(1+Premissas!$B$32)^(U$6-2026)</f>
        <v>221486.496</v>
      </c>
      <c r="V112" s="110" t="n">
        <f aca="false">V109*Premissas!$B$30*(1+Premissas!$B$32)^(V$6-2026)</f>
        <v>237872.8275</v>
      </c>
      <c r="W112" s="110" t="n">
        <f aca="false">W109*Premissas!$B$30*(1+Premissas!$B$32)^(W$6-2026)</f>
        <v>253425.249</v>
      </c>
      <c r="X112" s="110" t="n">
        <f aca="false">X109*Premissas!$B$30*(1+Premissas!$B$32)^(X$6-2026)</f>
        <v>268060.3695</v>
      </c>
      <c r="Y112" s="110" t="n">
        <f aca="false">Y109*Premissas!$B$30*(1+Premissas!$B$32)^(Y$6-2026)</f>
        <v>281903.2755</v>
      </c>
      <c r="Z112" s="110" t="n">
        <f aca="false">Z109*Premissas!$B$30*(1+Premissas!$B$32)^(Z$6-2026)</f>
        <v>393017.61345</v>
      </c>
      <c r="AA112" s="110" t="n">
        <f aca="false">AA109*Premissas!$B$30*(1+Premissas!$B$32)^(AA$6-2026)</f>
        <v>430489.3593</v>
      </c>
      <c r="AB112" s="110" t="n">
        <f aca="false">AB109*Premissas!$B$30*(1+Premissas!$B$32)^(AB$6-2026)</f>
        <v>466087.5178575</v>
      </c>
      <c r="AC112" s="110" t="n">
        <f aca="false">AC109*Premissas!$B$30*(1+Premissas!$B$32)^(AC$6-2026)</f>
        <v>499855.66092</v>
      </c>
      <c r="AD112" s="110" t="n">
        <f aca="false">AD109*Premissas!$B$30*(1+Premissas!$B$32)^(AD$6-2026)</f>
        <v>531968.0756775</v>
      </c>
      <c r="AE112" s="110" t="n">
        <f aca="false">AE109*Premissas!$B$30*(1+Premissas!$B$32)^(AE$6-2026)</f>
        <v>562381.1903325</v>
      </c>
      <c r="AF112" s="110" t="n">
        <f aca="false">AF109*Premissas!$B$30*(1+Premissas!$B$32)^(AF$6-2026)</f>
        <v>591312.8638725</v>
      </c>
      <c r="AG112" s="110" t="n">
        <f aca="false">AG109*Premissas!$B$30*(1+Premissas!$B$32)^(AG$6-2026)</f>
        <v>618719.5245</v>
      </c>
      <c r="AH112" s="110" t="n">
        <f aca="false">AH109*Premissas!$B$30*(1+Premissas!$B$32)^(AH$6-2026)</f>
        <v>644775.459405</v>
      </c>
      <c r="AI112" s="110" t="n">
        <f aca="false">AI109*Premissas!$B$30*(1+Premissas!$B$32)^(AI$6-2026)</f>
        <v>669480.6685875</v>
      </c>
      <c r="AJ112" s="110" t="n">
        <f aca="false">AJ109*Premissas!$B$30*(1+Premissas!$B$32)^(AJ$6-2026)</f>
        <v>692922.2956425</v>
      </c>
      <c r="AK112" s="110" t="n">
        <f aca="false">AK109*Premissas!$B$30*(1+Premissas!$B$32)^(AK$6-2026)</f>
        <v>715187.484165</v>
      </c>
      <c r="AL112" s="110" t="n">
        <f aca="false">AL109*Premissas!$B$30*(1+Premissas!$B$32)^(AL$6-2026)</f>
        <v>963513.833207887</v>
      </c>
      <c r="AM112" s="110" t="n">
        <f aca="false">AM109*Premissas!$B$30*(1+Premissas!$B$32)^(AM$6-2026)</f>
        <v>1032950.93899882</v>
      </c>
      <c r="AN112" s="110" t="n">
        <f aca="false">AN109*Premissas!$B$30*(1+Premissas!$B$32)^(AN$6-2026)</f>
        <v>1099200.76780264</v>
      </c>
      <c r="AO112" s="110" t="n">
        <f aca="false">AO109*Premissas!$B$30*(1+Premissas!$B$32)^(AO$6-2026)</f>
        <v>1162308.85214771</v>
      </c>
      <c r="AP112" s="110" t="n">
        <f aca="false">AP109*Premissas!$B$30*(1+Premissas!$B$32)^(AP$6-2026)</f>
        <v>1222502.85467599</v>
      </c>
      <c r="AQ112" s="110" t="n">
        <f aca="false">AQ109*Premissas!$B$30*(1+Premissas!$B$32)^(AQ$6-2026)</f>
        <v>1279873.84044424</v>
      </c>
      <c r="AR112" s="110" t="n">
        <f aca="false">AR109*Premissas!$B$30*(1+Premissas!$B$32)^(AR$6-2026)</f>
        <v>1334558.40703762</v>
      </c>
      <c r="AS112" s="110" t="n">
        <f aca="false">AS109*Premissas!$B$30*(1+Premissas!$B$32)^(AS$6-2026)</f>
        <v>1386693.15204131</v>
      </c>
      <c r="AT112" s="110" t="n">
        <f aca="false">AT109*Premissas!$B$30*(1+Premissas!$B$32)^(AT$6-2026)</f>
        <v>1436369.14051207</v>
      </c>
      <c r="AU112" s="110" t="n">
        <f aca="false">AU109*Premissas!$B$30*(1+Premissas!$B$32)^(AU$6-2026)</f>
        <v>1483722.97003507</v>
      </c>
      <c r="AV112" s="110" t="n">
        <f aca="false">AV109*Premissas!$B$30*(1+Premissas!$B$32)^(AV$6-2026)</f>
        <v>1528891.23819547</v>
      </c>
      <c r="AW112" s="110" t="n">
        <f aca="false">AW109*Premissas!$B$30*(1+Premissas!$B$32)^(AW$6-2026)</f>
        <v>1571965.01005005</v>
      </c>
      <c r="AX112" s="110" t="n">
        <f aca="false">AX109*Premissas!$B$30*(1+Premissas!$B$32)^(AX$6-2026)</f>
        <v>2089065.41350158</v>
      </c>
      <c r="AY112" s="110" t="n">
        <f aca="false">AY109*Premissas!$B$30*(1+Premissas!$B$32)^(AY$6-2026)</f>
        <v>2226004.94795227</v>
      </c>
      <c r="AZ112" s="110" t="n">
        <f aca="false">AZ109*Premissas!$B$30*(1+Premissas!$B$32)^(AZ$6-2026)</f>
        <v>2357091.95886667</v>
      </c>
      <c r="BA112" s="110" t="n">
        <f aca="false">BA109*Premissas!$B$30*(1+Premissas!$B$32)^(BA$6-2026)</f>
        <v>2482516.77221345</v>
      </c>
      <c r="BB112" s="110" t="n">
        <f aca="false">BB109*Premissas!$B$30*(1+Premissas!$B$32)^(BB$6-2026)</f>
        <v>2602564.87694559</v>
      </c>
      <c r="BC112" s="110" t="n">
        <f aca="false">BC109*Premissas!$B$30*(1+Premissas!$B$32)^(BC$6-2026)</f>
        <v>2717474.18052391</v>
      </c>
      <c r="BD112" s="110" t="n">
        <f aca="false">BD109*Premissas!$B$30*(1+Premissas!$B$32)^(BD$6-2026)</f>
        <v>2827387.42742492</v>
      </c>
      <c r="BE112" s="110" t="n">
        <f aca="false">BE109*Premissas!$B$30*(1+Premissas!$B$32)^(BE$6-2026)</f>
        <v>2932637.68809376</v>
      </c>
      <c r="BF112" s="110" t="n">
        <f aca="false">BF109*Premissas!$B$30*(1+Premissas!$B$32)^(BF$6-2026)</f>
        <v>3033320.12551477</v>
      </c>
      <c r="BG112" s="110" t="n">
        <f aca="false">BG109*Premissas!$B$30*(1+Premissas!$B$32)^(BG$6-2026)</f>
        <v>3129672.64714876</v>
      </c>
      <c r="BH112" s="110" t="n">
        <f aca="false">BH109*Premissas!$B$30*(1+Premissas!$B$32)^(BH$6-2026)</f>
        <v>3221933.16045658</v>
      </c>
      <c r="BI112" s="110" t="n">
        <f aca="false">BI109*Premissas!$B$30*(1+Premissas!$B$32)^(BI$6-2026)</f>
        <v>3310196.82842254</v>
      </c>
      <c r="BJ112" s="111" t="n">
        <f aca="false">SUM(B112:BI112)</f>
        <v>57503466.6879237</v>
      </c>
    </row>
    <row r="113" customFormat="false" ht="15" hidden="false" customHeight="false" outlineLevel="0" collapsed="false">
      <c r="A113" s="27" t="s">
        <v>575</v>
      </c>
      <c r="B113" s="110" t="n">
        <f aca="false">B110*Premissas!$B$31*(1+Premissas!$B$32)^(B$6-2026)</f>
        <v>0</v>
      </c>
      <c r="C113" s="110" t="n">
        <f aca="false">C110*Premissas!$B$31*(1+Premissas!$B$32)^(C$6-2026)</f>
        <v>0</v>
      </c>
      <c r="D113" s="110" t="n">
        <f aca="false">D110*Premissas!$B$31*(1+Premissas!$B$32)^(D$6-2026)</f>
        <v>0</v>
      </c>
      <c r="E113" s="110" t="n">
        <f aca="false">E110*Premissas!$B$31*(1+Premissas!$B$32)^(E$6-2026)</f>
        <v>0</v>
      </c>
      <c r="F113" s="110" t="n">
        <f aca="false">F110*Premissas!$B$31*(1+Premissas!$B$32)^(F$6-2026)</f>
        <v>0</v>
      </c>
      <c r="G113" s="110" t="n">
        <f aca="false">G110*Premissas!$B$31*(1+Premissas!$B$32)^(G$6-2026)</f>
        <v>0</v>
      </c>
      <c r="H113" s="110" t="n">
        <f aca="false">H110*Premissas!$B$31*(1+Premissas!$B$32)^(H$6-2026)</f>
        <v>0</v>
      </c>
      <c r="I113" s="110" t="n">
        <f aca="false">I110*Premissas!$B$31*(1+Premissas!$B$32)^(I$6-2026)</f>
        <v>0</v>
      </c>
      <c r="J113" s="110" t="n">
        <f aca="false">J110*Premissas!$B$31*(1+Premissas!$B$32)^(J$6-2026)</f>
        <v>0</v>
      </c>
      <c r="K113" s="110" t="n">
        <f aca="false">K110*Premissas!$B$31*(1+Premissas!$B$32)^(K$6-2026)</f>
        <v>1198.5</v>
      </c>
      <c r="L113" s="110" t="n">
        <f aca="false">L110*Premissas!$B$31*(1+Premissas!$B$32)^(L$6-2026)</f>
        <v>4634.2</v>
      </c>
      <c r="M113" s="110" t="n">
        <f aca="false">M110*Premissas!$B$31*(1+Premissas!$B$32)^(M$6-2026)</f>
        <v>9987.5</v>
      </c>
      <c r="N113" s="110" t="n">
        <f aca="false">N110*Premissas!$B$31*(1+Premissas!$B$32)^(N$6-2026)</f>
        <v>27804.0015</v>
      </c>
      <c r="O113" s="110" t="n">
        <f aca="false">O110*Premissas!$B$31*(1+Premissas!$B$32)^(O$6-2026)</f>
        <v>45839.0295</v>
      </c>
      <c r="P113" s="110" t="n">
        <f aca="false">P110*Premissas!$B$31*(1+Premissas!$B$32)^(P$6-2026)</f>
        <v>67631.355</v>
      </c>
      <c r="Q113" s="110" t="n">
        <f aca="false">Q110*Premissas!$B$31*(1+Premissas!$B$32)^(Q$6-2026)</f>
        <v>79571.2115</v>
      </c>
      <c r="R113" s="110" t="n">
        <f aca="false">R110*Premissas!$B$31*(1+Premissas!$B$32)^(R$6-2026)</f>
        <v>90759.6085</v>
      </c>
      <c r="S113" s="110" t="n">
        <f aca="false">S110*Premissas!$B$31*(1+Premissas!$B$32)^(S$6-2026)</f>
        <v>101363.537</v>
      </c>
      <c r="T113" s="110" t="n">
        <f aca="false">T110*Premissas!$B$31*(1+Premissas!$B$32)^(T$6-2026)</f>
        <v>111549.988</v>
      </c>
      <c r="U113" s="110" t="n">
        <f aca="false">U110*Premissas!$B$31*(1+Premissas!$B$32)^(U$6-2026)</f>
        <v>120984.9795</v>
      </c>
      <c r="V113" s="110" t="n">
        <f aca="false">V110*Premissas!$B$31*(1+Premissas!$B$32)^(V$6-2026)</f>
        <v>130002.4935</v>
      </c>
      <c r="W113" s="110" t="n">
        <f aca="false">W110*Premissas!$B$31*(1+Premissas!$B$32)^(W$6-2026)</f>
        <v>138352.0435</v>
      </c>
      <c r="X113" s="110" t="n">
        <f aca="false">X110*Premissas!$B$31*(1+Premissas!$B$32)^(X$6-2026)</f>
        <v>146367.6115</v>
      </c>
      <c r="Y113" s="110" t="n">
        <f aca="false">Y110*Premissas!$B$31*(1+Premissas!$B$32)^(Y$6-2026)</f>
        <v>153965.702</v>
      </c>
      <c r="Z113" s="110" t="n">
        <f aca="false">Z110*Premissas!$B$31*(1+Premissas!$B$32)^(Z$6-2026)</f>
        <v>262281.909285</v>
      </c>
      <c r="AA113" s="110" t="n">
        <f aca="false">AA110*Premissas!$B$31*(1+Premissas!$B$32)^(AA$6-2026)</f>
        <v>287410.714965</v>
      </c>
      <c r="AB113" s="110" t="n">
        <f aca="false">AB110*Premissas!$B$31*(1+Premissas!$B$32)^(AB$6-2026)</f>
        <v>311143.475885</v>
      </c>
      <c r="AC113" s="110" t="n">
        <f aca="false">AC110*Premissas!$B$31*(1+Premissas!$B$32)^(AC$6-2026)</f>
        <v>333741.9504375</v>
      </c>
      <c r="AD113" s="110" t="n">
        <f aca="false">AD110*Premissas!$B$31*(1+Premissas!$B$32)^(AD$6-2026)</f>
        <v>355031.6330275</v>
      </c>
      <c r="AE113" s="110" t="n">
        <f aca="false">AE110*Premissas!$B$31*(1+Premissas!$B$32)^(AE$6-2026)</f>
        <v>375448.7876425</v>
      </c>
      <c r="AF113" s="110" t="n">
        <f aca="false">AF110*Premissas!$B$31*(1+Premissas!$B$32)^(AF$6-2026)</f>
        <v>394644.4030925</v>
      </c>
      <c r="AG113" s="110" t="n">
        <f aca="false">AG110*Premissas!$B$31*(1+Premissas!$B$32)^(AG$6-2026)</f>
        <v>412967.4905675</v>
      </c>
      <c r="AH113" s="110" t="n">
        <f aca="false">AH110*Premissas!$B$31*(1+Premissas!$B$32)^(AH$6-2026)</f>
        <v>430330.79727</v>
      </c>
      <c r="AI113" s="110" t="n">
        <f aca="false">AI110*Premissas!$B$31*(1+Premissas!$B$32)^(AI$6-2026)</f>
        <v>446821.5759975</v>
      </c>
      <c r="AJ113" s="110" t="n">
        <f aca="false">AJ110*Premissas!$B$31*(1+Premissas!$B$32)^(AJ$6-2026)</f>
        <v>462527.0795475</v>
      </c>
      <c r="AK113" s="110" t="n">
        <f aca="false">AK110*Premissas!$B$31*(1+Premissas!$B$32)^(AK$6-2026)</f>
        <v>477447.30792</v>
      </c>
      <c r="AL113" s="110" t="n">
        <f aca="false">AL110*Premissas!$B$31*(1+Premissas!$B$32)^(AL$6-2026)</f>
        <v>742016.113027475</v>
      </c>
      <c r="AM113" s="110" t="n">
        <f aca="false">AM110*Premissas!$B$31*(1+Premissas!$B$32)^(AM$6-2026)</f>
        <v>795629.466979325</v>
      </c>
      <c r="AN113" s="110" t="n">
        <f aca="false">AN110*Premissas!$B$31*(1+Premissas!$B$32)^(AN$6-2026)</f>
        <v>846598.624902937</v>
      </c>
      <c r="AO113" s="110" t="n">
        <f aca="false">AO110*Premissas!$B$31*(1+Premissas!$B$32)^(AO$6-2026)</f>
        <v>895197.124318475</v>
      </c>
      <c r="AP113" s="110" t="n">
        <f aca="false">AP110*Premissas!$B$31*(1+Premissas!$B$32)^(AP$6-2026)</f>
        <v>941516.144399325</v>
      </c>
      <c r="AQ113" s="110" t="n">
        <f aca="false">AQ110*Premissas!$B$31*(1+Premissas!$B$32)^(AQ$6-2026)</f>
        <v>985738.043492262</v>
      </c>
      <c r="AR113" s="110" t="n">
        <f aca="false">AR110*Premissas!$B$31*(1+Premissas!$B$32)^(AR$6-2026)</f>
        <v>1027862.82159729</v>
      </c>
      <c r="AS113" s="110" t="n">
        <f aca="false">AS110*Premissas!$B$31*(1+Premissas!$B$32)^(AS$6-2026)</f>
        <v>1067981.65788779</v>
      </c>
      <c r="AT113" s="110" t="n">
        <f aca="false">AT110*Premissas!$B$31*(1+Premissas!$B$32)^(AT$6-2026)</f>
        <v>1106276.91071054</v>
      </c>
      <c r="AU113" s="110" t="n">
        <f aca="false">AU110*Premissas!$B$31*(1+Premissas!$B$32)^(AU$6-2026)</f>
        <v>1142839.75923892</v>
      </c>
      <c r="AV113" s="110" t="n">
        <f aca="false">AV110*Premissas!$B$31*(1+Premissas!$B$32)^(AV$6-2026)</f>
        <v>1177579.02429956</v>
      </c>
      <c r="AW113" s="110" t="n">
        <f aca="false">AW110*Premissas!$B$31*(1+Premissas!$B$32)^(AW$6-2026)</f>
        <v>1210677.06423923</v>
      </c>
      <c r="AX113" s="110" t="n">
        <f aca="false">AX110*Premissas!$B$31*(1+Premissas!$B$32)^(AX$6-2026)</f>
        <v>1792830.55614986</v>
      </c>
      <c r="AY113" s="110" t="n">
        <f aca="false">AY110*Premissas!$B$31*(1+Premissas!$B$32)^(AY$6-2026)</f>
        <v>1910408.83560825</v>
      </c>
      <c r="AZ113" s="110" t="n">
        <f aca="false">AZ110*Premissas!$B$31*(1+Premissas!$B$32)^(AZ$6-2026)</f>
        <v>2022841.87431237</v>
      </c>
      <c r="BA113" s="110" t="n">
        <f aca="false">BA110*Premissas!$B$31*(1+Premissas!$B$32)^(BA$6-2026)</f>
        <v>2130510.801207</v>
      </c>
      <c r="BB113" s="110" t="n">
        <f aca="false">BB110*Premissas!$B$31*(1+Premissas!$B$32)^(BB$6-2026)</f>
        <v>2233606.18076451</v>
      </c>
      <c r="BC113" s="110" t="n">
        <f aca="false">BC110*Premissas!$B$31*(1+Premissas!$B$32)^(BC$6-2026)</f>
        <v>2332128.01298491</v>
      </c>
      <c r="BD113" s="110" t="n">
        <f aca="false">BD110*Premissas!$B$31*(1+Premissas!$B$32)^(BD$6-2026)</f>
        <v>2426552.70904914</v>
      </c>
      <c r="BE113" s="110" t="n">
        <f aca="false">BE110*Premissas!$B$31*(1+Premissas!$B$32)^(BE$6-2026)</f>
        <v>2516784.98672101</v>
      </c>
      <c r="BF113" s="110" t="n">
        <f aca="false">BF110*Premissas!$B$31*(1+Premissas!$B$32)^(BF$6-2026)</f>
        <v>2603205.97494528</v>
      </c>
      <c r="BG113" s="110" t="n">
        <f aca="false">BG110*Premissas!$B$31*(1+Premissas!$B$32)^(BG$6-2026)</f>
        <v>2686006.23819434</v>
      </c>
      <c r="BH113" s="110" t="n">
        <f aca="false">BH110*Premissas!$B$31*(1+Premissas!$B$32)^(BH$6-2026)</f>
        <v>2765090.49423199</v>
      </c>
      <c r="BI113" s="110" t="n">
        <f aca="false">BI110*Premissas!$B$31*(1+Premissas!$B$32)^(BI$6-2026)</f>
        <v>2840839.87200299</v>
      </c>
      <c r="BJ113" s="111" t="n">
        <f aca="false">SUM(B113:BI113)</f>
        <v>45980528.1779023</v>
      </c>
    </row>
    <row r="114" customFormat="false" ht="15" hidden="false" customHeight="false" outlineLevel="0" collapsed="false">
      <c r="A114" s="51" t="s">
        <v>576</v>
      </c>
      <c r="B114" s="144" t="n">
        <f aca="false">SUM(B111:B113)</f>
        <v>0</v>
      </c>
      <c r="C114" s="144" t="n">
        <f aca="false">SUM(C111:C113)</f>
        <v>0</v>
      </c>
      <c r="D114" s="144" t="n">
        <f aca="false">SUM(D111:D113)</f>
        <v>0</v>
      </c>
      <c r="E114" s="144" t="n">
        <f aca="false">SUM(E111:E113)</f>
        <v>0</v>
      </c>
      <c r="F114" s="144" t="n">
        <f aca="false">SUM(F111:F113)</f>
        <v>0</v>
      </c>
      <c r="G114" s="144" t="n">
        <f aca="false">SUM(G111:G113)</f>
        <v>0</v>
      </c>
      <c r="H114" s="144" t="n">
        <f aca="false">SUM(H111:H113)</f>
        <v>0</v>
      </c>
      <c r="I114" s="144" t="n">
        <f aca="false">SUM(I111:I113)</f>
        <v>0</v>
      </c>
      <c r="J114" s="144" t="n">
        <f aca="false">SUM(J111:J113)</f>
        <v>0</v>
      </c>
      <c r="K114" s="144" t="n">
        <f aca="false">SUM(K111:K113)</f>
        <v>7970.4</v>
      </c>
      <c r="L114" s="144" t="n">
        <f aca="false">SUM(L111:L113)</f>
        <v>30885.3</v>
      </c>
      <c r="M114" s="144" t="n">
        <f aca="false">SUM(M111:M113)</f>
        <v>67349.6</v>
      </c>
      <c r="N114" s="144" t="n">
        <f aca="false">SUM(N111:N113)</f>
        <v>161833.8205</v>
      </c>
      <c r="O114" s="144" t="n">
        <f aca="false">SUM(O111:O113)</f>
        <v>266980.989</v>
      </c>
      <c r="P114" s="144" t="n">
        <f aca="false">SUM(P111:P113)</f>
        <v>393724.1275</v>
      </c>
      <c r="Q114" s="144" t="n">
        <f aca="false">SUM(Q111:Q113)</f>
        <v>463031.0355</v>
      </c>
      <c r="R114" s="144" t="n">
        <f aca="false">SUM(R111:R113)</f>
        <v>528443.333</v>
      </c>
      <c r="S114" s="144" t="n">
        <f aca="false">SUM(S111:S113)</f>
        <v>590294.584</v>
      </c>
      <c r="T114" s="144" t="n">
        <f aca="false">SUM(T111:T113)</f>
        <v>648814.166</v>
      </c>
      <c r="U114" s="144" t="n">
        <f aca="false">SUM(U111:U113)</f>
        <v>703980.4475</v>
      </c>
      <c r="V114" s="144" t="n">
        <f aca="false">SUM(V111:V113)</f>
        <v>756168.897</v>
      </c>
      <c r="W114" s="144" t="n">
        <f aca="false">SUM(W111:W113)</f>
        <v>805399.7875</v>
      </c>
      <c r="X114" s="144" t="n">
        <f aca="false">SUM(X111:X113)</f>
        <v>851965.301</v>
      </c>
      <c r="Y114" s="144" t="n">
        <f aca="false">SUM(Y111:Y113)</f>
        <v>895990.2105</v>
      </c>
      <c r="Z114" s="144" t="n">
        <f aca="false">SUM(Z111:Z113)</f>
        <v>1210664.561645</v>
      </c>
      <c r="AA114" s="144" t="n">
        <f aca="false">SUM(AA111:AA113)</f>
        <v>1326246.01648</v>
      </c>
      <c r="AB114" s="144" t="n">
        <f aca="false">SUM(AB111:AB113)</f>
        <v>1435863.1583725</v>
      </c>
      <c r="AC114" s="144" t="n">
        <f aca="false">SUM(AC111:AC113)</f>
        <v>1539973.436595</v>
      </c>
      <c r="AD114" s="144" t="n">
        <f aca="false">SUM(AD111:AD113)</f>
        <v>1638707.0205275</v>
      </c>
      <c r="AE114" s="144" t="n">
        <f aca="false">SUM(AE111:AE113)</f>
        <v>1732565.2588475</v>
      </c>
      <c r="AF114" s="144" t="n">
        <f aca="false">SUM(AF111:AF113)</f>
        <v>1821525.65584</v>
      </c>
      <c r="AG114" s="144" t="n">
        <f aca="false">SUM(AG111:AG113)</f>
        <v>1906024.0386825</v>
      </c>
      <c r="AH114" s="144" t="n">
        <f aca="false">SUM(AH111:AH113)</f>
        <v>1986234.3669575</v>
      </c>
      <c r="AI114" s="144" t="n">
        <f aca="false">SUM(AI111:AI113)</f>
        <v>2062352.54995</v>
      </c>
      <c r="AJ114" s="144" t="n">
        <f aca="false">SUM(AJ111:AJ113)</f>
        <v>2134639.9092425</v>
      </c>
      <c r="AK114" s="144" t="n">
        <f aca="false">SUM(AK111:AK113)</f>
        <v>2203292.2449175</v>
      </c>
      <c r="AL114" s="144" t="n">
        <f aca="false">SUM(AL111:AL113)</f>
        <v>2888407.06250346</v>
      </c>
      <c r="AM114" s="144" t="n">
        <f aca="false">SUM(AM111:AM113)</f>
        <v>3096730.59035381</v>
      </c>
      <c r="AN114" s="144" t="n">
        <f aca="false">SUM(AN111:AN113)</f>
        <v>3295248.53415849</v>
      </c>
      <c r="AO114" s="144" t="n">
        <f aca="false">SUM(AO111:AO113)</f>
        <v>3484461.63761314</v>
      </c>
      <c r="AP114" s="144" t="n">
        <f aca="false">SUM(AP111:AP113)</f>
        <v>3664847.7069743</v>
      </c>
      <c r="AQ114" s="144" t="n">
        <f aca="false">SUM(AQ111:AQ113)</f>
        <v>3836861.83929262</v>
      </c>
      <c r="AR114" s="144" t="n">
        <f aca="false">SUM(AR111:AR113)</f>
        <v>4000822.30580037</v>
      </c>
      <c r="AS114" s="144" t="n">
        <f aca="false">SUM(AS111:AS113)</f>
        <v>4157070.42928554</v>
      </c>
      <c r="AT114" s="144" t="n">
        <f aca="false">SUM(AT111:AT113)</f>
        <v>4306061.30679876</v>
      </c>
      <c r="AU114" s="144" t="n">
        <f aca="false">SUM(AU111:AU113)</f>
        <v>4448113.55192215</v>
      </c>
      <c r="AV114" s="144" t="n">
        <f aca="false">SUM(AV111:AV113)</f>
        <v>4583476.96592046</v>
      </c>
      <c r="AW114" s="144" t="n">
        <f aca="false">SUM(AW111:AW113)</f>
        <v>4712515.8090208</v>
      </c>
      <c r="AX114" s="144" t="n">
        <f aca="false">SUM(AX111:AX113)</f>
        <v>6114567.21583307</v>
      </c>
      <c r="AY114" s="144" t="n">
        <f aca="false">SUM(AY111:AY113)</f>
        <v>6515458.57884238</v>
      </c>
      <c r="AZ114" s="144" t="n">
        <f aca="false">SUM(AZ111:AZ113)</f>
        <v>6899063.43072074</v>
      </c>
      <c r="BA114" s="144" t="n">
        <f aca="false">SUM(BA111:BA113)</f>
        <v>7266214.26870327</v>
      </c>
      <c r="BB114" s="144" t="n">
        <f aca="false">SUM(BB111:BB113)</f>
        <v>7617648.18853699</v>
      </c>
      <c r="BC114" s="144" t="n">
        <f aca="false">SUM(BC111:BC113)</f>
        <v>7953864.14000443</v>
      </c>
      <c r="BD114" s="144" t="n">
        <f aca="false">SUM(BD111:BD113)</f>
        <v>8275694.85884438</v>
      </c>
      <c r="BE114" s="144" t="n">
        <f aca="false">SUM(BE111:BE113)</f>
        <v>8583639.17558749</v>
      </c>
      <c r="BF114" s="144" t="n">
        <f aca="false">SUM(BF111:BF113)</f>
        <v>8878363.23112408</v>
      </c>
      <c r="BG114" s="144" t="n">
        <f aca="false">SUM(BG111:BG113)</f>
        <v>9160509.07746871</v>
      </c>
      <c r="BH114" s="144" t="n">
        <f aca="false">SUM(BH111:BH113)</f>
        <v>9430409.18880724</v>
      </c>
      <c r="BI114" s="144" t="n">
        <f aca="false">SUM(BI111:BI113)</f>
        <v>9688753.43715014</v>
      </c>
      <c r="BJ114" s="111" t="n">
        <f aca="false">SUM(B114:BI114)</f>
        <v>171029722.748324</v>
      </c>
    </row>
    <row r="115" customFormat="false" ht="15" hidden="false" customHeight="false" outlineLevel="0" collapsed="false">
      <c r="A115" s="27" t="s">
        <v>577</v>
      </c>
      <c r="B115" s="110" t="n">
        <f aca="false">B105*INDEX(Premissas!$C$68:$G$68,B$7)*Premissas!$B$67*Premissas!$B$66</f>
        <v>0</v>
      </c>
      <c r="C115" s="110" t="n">
        <f aca="false">C105*INDEX(Premissas!$C$68:$G$68,C$7)*Premissas!$B$67*Premissas!$B$66</f>
        <v>0</v>
      </c>
      <c r="D115" s="110" t="n">
        <f aca="false">D105*INDEX(Premissas!$C$68:$G$68,D$7)*Premissas!$B$67*Premissas!$B$66</f>
        <v>0</v>
      </c>
      <c r="E115" s="110" t="n">
        <f aca="false">E105*INDEX(Premissas!$C$68:$G$68,E$7)*Premissas!$B$67*Premissas!$B$66</f>
        <v>0</v>
      </c>
      <c r="F115" s="110" t="n">
        <f aca="false">F105*INDEX(Premissas!$C$68:$G$68,F$7)*Premissas!$B$67*Premissas!$B$66</f>
        <v>0</v>
      </c>
      <c r="G115" s="110" t="n">
        <f aca="false">G105*INDEX(Premissas!$C$68:$G$68,G$7)*Premissas!$B$67*Premissas!$B$66</f>
        <v>0</v>
      </c>
      <c r="H115" s="110" t="n">
        <f aca="false">H105*INDEX(Premissas!$C$68:$G$68,H$7)*Premissas!$B$67*Premissas!$B$66</f>
        <v>0</v>
      </c>
      <c r="I115" s="110" t="n">
        <f aca="false">I105*INDEX(Premissas!$C$68:$G$68,I$7)*Premissas!$B$67*Premissas!$B$66</f>
        <v>0</v>
      </c>
      <c r="J115" s="110" t="n">
        <f aca="false">J105*INDEX(Premissas!$C$68:$G$68,J$7)*Premissas!$B$67*Premissas!$B$66</f>
        <v>0</v>
      </c>
      <c r="K115" s="110" t="n">
        <f aca="false">K105*INDEX(Premissas!$C$68:$G$68,K$7)*Premissas!$B$67*Premissas!$B$66</f>
        <v>0</v>
      </c>
      <c r="L115" s="110" t="n">
        <f aca="false">L105*INDEX(Premissas!$C$68:$G$68,L$7)*Premissas!$B$67*Premissas!$B$66</f>
        <v>0</v>
      </c>
      <c r="M115" s="110" t="n">
        <f aca="false">M105*INDEX(Premissas!$C$68:$G$68,M$7)*Premissas!$B$67*Premissas!$B$66</f>
        <v>0</v>
      </c>
      <c r="N115" s="110" t="n">
        <f aca="false">N105*INDEX(Premissas!$C$68:$G$68,N$7)*Premissas!$B$67*Premissas!$B$66</f>
        <v>5677.584290448</v>
      </c>
      <c r="O115" s="110" t="n">
        <f aca="false">O105*INDEX(Premissas!$C$68:$G$68,O$7)*Premissas!$B$67*Premissas!$B$66</f>
        <v>7492.74163761527</v>
      </c>
      <c r="P115" s="110" t="n">
        <f aca="false">P105*INDEX(Premissas!$C$68:$G$68,P$7)*Premissas!$B$67*Premissas!$B$66</f>
        <v>9207.70229921891</v>
      </c>
      <c r="Q115" s="110" t="n">
        <f aca="false">Q105*INDEX(Premissas!$C$68:$G$68,Q$7)*Premissas!$B$67*Premissas!$B$66</f>
        <v>10827.997132302</v>
      </c>
      <c r="R115" s="110" t="n">
        <f aca="false">R105*INDEX(Premissas!$C$68:$G$68,R$7)*Premissas!$B$67*Premissas!$B$66</f>
        <v>12358.851690599</v>
      </c>
      <c r="S115" s="110" t="n">
        <f aca="false">S105*INDEX(Premissas!$C$68:$G$68,S$7)*Premissas!$B$67*Premissas!$B$66</f>
        <v>13805.2030772779</v>
      </c>
      <c r="T115" s="110" t="n">
        <f aca="false">T105*INDEX(Premissas!$C$68:$G$68,T$7)*Premissas!$B$67*Premissas!$B$66</f>
        <v>15171.7158674122</v>
      </c>
      <c r="U115" s="110" t="n">
        <f aca="false">U105*INDEX(Premissas!$C$68:$G$68,U$7)*Premissas!$B$67*Premissas!$B$66</f>
        <v>16462.797151531</v>
      </c>
      <c r="V115" s="110" t="n">
        <f aca="false">V105*INDEX(Premissas!$C$68:$G$68,V$7)*Premissas!$B$67*Premissas!$B$66</f>
        <v>17682.6107487665</v>
      </c>
      <c r="W115" s="110" t="n">
        <f aca="false">W105*INDEX(Premissas!$C$68:$G$68,W$7)*Premissas!$B$67*Premissas!$B$66</f>
        <v>18835.0906354346</v>
      </c>
      <c r="X115" s="110" t="n">
        <f aca="false">X105*INDEX(Premissas!$C$68:$G$68,X$7)*Premissas!$B$67*Premissas!$B$66</f>
        <v>19923.9536323586</v>
      </c>
      <c r="Y115" s="110" t="n">
        <f aca="false">Y105*INDEX(Premissas!$C$68:$G$68,Y$7)*Premissas!$B$67*Premissas!$B$66</f>
        <v>20952.7113918524</v>
      </c>
      <c r="Z115" s="110" t="n">
        <f aca="false">Z105*INDEX(Premissas!$C$68:$G$68,Z$7)*Premissas!$B$67*Premissas!$B$66</f>
        <v>38823.9081608809</v>
      </c>
      <c r="AA115" s="110" t="n">
        <f aca="false">AA105*INDEX(Premissas!$C$68:$G$68,AA$7)*Premissas!$B$67*Premissas!$B$66</f>
        <v>42528.4348088388</v>
      </c>
      <c r="AB115" s="110" t="n">
        <f aca="false">AB105*INDEX(Premissas!$C$68:$G$68,AB$7)*Premissas!$B$67*Premissas!$B$66</f>
        <v>46044.8307755067</v>
      </c>
      <c r="AC115" s="110" t="n">
        <f aca="false">AC105*INDEX(Premissas!$C$68:$G$68,AC$7)*Premissas!$B$67*Premissas!$B$66</f>
        <v>49382.6500894034</v>
      </c>
      <c r="AD115" s="110" t="n">
        <f aca="false">AD105*INDEX(Premissas!$C$68:$G$68,AD$7)*Premissas!$B$67*Premissas!$B$66</f>
        <v>52550.9615872631</v>
      </c>
      <c r="AE115" s="110" t="n">
        <f aca="false">AE105*INDEX(Premissas!$C$68:$G$68,AE$7)*Premissas!$B$67*Premissas!$B$66</f>
        <v>55558.3735540156</v>
      </c>
      <c r="AF115" s="110" t="n">
        <f aca="false">AF105*INDEX(Premissas!$C$68:$G$68,AF$7)*Premissas!$B$67*Premissas!$B$66</f>
        <v>58413.0571114484</v>
      </c>
      <c r="AG115" s="110" t="n">
        <f aca="false">AG105*INDEX(Premissas!$C$68:$G$68,AG$7)*Premissas!$B$67*Premissas!$B$66</f>
        <v>61122.7684191006</v>
      </c>
      <c r="AH115" s="110" t="n">
        <f aca="false">AH105*INDEX(Premissas!$C$68:$G$68,AH$7)*Premissas!$B$67*Premissas!$B$66</f>
        <v>63694.869747705</v>
      </c>
      <c r="AI115" s="110" t="n">
        <f aca="false">AI105*INDEX(Premissas!$C$68:$G$68,AI$7)*Premissas!$B$67*Premissas!$B$66</f>
        <v>66136.3494824376</v>
      </c>
      <c r="AJ115" s="110" t="n">
        <f aca="false">AJ105*INDEX(Premissas!$C$68:$G$68,AJ$7)*Premissas!$B$67*Premissas!$B$66</f>
        <v>68453.8411103215</v>
      </c>
      <c r="AK115" s="110" t="n">
        <f aca="false">AK105*INDEX(Premissas!$C$68:$G$68,AK$7)*Premissas!$B$67*Premissas!$B$66</f>
        <v>70653.6412433749</v>
      </c>
      <c r="AL115" s="110" t="n">
        <f aca="false">AL105*INDEX(Premissas!$C$68:$G$68,AL$7)*Premissas!$B$67*Premissas!$B$66</f>
        <v>122295.149900518</v>
      </c>
      <c r="AM115" s="110" t="n">
        <f aca="false">AM105*INDEX(Premissas!$C$68:$G$68,AM$7)*Premissas!$B$67*Premissas!$B$66</f>
        <v>131112.333559374</v>
      </c>
      <c r="AN115" s="110" t="n">
        <f aca="false">AN105*INDEX(Premissas!$C$68:$G$68,AN$7)*Premissas!$B$67*Premissas!$B$66</f>
        <v>139517.567111693</v>
      </c>
      <c r="AO115" s="110" t="n">
        <f aca="false">AO105*INDEX(Premissas!$C$68:$G$68,AO$7)*Premissas!$B$67*Premissas!$B$66</f>
        <v>147530.097393749</v>
      </c>
      <c r="AP115" s="110" t="n">
        <f aca="false">AP105*INDEX(Premissas!$C$68:$G$68,AP$7)*Premissas!$B$67*Premissas!$B$66</f>
        <v>155168.272004988</v>
      </c>
      <c r="AQ115" s="110" t="n">
        <f aca="false">AQ105*INDEX(Premissas!$C$68:$G$68,AQ$7)*Premissas!$B$67*Premissas!$B$66</f>
        <v>162449.581321527</v>
      </c>
      <c r="AR115" s="110" t="n">
        <f aca="false">AR105*INDEX(Premissas!$C$68:$G$68,AR$7)*Premissas!$B$67*Premissas!$B$66</f>
        <v>169390.698546721</v>
      </c>
      <c r="AS115" s="110" t="n">
        <f aca="false">AS105*INDEX(Premissas!$C$68:$G$68,AS$7)*Premissas!$B$67*Premissas!$B$66</f>
        <v>176007.517890524</v>
      </c>
      <c r="AT115" s="110" t="n">
        <f aca="false">AT105*INDEX(Premissas!$C$68:$G$68,AT$7)*Premissas!$B$67*Premissas!$B$66</f>
        <v>182315.190965056</v>
      </c>
      <c r="AU115" s="110" t="n">
        <f aca="false">AU105*INDEX(Premissas!$C$68:$G$68,AU$7)*Premissas!$B$67*Premissas!$B$66</f>
        <v>188328.161479724</v>
      </c>
      <c r="AV115" s="110" t="n">
        <f aca="false">AV105*INDEX(Premissas!$C$68:$G$68,AV$7)*Premissas!$B$67*Premissas!$B$66</f>
        <v>194060.198315345</v>
      </c>
      <c r="AW115" s="110" t="n">
        <f aca="false">AW105*INDEX(Premissas!$C$68:$G$68,AW$7)*Premissas!$B$67*Premissas!$B$66</f>
        <v>199524.427052998</v>
      </c>
      <c r="AX115" s="110" t="n">
        <f aca="false">AX105*INDEX(Premissas!$C$68:$G$68,AX$7)*Premissas!$B$67*Premissas!$B$66</f>
        <v>267747.130899587</v>
      </c>
      <c r="AY115" s="110" t="n">
        <f aca="false">AY105*INDEX(Premissas!$C$68:$G$68,AY$7)*Premissas!$B$67*Premissas!$B$66</f>
        <v>285300.340521388</v>
      </c>
      <c r="AZ115" s="110" t="n">
        <f aca="false">AZ105*INDEX(Premissas!$C$68:$G$68,AZ$7)*Premissas!$B$67*Premissas!$B$66</f>
        <v>302099.05039528</v>
      </c>
      <c r="BA115" s="110" t="n">
        <f aca="false">BA105*INDEX(Premissas!$C$68:$G$68,BA$7)*Premissas!$B$67*Premissas!$B$66</f>
        <v>318175.691619728</v>
      </c>
      <c r="BB115" s="110" t="n">
        <f aca="false">BB105*INDEX(Premissas!$C$68:$G$68,BB$7)*Premissas!$B$67*Premissas!$B$66</f>
        <v>333561.301288558</v>
      </c>
      <c r="BC115" s="110" t="n">
        <f aca="false">BC105*INDEX(Premissas!$C$68:$G$68,BC$7)*Premissas!$B$67*Premissas!$B$66</f>
        <v>348285.582410264</v>
      </c>
      <c r="BD115" s="110" t="n">
        <f aca="false">BD105*INDEX(Premissas!$C$68:$G$68,BD$7)*Premissas!$B$67*Premissas!$B$66</f>
        <v>362376.961251772</v>
      </c>
      <c r="BE115" s="110" t="n">
        <f aca="false">BE105*INDEX(Premissas!$C$68:$G$68,BE$7)*Premissas!$B$67*Premissas!$B$66</f>
        <v>375862.642217354</v>
      </c>
      <c r="BF115" s="110" t="n">
        <f aca="false">BF105*INDEX(Premissas!$C$68:$G$68,BF$7)*Premissas!$B$67*Premissas!$B$66</f>
        <v>388768.660368663</v>
      </c>
      <c r="BG115" s="110" t="n">
        <f aca="false">BG105*INDEX(Premissas!$C$68:$G$68,BG$7)*Premissas!$B$67*Premissas!$B$66</f>
        <v>401119.931687259</v>
      </c>
      <c r="BH115" s="110" t="n">
        <f aca="false">BH105*INDEX(Premissas!$C$68:$G$68,BH$7)*Premissas!$B$67*Premissas!$B$66</f>
        <v>412940.301176673</v>
      </c>
      <c r="BI115" s="110" t="n">
        <f aca="false">BI105*INDEX(Premissas!$C$68:$G$68,BI$7)*Premissas!$B$67*Premissas!$B$66</f>
        <v>424252.588896878</v>
      </c>
      <c r="BJ115" s="111" t="n">
        <f aca="false">SUM(B115:BI115)</f>
        <v>7029952.02392073</v>
      </c>
    </row>
    <row r="116" customFormat="false" ht="15" hidden="false" customHeight="false" outlineLevel="0" collapsed="false">
      <c r="A116" s="27" t="s">
        <v>578</v>
      </c>
      <c r="B116" s="110" t="n">
        <f aca="false">Aportes!B100</f>
        <v>0</v>
      </c>
      <c r="C116" s="110" t="n">
        <f aca="false">Aportes!C100</f>
        <v>0</v>
      </c>
      <c r="D116" s="110" t="n">
        <f aca="false">Aportes!D100</f>
        <v>0</v>
      </c>
      <c r="E116" s="110" t="n">
        <f aca="false">Aportes!E100</f>
        <v>0</v>
      </c>
      <c r="F116" s="110" t="n">
        <f aca="false">Aportes!F100</f>
        <v>0</v>
      </c>
      <c r="G116" s="110" t="n">
        <f aca="false">Aportes!G100</f>
        <v>0</v>
      </c>
      <c r="H116" s="110" t="n">
        <f aca="false">Aportes!H100</f>
        <v>0</v>
      </c>
      <c r="I116" s="110" t="n">
        <f aca="false">Aportes!I100</f>
        <v>0</v>
      </c>
      <c r="J116" s="110" t="n">
        <f aca="false">Aportes!J100</f>
        <v>0</v>
      </c>
      <c r="K116" s="110" t="n">
        <f aca="false">Aportes!K100</f>
        <v>0</v>
      </c>
      <c r="L116" s="110" t="n">
        <f aca="false">Aportes!L100</f>
        <v>0</v>
      </c>
      <c r="M116" s="110" t="n">
        <f aca="false">Aportes!M100</f>
        <v>0</v>
      </c>
      <c r="N116" s="110" t="n">
        <f aca="false">Aportes!N100</f>
        <v>0</v>
      </c>
      <c r="O116" s="110" t="n">
        <f aca="false">Aportes!O100</f>
        <v>0</v>
      </c>
      <c r="P116" s="110" t="n">
        <f aca="false">Aportes!P100</f>
        <v>0</v>
      </c>
      <c r="Q116" s="110" t="n">
        <f aca="false">Aportes!Q100</f>
        <v>0</v>
      </c>
      <c r="R116" s="110" t="n">
        <f aca="false">Aportes!R100</f>
        <v>0</v>
      </c>
      <c r="S116" s="110" t="n">
        <f aca="false">Aportes!S100</f>
        <v>0</v>
      </c>
      <c r="T116" s="110" t="n">
        <f aca="false">Aportes!T100</f>
        <v>0</v>
      </c>
      <c r="U116" s="110" t="n">
        <f aca="false">Aportes!U100</f>
        <v>0</v>
      </c>
      <c r="V116" s="110" t="n">
        <f aca="false">Aportes!V100</f>
        <v>0</v>
      </c>
      <c r="W116" s="110" t="n">
        <f aca="false">Aportes!W100</f>
        <v>0</v>
      </c>
      <c r="X116" s="110" t="n">
        <f aca="false">Aportes!X100</f>
        <v>0</v>
      </c>
      <c r="Y116" s="110" t="n">
        <f aca="false">Aportes!Y100</f>
        <v>0</v>
      </c>
      <c r="Z116" s="110" t="n">
        <f aca="false">Aportes!Z100</f>
        <v>0</v>
      </c>
      <c r="AA116" s="110" t="n">
        <f aca="false">Aportes!AA100</f>
        <v>0</v>
      </c>
      <c r="AB116" s="110" t="n">
        <f aca="false">Aportes!AB100</f>
        <v>0</v>
      </c>
      <c r="AC116" s="110" t="n">
        <f aca="false">Aportes!AC100</f>
        <v>0</v>
      </c>
      <c r="AD116" s="110" t="n">
        <f aca="false">Aportes!AD100</f>
        <v>0</v>
      </c>
      <c r="AE116" s="110" t="n">
        <f aca="false">Aportes!AE100</f>
        <v>0</v>
      </c>
      <c r="AF116" s="110" t="n">
        <f aca="false">Aportes!AF100</f>
        <v>0</v>
      </c>
      <c r="AG116" s="110" t="n">
        <f aca="false">Aportes!AG100</f>
        <v>0</v>
      </c>
      <c r="AH116" s="110" t="n">
        <f aca="false">Aportes!AH100</f>
        <v>0</v>
      </c>
      <c r="AI116" s="110" t="n">
        <f aca="false">Aportes!AI100</f>
        <v>0</v>
      </c>
      <c r="AJ116" s="110" t="n">
        <f aca="false">Aportes!AJ100</f>
        <v>0</v>
      </c>
      <c r="AK116" s="110" t="n">
        <f aca="false">Aportes!AK100</f>
        <v>0</v>
      </c>
      <c r="AL116" s="110" t="n">
        <f aca="false">Aportes!AL100</f>
        <v>0</v>
      </c>
      <c r="AM116" s="110" t="n">
        <f aca="false">Aportes!AM100</f>
        <v>0</v>
      </c>
      <c r="AN116" s="110" t="n">
        <f aca="false">Aportes!AN100</f>
        <v>0</v>
      </c>
      <c r="AO116" s="110" t="n">
        <f aca="false">Aportes!AO100</f>
        <v>0</v>
      </c>
      <c r="AP116" s="110" t="n">
        <f aca="false">Aportes!AP100</f>
        <v>0</v>
      </c>
      <c r="AQ116" s="110" t="n">
        <f aca="false">Aportes!AQ100</f>
        <v>0</v>
      </c>
      <c r="AR116" s="110" t="n">
        <f aca="false">Aportes!AR100</f>
        <v>0</v>
      </c>
      <c r="AS116" s="110" t="n">
        <f aca="false">Aportes!AS100</f>
        <v>0</v>
      </c>
      <c r="AT116" s="110" t="n">
        <f aca="false">Aportes!AT100</f>
        <v>0</v>
      </c>
      <c r="AU116" s="110" t="n">
        <f aca="false">Aportes!AU100</f>
        <v>0</v>
      </c>
      <c r="AV116" s="110" t="n">
        <f aca="false">Aportes!AV100</f>
        <v>0</v>
      </c>
      <c r="AW116" s="110" t="n">
        <f aca="false">Aportes!AW100</f>
        <v>0</v>
      </c>
      <c r="AX116" s="110" t="n">
        <f aca="false">Aportes!AX100</f>
        <v>0</v>
      </c>
      <c r="AY116" s="110" t="n">
        <f aca="false">Aportes!AY100</f>
        <v>0</v>
      </c>
      <c r="AZ116" s="110" t="n">
        <f aca="false">Aportes!AZ100</f>
        <v>0</v>
      </c>
      <c r="BA116" s="110" t="n">
        <f aca="false">Aportes!BA100</f>
        <v>0</v>
      </c>
      <c r="BB116" s="110" t="n">
        <f aca="false">Aportes!BB100</f>
        <v>0</v>
      </c>
      <c r="BC116" s="110" t="n">
        <f aca="false">Aportes!BC100</f>
        <v>0</v>
      </c>
      <c r="BD116" s="110" t="n">
        <f aca="false">Aportes!BD100</f>
        <v>0</v>
      </c>
      <c r="BE116" s="110" t="n">
        <f aca="false">Aportes!BE100</f>
        <v>0</v>
      </c>
      <c r="BF116" s="110" t="n">
        <f aca="false">Aportes!BF100</f>
        <v>0</v>
      </c>
      <c r="BG116" s="110" t="n">
        <f aca="false">Aportes!BG100</f>
        <v>0</v>
      </c>
      <c r="BH116" s="110" t="n">
        <f aca="false">Aportes!BH100</f>
        <v>0</v>
      </c>
      <c r="BI116" s="110" t="n">
        <f aca="false">Aportes!BI100</f>
        <v>0</v>
      </c>
      <c r="BJ116" s="111" t="n">
        <f aca="false">SUM(B116:BI116)</f>
        <v>0</v>
      </c>
    </row>
    <row r="117" customFormat="false" ht="15" hidden="false" customHeight="false" outlineLevel="0" collapsed="false">
      <c r="A117" s="51" t="s">
        <v>524</v>
      </c>
      <c r="B117" s="111" t="n">
        <f aca="false">SUM(B114:B116)</f>
        <v>0</v>
      </c>
      <c r="C117" s="111" t="n">
        <f aca="false">SUM(C114:C116)</f>
        <v>0</v>
      </c>
      <c r="D117" s="111" t="n">
        <f aca="false">SUM(D114:D116)</f>
        <v>0</v>
      </c>
      <c r="E117" s="111" t="n">
        <f aca="false">SUM(E114:E116)</f>
        <v>0</v>
      </c>
      <c r="F117" s="111" t="n">
        <f aca="false">SUM(F114:F116)</f>
        <v>0</v>
      </c>
      <c r="G117" s="111" t="n">
        <f aca="false">SUM(G114:G116)</f>
        <v>0</v>
      </c>
      <c r="H117" s="111" t="n">
        <f aca="false">SUM(H114:H116)</f>
        <v>0</v>
      </c>
      <c r="I117" s="111" t="n">
        <f aca="false">SUM(I114:I116)</f>
        <v>0</v>
      </c>
      <c r="J117" s="111" t="n">
        <f aca="false">SUM(J114:J116)</f>
        <v>0</v>
      </c>
      <c r="K117" s="111" t="n">
        <f aca="false">SUM(K114:K116)</f>
        <v>7970.4</v>
      </c>
      <c r="L117" s="111" t="n">
        <f aca="false">SUM(L114:L116)</f>
        <v>30885.3</v>
      </c>
      <c r="M117" s="111" t="n">
        <f aca="false">SUM(M114:M116)</f>
        <v>67349.6</v>
      </c>
      <c r="N117" s="111" t="n">
        <f aca="false">SUM(N114:N116)</f>
        <v>167511.404790448</v>
      </c>
      <c r="O117" s="111" t="n">
        <f aca="false">SUM(O114:O116)</f>
        <v>274473.730637615</v>
      </c>
      <c r="P117" s="111" t="n">
        <f aca="false">SUM(P114:P116)</f>
        <v>402931.829799219</v>
      </c>
      <c r="Q117" s="111" t="n">
        <f aca="false">SUM(Q114:Q116)</f>
        <v>473859.032632302</v>
      </c>
      <c r="R117" s="111" t="n">
        <f aca="false">SUM(R114:R116)</f>
        <v>540802.184690599</v>
      </c>
      <c r="S117" s="111" t="n">
        <f aca="false">SUM(S114:S116)</f>
        <v>604099.787077278</v>
      </c>
      <c r="T117" s="111" t="n">
        <f aca="false">SUM(T114:T116)</f>
        <v>663985.881867412</v>
      </c>
      <c r="U117" s="111" t="n">
        <f aca="false">SUM(U114:U116)</f>
        <v>720443.244651531</v>
      </c>
      <c r="V117" s="111" t="n">
        <f aca="false">SUM(V114:V116)</f>
        <v>773851.507748766</v>
      </c>
      <c r="W117" s="111" t="n">
        <f aca="false">SUM(W114:W116)</f>
        <v>824234.878135435</v>
      </c>
      <c r="X117" s="111" t="n">
        <f aca="false">SUM(X114:X116)</f>
        <v>871889.254632358</v>
      </c>
      <c r="Y117" s="111" t="n">
        <f aca="false">SUM(Y114:Y116)</f>
        <v>916942.921891852</v>
      </c>
      <c r="Z117" s="111" t="n">
        <f aca="false">SUM(Z114:Z116)</f>
        <v>1249488.46980588</v>
      </c>
      <c r="AA117" s="111" t="n">
        <f aca="false">SUM(AA114:AA116)</f>
        <v>1368774.45128884</v>
      </c>
      <c r="AB117" s="111" t="n">
        <f aca="false">SUM(AB114:AB116)</f>
        <v>1481907.98914801</v>
      </c>
      <c r="AC117" s="111" t="n">
        <f aca="false">SUM(AC114:AC116)</f>
        <v>1589356.0866844</v>
      </c>
      <c r="AD117" s="111" t="n">
        <f aca="false">SUM(AD114:AD116)</f>
        <v>1691257.98211476</v>
      </c>
      <c r="AE117" s="111" t="n">
        <f aca="false">SUM(AE114:AE116)</f>
        <v>1788123.63240152</v>
      </c>
      <c r="AF117" s="111" t="n">
        <f aca="false">SUM(AF114:AF116)</f>
        <v>1879938.71295145</v>
      </c>
      <c r="AG117" s="111" t="n">
        <f aca="false">SUM(AG114:AG116)</f>
        <v>1967146.8071016</v>
      </c>
      <c r="AH117" s="111" t="n">
        <f aca="false">SUM(AH114:AH116)</f>
        <v>2049929.2367052</v>
      </c>
      <c r="AI117" s="111" t="n">
        <f aca="false">SUM(AI114:AI116)</f>
        <v>2128488.89943244</v>
      </c>
      <c r="AJ117" s="111" t="n">
        <f aca="false">SUM(AJ114:AJ116)</f>
        <v>2203093.75035282</v>
      </c>
      <c r="AK117" s="111" t="n">
        <f aca="false">SUM(AK114:AK116)</f>
        <v>2273945.88616087</v>
      </c>
      <c r="AL117" s="111" t="n">
        <f aca="false">SUM(AL114:AL116)</f>
        <v>3010702.21240398</v>
      </c>
      <c r="AM117" s="111" t="n">
        <f aca="false">SUM(AM114:AM116)</f>
        <v>3227842.92391319</v>
      </c>
      <c r="AN117" s="111" t="n">
        <f aca="false">SUM(AN114:AN116)</f>
        <v>3434766.10127018</v>
      </c>
      <c r="AO117" s="111" t="n">
        <f aca="false">SUM(AO114:AO116)</f>
        <v>3631991.73500689</v>
      </c>
      <c r="AP117" s="111" t="n">
        <f aca="false">SUM(AP114:AP116)</f>
        <v>3820015.97897929</v>
      </c>
      <c r="AQ117" s="111" t="n">
        <f aca="false">SUM(AQ114:AQ116)</f>
        <v>3999311.42061415</v>
      </c>
      <c r="AR117" s="111" t="n">
        <f aca="false">SUM(AR114:AR116)</f>
        <v>4170213.0043471</v>
      </c>
      <c r="AS117" s="111" t="n">
        <f aca="false">SUM(AS114:AS116)</f>
        <v>4333077.94717606</v>
      </c>
      <c r="AT117" s="111" t="n">
        <f aca="false">SUM(AT114:AT116)</f>
        <v>4488376.49776382</v>
      </c>
      <c r="AU117" s="111" t="n">
        <f aca="false">SUM(AU114:AU116)</f>
        <v>4636441.71340187</v>
      </c>
      <c r="AV117" s="111" t="n">
        <f aca="false">SUM(AV114:AV116)</f>
        <v>4777537.16423581</v>
      </c>
      <c r="AW117" s="111" t="n">
        <f aca="false">SUM(AW114:AW116)</f>
        <v>4912040.2360738</v>
      </c>
      <c r="AX117" s="111" t="n">
        <f aca="false">SUM(AX114:AX116)</f>
        <v>6382314.34673266</v>
      </c>
      <c r="AY117" s="111" t="n">
        <f aca="false">SUM(AY114:AY116)</f>
        <v>6800758.91936376</v>
      </c>
      <c r="AZ117" s="111" t="n">
        <f aca="false">SUM(AZ114:AZ116)</f>
        <v>7201162.48111602</v>
      </c>
      <c r="BA117" s="111" t="n">
        <f aca="false">SUM(BA114:BA116)</f>
        <v>7584389.960323</v>
      </c>
      <c r="BB117" s="111" t="n">
        <f aca="false">SUM(BB114:BB116)</f>
        <v>7951209.48982555</v>
      </c>
      <c r="BC117" s="111" t="n">
        <f aca="false">SUM(BC114:BC116)</f>
        <v>8302149.72241469</v>
      </c>
      <c r="BD117" s="111" t="n">
        <f aca="false">SUM(BD114:BD116)</f>
        <v>8638071.82009615</v>
      </c>
      <c r="BE117" s="111" t="n">
        <f aca="false">SUM(BE114:BE116)</f>
        <v>8959501.81780484</v>
      </c>
      <c r="BF117" s="111" t="n">
        <f aca="false">SUM(BF114:BF116)</f>
        <v>9267131.89149274</v>
      </c>
      <c r="BG117" s="111" t="n">
        <f aca="false">SUM(BG114:BG116)</f>
        <v>9561629.00915597</v>
      </c>
      <c r="BH117" s="111" t="n">
        <f aca="false">SUM(BH114:BH116)</f>
        <v>9843349.48998392</v>
      </c>
      <c r="BI117" s="111" t="n">
        <f aca="false">SUM(BI114:BI116)</f>
        <v>10113006.026047</v>
      </c>
      <c r="BJ117" s="111" t="n">
        <f aca="false">SUM(B117:BI117)</f>
        <v>178059674.772245</v>
      </c>
    </row>
    <row r="118" customFormat="false" ht="15" hidden="false" customHeight="false" outlineLevel="0" collapsed="false">
      <c r="A118" s="27" t="s">
        <v>579</v>
      </c>
      <c r="B118" s="110" t="n">
        <f aca="false">B117*12</f>
        <v>0</v>
      </c>
      <c r="C118" s="110" t="n">
        <f aca="false">SUM($B117:B117)/1*12</f>
        <v>0</v>
      </c>
      <c r="D118" s="110" t="n">
        <f aca="false">SUM($B117:C117)/2*12</f>
        <v>0</v>
      </c>
      <c r="E118" s="110" t="n">
        <f aca="false">SUM($B117:D117)/3*12</f>
        <v>0</v>
      </c>
      <c r="F118" s="110" t="n">
        <f aca="false">SUM($B117:E117)/4*12</f>
        <v>0</v>
      </c>
      <c r="G118" s="110" t="n">
        <f aca="false">SUM($B117:F117)/5*12</f>
        <v>0</v>
      </c>
      <c r="H118" s="110" t="n">
        <f aca="false">SUM($B117:G117)/6*12</f>
        <v>0</v>
      </c>
      <c r="I118" s="110" t="n">
        <f aca="false">SUM($B117:H117)/7*12</f>
        <v>0</v>
      </c>
      <c r="J118" s="110" t="n">
        <f aca="false">SUM($B117:I117)/8*12</f>
        <v>0</v>
      </c>
      <c r="K118" s="110" t="n">
        <f aca="false">SUM($B117:J117)/9*12</f>
        <v>0</v>
      </c>
      <c r="L118" s="110" t="n">
        <f aca="false">SUM($B117:K117)/10*12</f>
        <v>9564.48</v>
      </c>
      <c r="M118" s="110" t="n">
        <f aca="false">SUM($B117:L117)/11*12</f>
        <v>42388.0363636364</v>
      </c>
      <c r="N118" s="110" t="n">
        <f aca="false">SUM(B117:M117)</f>
        <v>106205.3</v>
      </c>
      <c r="O118" s="110" t="n">
        <f aca="false">SUM(C117:N117)</f>
        <v>273716.704790448</v>
      </c>
      <c r="P118" s="110" t="n">
        <f aca="false">SUM(D117:O117)</f>
        <v>548190.435428063</v>
      </c>
      <c r="Q118" s="110" t="n">
        <f aca="false">SUM(E117:P117)</f>
        <v>951122.265227282</v>
      </c>
      <c r="R118" s="110" t="n">
        <f aca="false">SUM(F117:Q117)</f>
        <v>1424981.29785958</v>
      </c>
      <c r="S118" s="110" t="n">
        <f aca="false">SUM(G117:R117)</f>
        <v>1965783.48255018</v>
      </c>
      <c r="T118" s="110" t="n">
        <f aca="false">SUM(H117:S117)</f>
        <v>2569883.26962746</v>
      </c>
      <c r="U118" s="110" t="n">
        <f aca="false">SUM(I117:T117)</f>
        <v>3233869.15149487</v>
      </c>
      <c r="V118" s="110" t="n">
        <f aca="false">SUM(J117:U117)</f>
        <v>3954312.3961464</v>
      </c>
      <c r="W118" s="110" t="n">
        <f aca="false">SUM(K117:V117)</f>
        <v>4728163.90389517</v>
      </c>
      <c r="X118" s="110" t="n">
        <f aca="false">SUM(L117:W117)</f>
        <v>5544428.3820306</v>
      </c>
      <c r="Y118" s="110" t="n">
        <f aca="false">SUM(M117:X117)</f>
        <v>6385432.33666296</v>
      </c>
      <c r="Z118" s="110" t="n">
        <f aca="false">SUM(N117:Y117)</f>
        <v>7235025.65855482</v>
      </c>
      <c r="AA118" s="110" t="n">
        <f aca="false">SUM(O117:Z117)</f>
        <v>8317002.72357025</v>
      </c>
      <c r="AB118" s="110" t="n">
        <f aca="false">SUM(P117:AA117)</f>
        <v>9411303.44422147</v>
      </c>
      <c r="AC118" s="110" t="n">
        <f aca="false">SUM(Q117:AB117)</f>
        <v>10490279.6035703</v>
      </c>
      <c r="AD118" s="110" t="n">
        <f aca="false">SUM(R117:AC117)</f>
        <v>11605776.6576224</v>
      </c>
      <c r="AE118" s="110" t="n">
        <f aca="false">SUM(S117:AD117)</f>
        <v>12756232.4550465</v>
      </c>
      <c r="AF118" s="110" t="n">
        <f aca="false">SUM(T117:AE117)</f>
        <v>13940256.3003708</v>
      </c>
      <c r="AG118" s="110" t="n">
        <f aca="false">SUM(U117:AF117)</f>
        <v>15156209.1314548</v>
      </c>
      <c r="AH118" s="110" t="n">
        <f aca="false">SUM(V117:AG117)</f>
        <v>16402912.6939049</v>
      </c>
      <c r="AI118" s="110" t="n">
        <f aca="false">SUM(W117:AH117)</f>
        <v>17678990.4228613</v>
      </c>
      <c r="AJ118" s="110" t="n">
        <f aca="false">SUM(X117:AI117)</f>
        <v>18983244.4441583</v>
      </c>
      <c r="AK118" s="110" t="n">
        <f aca="false">SUM(Y117:AJ117)</f>
        <v>20314448.9398788</v>
      </c>
      <c r="AL118" s="110" t="n">
        <f aca="false">SUM(Z117:AK117)</f>
        <v>21671451.9041478</v>
      </c>
      <c r="AM118" s="110" t="n">
        <f aca="false">SUM(AA117:AL117)</f>
        <v>23432665.6467459</v>
      </c>
      <c r="AN118" s="110" t="n">
        <f aca="false">SUM(AB117:AM117)</f>
        <v>25291734.1193702</v>
      </c>
      <c r="AO118" s="110" t="n">
        <f aca="false">SUM(AC117:AN117)</f>
        <v>27244592.2314924</v>
      </c>
      <c r="AP118" s="110" t="n">
        <f aca="false">SUM(AD117:AO117)</f>
        <v>29287227.8798149</v>
      </c>
      <c r="AQ118" s="110" t="n">
        <f aca="false">SUM(AE117:AP117)</f>
        <v>31415985.8766794</v>
      </c>
      <c r="AR118" s="110" t="n">
        <f aca="false">SUM(AF117:AQ117)</f>
        <v>33627173.6648921</v>
      </c>
      <c r="AS118" s="110" t="n">
        <f aca="false">SUM(AG117:AR117)</f>
        <v>35917447.9562877</v>
      </c>
      <c r="AT118" s="110" t="n">
        <f aca="false">SUM(AH117:AS117)</f>
        <v>38283379.0963622</v>
      </c>
      <c r="AU118" s="110" t="n">
        <f aca="false">SUM(AI117:AT117)</f>
        <v>40721826.3574208</v>
      </c>
      <c r="AV118" s="110" t="n">
        <f aca="false">SUM(AJ117:AU117)</f>
        <v>43229779.1713902</v>
      </c>
      <c r="AW118" s="110" t="n">
        <f aca="false">SUM(AK117:AV117)</f>
        <v>45804222.5852732</v>
      </c>
      <c r="AX118" s="110" t="n">
        <f aca="false">SUM(AL117:AW117)</f>
        <v>48442316.9351861</v>
      </c>
      <c r="AY118" s="110" t="n">
        <f aca="false">SUM(AM117:AX117)</f>
        <v>51813929.0695148</v>
      </c>
      <c r="AZ118" s="110" t="n">
        <f aca="false">SUM(AN117:AY117)</f>
        <v>55386845.0649654</v>
      </c>
      <c r="BA118" s="110" t="n">
        <f aca="false">SUM(AO117:AZ117)</f>
        <v>59153241.4448112</v>
      </c>
      <c r="BB118" s="110" t="n">
        <f aca="false">SUM(AP117:BA117)</f>
        <v>63105639.6701273</v>
      </c>
      <c r="BC118" s="110" t="n">
        <f aca="false">SUM(AQ117:BB117)</f>
        <v>67236833.1809736</v>
      </c>
      <c r="BD118" s="110" t="n">
        <f aca="false">SUM(AR117:BC117)</f>
        <v>71539671.4827741</v>
      </c>
      <c r="BE118" s="110" t="n">
        <f aca="false">SUM(AS117:BD117)</f>
        <v>76007530.2985232</v>
      </c>
      <c r="BF118" s="110" t="n">
        <f aca="false">SUM(AT117:BE117)</f>
        <v>80633954.169152</v>
      </c>
      <c r="BG118" s="110" t="n">
        <f aca="false">SUM(AU117:BF117)</f>
        <v>85412709.5628809</v>
      </c>
      <c r="BH118" s="110" t="n">
        <f aca="false">SUM(AV117:BG117)</f>
        <v>90337896.858635</v>
      </c>
      <c r="BI118" s="110" t="n">
        <f aca="false">SUM(AW117:BH117)</f>
        <v>95403709.1843831</v>
      </c>
      <c r="BJ118" s="111" t="n">
        <f aca="false">BI118</f>
        <v>95403709.1843831</v>
      </c>
      <c r="BK118" s="29" t="s">
        <v>571</v>
      </c>
    </row>
    <row r="119" customFormat="false" ht="15" hidden="false" customHeight="false" outlineLevel="0" collapsed="false">
      <c r="A119" s="27" t="s">
        <v>527</v>
      </c>
      <c r="B119" s="168" t="n">
        <f aca="false">IF(Premissas!$B$23=3,Premissas!$B$24,IF(B118&gt;Premissas!$B$25,Premissas!$B$24,IFERROR(MAX(Tributos!$C$24,(INDEX(Tributos!$C$24:$C$29,MATCH(B118,Tributos!$B$24:$B$29,1))*B118-INDEX(Tributos!$D$24:$D$29,MATCH(B118,Tributos!$B$24:$B$29,1)))/B118),Tributos!$C$24)))</f>
        <v>0.155</v>
      </c>
      <c r="C119" s="168" t="n">
        <f aca="false">IF(Premissas!$B$23=3,Premissas!$B$24,IF(C118&gt;Premissas!$B$25,Premissas!$B$24,IFERROR(MAX(Tributos!$C$24,(INDEX(Tributos!$C$24:$C$29,MATCH(C118,Tributos!$B$24:$B$29,1))*C118-INDEX(Tributos!$D$24:$D$29,MATCH(C118,Tributos!$B$24:$B$29,1)))/C118),Tributos!$C$24)))</f>
        <v>0.155</v>
      </c>
      <c r="D119" s="168" t="n">
        <f aca="false">IF(Premissas!$B$23=3,Premissas!$B$24,IF(D118&gt;Premissas!$B$25,Premissas!$B$24,IFERROR(MAX(Tributos!$C$24,(INDEX(Tributos!$C$24:$C$29,MATCH(D118,Tributos!$B$24:$B$29,1))*D118-INDEX(Tributos!$D$24:$D$29,MATCH(D118,Tributos!$B$24:$B$29,1)))/D118),Tributos!$C$24)))</f>
        <v>0.155</v>
      </c>
      <c r="E119" s="168" t="n">
        <f aca="false">IF(Premissas!$B$23=3,Premissas!$B$24,IF(E118&gt;Premissas!$B$25,Premissas!$B$24,IFERROR(MAX(Tributos!$C$24,(INDEX(Tributos!$C$24:$C$29,MATCH(E118,Tributos!$B$24:$B$29,1))*E118-INDEX(Tributos!$D$24:$D$29,MATCH(E118,Tributos!$B$24:$B$29,1)))/E118),Tributos!$C$24)))</f>
        <v>0.155</v>
      </c>
      <c r="F119" s="168" t="n">
        <f aca="false">IF(Premissas!$B$23=3,Premissas!$B$24,IF(F118&gt;Premissas!$B$25,Premissas!$B$24,IFERROR(MAX(Tributos!$C$24,(INDEX(Tributos!$C$24:$C$29,MATCH(F118,Tributos!$B$24:$B$29,1))*F118-INDEX(Tributos!$D$24:$D$29,MATCH(F118,Tributos!$B$24:$B$29,1)))/F118),Tributos!$C$24)))</f>
        <v>0.155</v>
      </c>
      <c r="G119" s="168" t="n">
        <f aca="false">IF(Premissas!$B$23=3,Premissas!$B$24,IF(G118&gt;Premissas!$B$25,Premissas!$B$24,IFERROR(MAX(Tributos!$C$24,(INDEX(Tributos!$C$24:$C$29,MATCH(G118,Tributos!$B$24:$B$29,1))*G118-INDEX(Tributos!$D$24:$D$29,MATCH(G118,Tributos!$B$24:$B$29,1)))/G118),Tributos!$C$24)))</f>
        <v>0.155</v>
      </c>
      <c r="H119" s="168" t="n">
        <f aca="false">IF(Premissas!$B$23=3,Premissas!$B$24,IF(H118&gt;Premissas!$B$25,Premissas!$B$24,IFERROR(MAX(Tributos!$C$24,(INDEX(Tributos!$C$24:$C$29,MATCH(H118,Tributos!$B$24:$B$29,1))*H118-INDEX(Tributos!$D$24:$D$29,MATCH(H118,Tributos!$B$24:$B$29,1)))/H118),Tributos!$C$24)))</f>
        <v>0.155</v>
      </c>
      <c r="I119" s="168" t="n">
        <f aca="false">IF(Premissas!$B$23=3,Premissas!$B$24,IF(I118&gt;Premissas!$B$25,Premissas!$B$24,IFERROR(MAX(Tributos!$C$24,(INDEX(Tributos!$C$24:$C$29,MATCH(I118,Tributos!$B$24:$B$29,1))*I118-INDEX(Tributos!$D$24:$D$29,MATCH(I118,Tributos!$B$24:$B$29,1)))/I118),Tributos!$C$24)))</f>
        <v>0.155</v>
      </c>
      <c r="J119" s="168" t="n">
        <f aca="false">IF(Premissas!$B$23=3,Premissas!$B$24,IF(J118&gt;Premissas!$B$25,Premissas!$B$24,IFERROR(MAX(Tributos!$C$24,(INDEX(Tributos!$C$24:$C$29,MATCH(J118,Tributos!$B$24:$B$29,1))*J118-INDEX(Tributos!$D$24:$D$29,MATCH(J118,Tributos!$B$24:$B$29,1)))/J118),Tributos!$C$24)))</f>
        <v>0.155</v>
      </c>
      <c r="K119" s="168" t="n">
        <f aca="false">IF(Premissas!$B$23=3,Premissas!$B$24,IF(K118&gt;Premissas!$B$25,Premissas!$B$24,IFERROR(MAX(Tributos!$C$24,(INDEX(Tributos!$C$24:$C$29,MATCH(K118,Tributos!$B$24:$B$29,1))*K118-INDEX(Tributos!$D$24:$D$29,MATCH(K118,Tributos!$B$24:$B$29,1)))/K118),Tributos!$C$24)))</f>
        <v>0.155</v>
      </c>
      <c r="L119" s="168" t="n">
        <f aca="false">IF(Premissas!$B$23=3,Premissas!$B$24,IF(L118&gt;Premissas!$B$25,Premissas!$B$24,IFERROR(MAX(Tributos!$C$24,(INDEX(Tributos!$C$24:$C$29,MATCH(L118,Tributos!$B$24:$B$29,1))*L118-INDEX(Tributos!$D$24:$D$29,MATCH(L118,Tributos!$B$24:$B$29,1)))/L118),Tributos!$C$24)))</f>
        <v>0.155</v>
      </c>
      <c r="M119" s="168" t="n">
        <f aca="false">IF(Premissas!$B$23=3,Premissas!$B$24,IF(M118&gt;Premissas!$B$25,Premissas!$B$24,IFERROR(MAX(Tributos!$C$24,(INDEX(Tributos!$C$24:$C$29,MATCH(M118,Tributos!$B$24:$B$29,1))*M118-INDEX(Tributos!$D$24:$D$29,MATCH(M118,Tributos!$B$24:$B$29,1)))/M118),Tributos!$C$24)))</f>
        <v>0.155</v>
      </c>
      <c r="N119" s="168" t="n">
        <f aca="false">IF(Premissas!$B$23=3,Premissas!$B$24,IF(N118&gt;Premissas!$B$25,Premissas!$B$24,IFERROR(MAX(Tributos!$C$24,(INDEX(Tributos!$C$24:$C$29,MATCH(N118,Tributos!$B$24:$B$29,1))*N118-INDEX(Tributos!$D$24:$D$29,MATCH(N118,Tributos!$B$24:$B$29,1)))/N118),Tributos!$C$24)))</f>
        <v>0.155</v>
      </c>
      <c r="O119" s="168" t="n">
        <f aca="false">IF(Premissas!$B$23=3,Premissas!$B$24,IF(O118&gt;Premissas!$B$25,Premissas!$B$24,IFERROR(MAX(Tributos!$C$24,(INDEX(Tributos!$C$24:$C$29,MATCH(O118,Tributos!$B$24:$B$29,1))*O118-INDEX(Tributos!$D$24:$D$29,MATCH(O118,Tributos!$B$24:$B$29,1)))/O118),Tributos!$C$24)))</f>
        <v>0.16355964425538</v>
      </c>
      <c r="P119" s="168" t="n">
        <f aca="false">IF(Premissas!$B$23=3,Premissas!$B$24,IF(P118&gt;Premissas!$B$25,Premissas!$B$24,IFERROR(MAX(Tributos!$C$24,(INDEX(Tributos!$C$24:$C$29,MATCH(P118,Tributos!$B$24:$B$29,1))*P118-INDEX(Tributos!$D$24:$D$29,MATCH(P118,Tributos!$B$24:$B$29,1)))/P118),Tributos!$C$24)))</f>
        <v>0.176940582395843</v>
      </c>
      <c r="Q119" s="168" t="n">
        <f aca="false">IF(Premissas!$B$23=3,Premissas!$B$24,IF(Q118&gt;Premissas!$B$25,Premissas!$B$24,IFERROR(MAX(Tributos!$C$24,(INDEX(Tributos!$C$24:$C$29,MATCH(Q118,Tributos!$B$24:$B$29,1))*Q118-INDEX(Tributos!$D$24:$D$29,MATCH(Q118,Tributos!$B$24:$B$29,1)))/Q118),Tributos!$C$24)))</f>
        <v>0.18702123888256</v>
      </c>
      <c r="R119" s="168" t="n">
        <f aca="false">IF(Premissas!$B$23=3,Premissas!$B$24,IF(R118&gt;Premissas!$B$25,Premissas!$B$24,IFERROR(MAX(Tributos!$C$24,(INDEX(Tributos!$C$24:$C$29,MATCH(R118,Tributos!$B$24:$B$29,1))*R118-INDEX(Tributos!$D$24:$D$29,MATCH(R118,Tributos!$B$24:$B$29,1)))/R118),Tributos!$C$24)))</f>
        <v>0.192999842506224</v>
      </c>
      <c r="S119" s="168" t="n">
        <f aca="false">IF(Premissas!$B$23=3,Premissas!$B$24,IF(S118&gt;Premissas!$B$25,Premissas!$B$24,IFERROR(MAX(Tributos!$C$24,(INDEX(Tributos!$C$24:$C$29,MATCH(S118,Tributos!$B$24:$B$29,1))*S118-INDEX(Tributos!$D$24:$D$29,MATCH(S118,Tributos!$B$24:$B$29,1)))/S118),Tributos!$C$24)))</f>
        <v>0.19840954227602</v>
      </c>
      <c r="T119" s="168" t="n">
        <f aca="false">IF(Premissas!$B$23=3,Premissas!$B$24,IF(T118&gt;Premissas!$B$25,Premissas!$B$24,IFERROR(MAX(Tributos!$C$24,(INDEX(Tributos!$C$24:$C$29,MATCH(T118,Tributos!$B$24:$B$29,1))*T118-INDEX(Tributos!$D$24:$D$29,MATCH(T118,Tributos!$B$24:$B$29,1)))/T118),Tributos!$C$24)))</f>
        <v>0.205835478313767</v>
      </c>
      <c r="U119" s="168" t="n">
        <f aca="false">IF(Premissas!$B$23=3,Premissas!$B$24,IF(U118&gt;Premissas!$B$25,Premissas!$B$24,IFERROR(MAX(Tributos!$C$24,(INDEX(Tributos!$C$24:$C$29,MATCH(U118,Tributos!$B$24:$B$29,1))*U118-INDEX(Tributos!$D$24:$D$29,MATCH(U118,Tributos!$B$24:$B$29,1)))/U118),Tributos!$C$24)))</f>
        <v>0.210796996696266</v>
      </c>
      <c r="V119" s="168" t="n">
        <f aca="false">IF(Premissas!$B$23=3,Premissas!$B$24,IF(V118&gt;Premissas!$B$25,Premissas!$B$24,IFERROR(MAX(Tributos!$C$24,(INDEX(Tributos!$C$24:$C$29,MATCH(V118,Tributos!$B$24:$B$29,1))*V118-INDEX(Tributos!$D$24:$D$29,MATCH(V118,Tributos!$B$24:$B$29,1)))/V118),Tributos!$C$24)))</f>
        <v>0.168440227806421</v>
      </c>
      <c r="W119" s="168" t="n">
        <f aca="false">IF(Premissas!$B$23=3,Premissas!$B$24,IF(W118&gt;Premissas!$B$25,Premissas!$B$24,IFERROR(MAX(Tributos!$C$24,(INDEX(Tributos!$C$24:$C$29,MATCH(W118,Tributos!$B$24:$B$29,1))*W118-INDEX(Tributos!$D$24:$D$29,MATCH(W118,Tributos!$B$24:$B$29,1)))/W118),Tributos!$C$24)))</f>
        <v>0.190790761281533</v>
      </c>
      <c r="X119" s="168" t="n">
        <f aca="false">IF(Premissas!$B$23=3,Premissas!$B$24,IF(X118&gt;Premissas!$B$25,Premissas!$B$24,IFERROR(MAX(Tributos!$C$24,(INDEX(Tributos!$C$24:$C$29,MATCH(X118,Tributos!$B$24:$B$29,1))*X118-INDEX(Tributos!$D$24:$D$29,MATCH(X118,Tributos!$B$24:$B$29,1)))/X118),Tributos!$C$24)))</f>
        <v>0.1633</v>
      </c>
      <c r="Y119" s="168" t="n">
        <f aca="false">IF(Premissas!$B$23=3,Premissas!$B$24,IF(Y118&gt;Premissas!$B$25,Premissas!$B$24,IFERROR(MAX(Tributos!$C$24,(INDEX(Tributos!$C$24:$C$29,MATCH(Y118,Tributos!$B$24:$B$29,1))*Y118-INDEX(Tributos!$D$24:$D$29,MATCH(Y118,Tributos!$B$24:$B$29,1)))/Y118),Tributos!$C$24)))</f>
        <v>0.1633</v>
      </c>
      <c r="Z119" s="168" t="n">
        <f aca="false">IF(Premissas!$B$23=3,Premissas!$B$24,IF(Z118&gt;Premissas!$B$25,Premissas!$B$24,IFERROR(MAX(Tributos!$C$24,(INDEX(Tributos!$C$24:$C$29,MATCH(Z118,Tributos!$B$24:$B$29,1))*Z118-INDEX(Tributos!$D$24:$D$29,MATCH(Z118,Tributos!$B$24:$B$29,1)))/Z118),Tributos!$C$24)))</f>
        <v>0.1633</v>
      </c>
      <c r="AA119" s="168" t="n">
        <f aca="false">IF(Premissas!$B$23=3,Premissas!$B$24,IF(AA118&gt;Premissas!$B$25,Premissas!$B$24,IFERROR(MAX(Tributos!$C$24,(INDEX(Tributos!$C$24:$C$29,MATCH(AA118,Tributos!$B$24:$B$29,1))*AA118-INDEX(Tributos!$D$24:$D$29,MATCH(AA118,Tributos!$B$24:$B$29,1)))/AA118),Tributos!$C$24)))</f>
        <v>0.1633</v>
      </c>
      <c r="AB119" s="168" t="n">
        <f aca="false">IF(Premissas!$B$23=3,Premissas!$B$24,IF(AB118&gt;Premissas!$B$25,Premissas!$B$24,IFERROR(MAX(Tributos!$C$24,(INDEX(Tributos!$C$24:$C$29,MATCH(AB118,Tributos!$B$24:$B$29,1))*AB118-INDEX(Tributos!$D$24:$D$29,MATCH(AB118,Tributos!$B$24:$B$29,1)))/AB118),Tributos!$C$24)))</f>
        <v>0.1633</v>
      </c>
      <c r="AC119" s="168" t="n">
        <f aca="false">IF(Premissas!$B$23=3,Premissas!$B$24,IF(AC118&gt;Premissas!$B$25,Premissas!$B$24,IFERROR(MAX(Tributos!$C$24,(INDEX(Tributos!$C$24:$C$29,MATCH(AC118,Tributos!$B$24:$B$29,1))*AC118-INDEX(Tributos!$D$24:$D$29,MATCH(AC118,Tributos!$B$24:$B$29,1)))/AC118),Tributos!$C$24)))</f>
        <v>0.1633</v>
      </c>
      <c r="AD119" s="168" t="n">
        <f aca="false">IF(Premissas!$B$23=3,Premissas!$B$24,IF(AD118&gt;Premissas!$B$25,Premissas!$B$24,IFERROR(MAX(Tributos!$C$24,(INDEX(Tributos!$C$24:$C$29,MATCH(AD118,Tributos!$B$24:$B$29,1))*AD118-INDEX(Tributos!$D$24:$D$29,MATCH(AD118,Tributos!$B$24:$B$29,1)))/AD118),Tributos!$C$24)))</f>
        <v>0.1633</v>
      </c>
      <c r="AE119" s="168" t="n">
        <f aca="false">IF(Premissas!$B$23=3,Premissas!$B$24,IF(AE118&gt;Premissas!$B$25,Premissas!$B$24,IFERROR(MAX(Tributos!$C$24,(INDEX(Tributos!$C$24:$C$29,MATCH(AE118,Tributos!$B$24:$B$29,1))*AE118-INDEX(Tributos!$D$24:$D$29,MATCH(AE118,Tributos!$B$24:$B$29,1)))/AE118),Tributos!$C$24)))</f>
        <v>0.1633</v>
      </c>
      <c r="AF119" s="168" t="n">
        <f aca="false">IF(Premissas!$B$23=3,Premissas!$B$24,IF(AF118&gt;Premissas!$B$25,Premissas!$B$24,IFERROR(MAX(Tributos!$C$24,(INDEX(Tributos!$C$24:$C$29,MATCH(AF118,Tributos!$B$24:$B$29,1))*AF118-INDEX(Tributos!$D$24:$D$29,MATCH(AF118,Tributos!$B$24:$B$29,1)))/AF118),Tributos!$C$24)))</f>
        <v>0.1633</v>
      </c>
      <c r="AG119" s="168" t="n">
        <f aca="false">IF(Premissas!$B$23=3,Premissas!$B$24,IF(AG118&gt;Premissas!$B$25,Premissas!$B$24,IFERROR(MAX(Tributos!$C$24,(INDEX(Tributos!$C$24:$C$29,MATCH(AG118,Tributos!$B$24:$B$29,1))*AG118-INDEX(Tributos!$D$24:$D$29,MATCH(AG118,Tributos!$B$24:$B$29,1)))/AG118),Tributos!$C$24)))</f>
        <v>0.1633</v>
      </c>
      <c r="AH119" s="168" t="n">
        <f aca="false">IF(Premissas!$B$23=3,Premissas!$B$24,IF(AH118&gt;Premissas!$B$25,Premissas!$B$24,IFERROR(MAX(Tributos!$C$24,(INDEX(Tributos!$C$24:$C$29,MATCH(AH118,Tributos!$B$24:$B$29,1))*AH118-INDEX(Tributos!$D$24:$D$29,MATCH(AH118,Tributos!$B$24:$B$29,1)))/AH118),Tributos!$C$24)))</f>
        <v>0.1633</v>
      </c>
      <c r="AI119" s="168" t="n">
        <f aca="false">IF(Premissas!$B$23=3,Premissas!$B$24,IF(AI118&gt;Premissas!$B$25,Premissas!$B$24,IFERROR(MAX(Tributos!$C$24,(INDEX(Tributos!$C$24:$C$29,MATCH(AI118,Tributos!$B$24:$B$29,1))*AI118-INDEX(Tributos!$D$24:$D$29,MATCH(AI118,Tributos!$B$24:$B$29,1)))/AI118),Tributos!$C$24)))</f>
        <v>0.1633</v>
      </c>
      <c r="AJ119" s="168" t="n">
        <f aca="false">IF(Premissas!$B$23=3,Premissas!$B$24,IF(AJ118&gt;Premissas!$B$25,Premissas!$B$24,IFERROR(MAX(Tributos!$C$24,(INDEX(Tributos!$C$24:$C$29,MATCH(AJ118,Tributos!$B$24:$B$29,1))*AJ118-INDEX(Tributos!$D$24:$D$29,MATCH(AJ118,Tributos!$B$24:$B$29,1)))/AJ118),Tributos!$C$24)))</f>
        <v>0.1633</v>
      </c>
      <c r="AK119" s="168" t="n">
        <f aca="false">IF(Premissas!$B$23=3,Premissas!$B$24,IF(AK118&gt;Premissas!$B$25,Premissas!$B$24,IFERROR(MAX(Tributos!$C$24,(INDEX(Tributos!$C$24:$C$29,MATCH(AK118,Tributos!$B$24:$B$29,1))*AK118-INDEX(Tributos!$D$24:$D$29,MATCH(AK118,Tributos!$B$24:$B$29,1)))/AK118),Tributos!$C$24)))</f>
        <v>0.1633</v>
      </c>
      <c r="AL119" s="168" t="n">
        <f aca="false">IF(Premissas!$B$23=3,Premissas!$B$24,IF(AL118&gt;Premissas!$B$25,Premissas!$B$24,IFERROR(MAX(Tributos!$C$24,(INDEX(Tributos!$C$24:$C$29,MATCH(AL118,Tributos!$B$24:$B$29,1))*AL118-INDEX(Tributos!$D$24:$D$29,MATCH(AL118,Tributos!$B$24:$B$29,1)))/AL118),Tributos!$C$24)))</f>
        <v>0.1633</v>
      </c>
      <c r="AM119" s="168" t="n">
        <f aca="false">IF(Premissas!$B$23=3,Premissas!$B$24,IF(AM118&gt;Premissas!$B$25,Premissas!$B$24,IFERROR(MAX(Tributos!$C$24,(INDEX(Tributos!$C$24:$C$29,MATCH(AM118,Tributos!$B$24:$B$29,1))*AM118-INDEX(Tributos!$D$24:$D$29,MATCH(AM118,Tributos!$B$24:$B$29,1)))/AM118),Tributos!$C$24)))</f>
        <v>0.1633</v>
      </c>
      <c r="AN119" s="168" t="n">
        <f aca="false">IF(Premissas!$B$23=3,Premissas!$B$24,IF(AN118&gt;Premissas!$B$25,Premissas!$B$24,IFERROR(MAX(Tributos!$C$24,(INDEX(Tributos!$C$24:$C$29,MATCH(AN118,Tributos!$B$24:$B$29,1))*AN118-INDEX(Tributos!$D$24:$D$29,MATCH(AN118,Tributos!$B$24:$B$29,1)))/AN118),Tributos!$C$24)))</f>
        <v>0.1633</v>
      </c>
      <c r="AO119" s="168" t="n">
        <f aca="false">IF(Premissas!$B$23=3,Premissas!$B$24,IF(AO118&gt;Premissas!$B$25,Premissas!$B$24,IFERROR(MAX(Tributos!$C$24,(INDEX(Tributos!$C$24:$C$29,MATCH(AO118,Tributos!$B$24:$B$29,1))*AO118-INDEX(Tributos!$D$24:$D$29,MATCH(AO118,Tributos!$B$24:$B$29,1)))/AO118),Tributos!$C$24)))</f>
        <v>0.1633</v>
      </c>
      <c r="AP119" s="168" t="n">
        <f aca="false">IF(Premissas!$B$23=3,Premissas!$B$24,IF(AP118&gt;Premissas!$B$25,Premissas!$B$24,IFERROR(MAX(Tributos!$C$24,(INDEX(Tributos!$C$24:$C$29,MATCH(AP118,Tributos!$B$24:$B$29,1))*AP118-INDEX(Tributos!$D$24:$D$29,MATCH(AP118,Tributos!$B$24:$B$29,1)))/AP118),Tributos!$C$24)))</f>
        <v>0.1633</v>
      </c>
      <c r="AQ119" s="168" t="n">
        <f aca="false">IF(Premissas!$B$23=3,Premissas!$B$24,IF(AQ118&gt;Premissas!$B$25,Premissas!$B$24,IFERROR(MAX(Tributos!$C$24,(INDEX(Tributos!$C$24:$C$29,MATCH(AQ118,Tributos!$B$24:$B$29,1))*AQ118-INDEX(Tributos!$D$24:$D$29,MATCH(AQ118,Tributos!$B$24:$B$29,1)))/AQ118),Tributos!$C$24)))</f>
        <v>0.1633</v>
      </c>
      <c r="AR119" s="168" t="n">
        <f aca="false">IF(Premissas!$B$23=3,Premissas!$B$24,IF(AR118&gt;Premissas!$B$25,Premissas!$B$24,IFERROR(MAX(Tributos!$C$24,(INDEX(Tributos!$C$24:$C$29,MATCH(AR118,Tributos!$B$24:$B$29,1))*AR118-INDEX(Tributos!$D$24:$D$29,MATCH(AR118,Tributos!$B$24:$B$29,1)))/AR118),Tributos!$C$24)))</f>
        <v>0.1633</v>
      </c>
      <c r="AS119" s="168" t="n">
        <f aca="false">IF(Premissas!$B$23=3,Premissas!$B$24,IF(AS118&gt;Premissas!$B$25,Premissas!$B$24,IFERROR(MAX(Tributos!$C$24,(INDEX(Tributos!$C$24:$C$29,MATCH(AS118,Tributos!$B$24:$B$29,1))*AS118-INDEX(Tributos!$D$24:$D$29,MATCH(AS118,Tributos!$B$24:$B$29,1)))/AS118),Tributos!$C$24)))</f>
        <v>0.1633</v>
      </c>
      <c r="AT119" s="168" t="n">
        <f aca="false">IF(Premissas!$B$23=3,Premissas!$B$24,IF(AT118&gt;Premissas!$B$25,Premissas!$B$24,IFERROR(MAX(Tributos!$C$24,(INDEX(Tributos!$C$24:$C$29,MATCH(AT118,Tributos!$B$24:$B$29,1))*AT118-INDEX(Tributos!$D$24:$D$29,MATCH(AT118,Tributos!$B$24:$B$29,1)))/AT118),Tributos!$C$24)))</f>
        <v>0.1633</v>
      </c>
      <c r="AU119" s="168" t="n">
        <f aca="false">IF(Premissas!$B$23=3,Premissas!$B$24,IF(AU118&gt;Premissas!$B$25,Premissas!$B$24,IFERROR(MAX(Tributos!$C$24,(INDEX(Tributos!$C$24:$C$29,MATCH(AU118,Tributos!$B$24:$B$29,1))*AU118-INDEX(Tributos!$D$24:$D$29,MATCH(AU118,Tributos!$B$24:$B$29,1)))/AU118),Tributos!$C$24)))</f>
        <v>0.1633</v>
      </c>
      <c r="AV119" s="168" t="n">
        <f aca="false">IF(Premissas!$B$23=3,Premissas!$B$24,IF(AV118&gt;Premissas!$B$25,Premissas!$B$24,IFERROR(MAX(Tributos!$C$24,(INDEX(Tributos!$C$24:$C$29,MATCH(AV118,Tributos!$B$24:$B$29,1))*AV118-INDEX(Tributos!$D$24:$D$29,MATCH(AV118,Tributos!$B$24:$B$29,1)))/AV118),Tributos!$C$24)))</f>
        <v>0.1633</v>
      </c>
      <c r="AW119" s="168" t="n">
        <f aca="false">IF(Premissas!$B$23=3,Premissas!$B$24,IF(AW118&gt;Premissas!$B$25,Premissas!$B$24,IFERROR(MAX(Tributos!$C$24,(INDEX(Tributos!$C$24:$C$29,MATCH(AW118,Tributos!$B$24:$B$29,1))*AW118-INDEX(Tributos!$D$24:$D$29,MATCH(AW118,Tributos!$B$24:$B$29,1)))/AW118),Tributos!$C$24)))</f>
        <v>0.1633</v>
      </c>
      <c r="AX119" s="168" t="n">
        <f aca="false">IF(Premissas!$B$23=3,Premissas!$B$24,IF(AX118&gt;Premissas!$B$25,Premissas!$B$24,IFERROR(MAX(Tributos!$C$24,(INDEX(Tributos!$C$24:$C$29,MATCH(AX118,Tributos!$B$24:$B$29,1))*AX118-INDEX(Tributos!$D$24:$D$29,MATCH(AX118,Tributos!$B$24:$B$29,1)))/AX118),Tributos!$C$24)))</f>
        <v>0.1633</v>
      </c>
      <c r="AY119" s="168" t="n">
        <f aca="false">IF(Premissas!$B$23=3,Premissas!$B$24,IF(AY118&gt;Premissas!$B$25,Premissas!$B$24,IFERROR(MAX(Tributos!$C$24,(INDEX(Tributos!$C$24:$C$29,MATCH(AY118,Tributos!$B$24:$B$29,1))*AY118-INDEX(Tributos!$D$24:$D$29,MATCH(AY118,Tributos!$B$24:$B$29,1)))/AY118),Tributos!$C$24)))</f>
        <v>0.1633</v>
      </c>
      <c r="AZ119" s="168" t="n">
        <f aca="false">IF(Premissas!$B$23=3,Premissas!$B$24,IF(AZ118&gt;Premissas!$B$25,Premissas!$B$24,IFERROR(MAX(Tributos!$C$24,(INDEX(Tributos!$C$24:$C$29,MATCH(AZ118,Tributos!$B$24:$B$29,1))*AZ118-INDEX(Tributos!$D$24:$D$29,MATCH(AZ118,Tributos!$B$24:$B$29,1)))/AZ118),Tributos!$C$24)))</f>
        <v>0.1633</v>
      </c>
      <c r="BA119" s="168" t="n">
        <f aca="false">IF(Premissas!$B$23=3,Premissas!$B$24,IF(BA118&gt;Premissas!$B$25,Premissas!$B$24,IFERROR(MAX(Tributos!$C$24,(INDEX(Tributos!$C$24:$C$29,MATCH(BA118,Tributos!$B$24:$B$29,1))*BA118-INDEX(Tributos!$D$24:$D$29,MATCH(BA118,Tributos!$B$24:$B$29,1)))/BA118),Tributos!$C$24)))</f>
        <v>0.1633</v>
      </c>
      <c r="BB119" s="168" t="n">
        <f aca="false">IF(Premissas!$B$23=3,Premissas!$B$24,IF(BB118&gt;Premissas!$B$25,Premissas!$B$24,IFERROR(MAX(Tributos!$C$24,(INDEX(Tributos!$C$24:$C$29,MATCH(BB118,Tributos!$B$24:$B$29,1))*BB118-INDEX(Tributos!$D$24:$D$29,MATCH(BB118,Tributos!$B$24:$B$29,1)))/BB118),Tributos!$C$24)))</f>
        <v>0.1633</v>
      </c>
      <c r="BC119" s="168" t="n">
        <f aca="false">IF(Premissas!$B$23=3,Premissas!$B$24,IF(BC118&gt;Premissas!$B$25,Premissas!$B$24,IFERROR(MAX(Tributos!$C$24,(INDEX(Tributos!$C$24:$C$29,MATCH(BC118,Tributos!$B$24:$B$29,1))*BC118-INDEX(Tributos!$D$24:$D$29,MATCH(BC118,Tributos!$B$24:$B$29,1)))/BC118),Tributos!$C$24)))</f>
        <v>0.1633</v>
      </c>
      <c r="BD119" s="168" t="n">
        <f aca="false">IF(Premissas!$B$23=3,Premissas!$B$24,IF(BD118&gt;Premissas!$B$25,Premissas!$B$24,IFERROR(MAX(Tributos!$C$24,(INDEX(Tributos!$C$24:$C$29,MATCH(BD118,Tributos!$B$24:$B$29,1))*BD118-INDEX(Tributos!$D$24:$D$29,MATCH(BD118,Tributos!$B$24:$B$29,1)))/BD118),Tributos!$C$24)))</f>
        <v>0.1633</v>
      </c>
      <c r="BE119" s="168" t="n">
        <f aca="false">IF(Premissas!$B$23=3,Premissas!$B$24,IF(BE118&gt;Premissas!$B$25,Premissas!$B$24,IFERROR(MAX(Tributos!$C$24,(INDEX(Tributos!$C$24:$C$29,MATCH(BE118,Tributos!$B$24:$B$29,1))*BE118-INDEX(Tributos!$D$24:$D$29,MATCH(BE118,Tributos!$B$24:$B$29,1)))/BE118),Tributos!$C$24)))</f>
        <v>0.1633</v>
      </c>
      <c r="BF119" s="168" t="n">
        <f aca="false">IF(Premissas!$B$23=3,Premissas!$B$24,IF(BF118&gt;Premissas!$B$25,Premissas!$B$24,IFERROR(MAX(Tributos!$C$24,(INDEX(Tributos!$C$24:$C$29,MATCH(BF118,Tributos!$B$24:$B$29,1))*BF118-INDEX(Tributos!$D$24:$D$29,MATCH(BF118,Tributos!$B$24:$B$29,1)))/BF118),Tributos!$C$24)))</f>
        <v>0.1633</v>
      </c>
      <c r="BG119" s="168" t="n">
        <f aca="false">IF(Premissas!$B$23=3,Premissas!$B$24,IF(BG118&gt;Premissas!$B$25,Premissas!$B$24,IFERROR(MAX(Tributos!$C$24,(INDEX(Tributos!$C$24:$C$29,MATCH(BG118,Tributos!$B$24:$B$29,1))*BG118-INDEX(Tributos!$D$24:$D$29,MATCH(BG118,Tributos!$B$24:$B$29,1)))/BG118),Tributos!$C$24)))</f>
        <v>0.1633</v>
      </c>
      <c r="BH119" s="168" t="n">
        <f aca="false">IF(Premissas!$B$23=3,Premissas!$B$24,IF(BH118&gt;Premissas!$B$25,Premissas!$B$24,IFERROR(MAX(Tributos!$C$24,(INDEX(Tributos!$C$24:$C$29,MATCH(BH118,Tributos!$B$24:$B$29,1))*BH118-INDEX(Tributos!$D$24:$D$29,MATCH(BH118,Tributos!$B$24:$B$29,1)))/BH118),Tributos!$C$24)))</f>
        <v>0.1633</v>
      </c>
      <c r="BI119" s="168" t="n">
        <f aca="false">IF(Premissas!$B$23=3,Premissas!$B$24,IF(BI118&gt;Premissas!$B$25,Premissas!$B$24,IFERROR(MAX(Tributos!$C$24,(INDEX(Tributos!$C$24:$C$29,MATCH(BI118,Tributos!$B$24:$B$29,1))*BI118-INDEX(Tributos!$D$24:$D$29,MATCH(BI118,Tributos!$B$24:$B$29,1)))/BI118),Tributos!$C$24)))</f>
        <v>0.1633</v>
      </c>
      <c r="BJ119" s="169" t="n">
        <f aca="false">IFERROR(-BJ120/BJ117,0)</f>
        <v>0.164091341648357</v>
      </c>
      <c r="BK119" s="29" t="s">
        <v>580</v>
      </c>
    </row>
    <row r="120" customFormat="false" ht="15" hidden="false" customHeight="false" outlineLevel="0" collapsed="false">
      <c r="A120" s="27" t="s">
        <v>456</v>
      </c>
      <c r="B120" s="110" t="n">
        <f aca="false">-B117*B119</f>
        <v>-0</v>
      </c>
      <c r="C120" s="110" t="n">
        <f aca="false">-C117*C119</f>
        <v>-0</v>
      </c>
      <c r="D120" s="110" t="n">
        <f aca="false">-D117*D119</f>
        <v>-0</v>
      </c>
      <c r="E120" s="110" t="n">
        <f aca="false">-E117*E119</f>
        <v>-0</v>
      </c>
      <c r="F120" s="110" t="n">
        <f aca="false">-F117*F119</f>
        <v>-0</v>
      </c>
      <c r="G120" s="110" t="n">
        <f aca="false">-G117*G119</f>
        <v>-0</v>
      </c>
      <c r="H120" s="110" t="n">
        <f aca="false">-H117*H119</f>
        <v>-0</v>
      </c>
      <c r="I120" s="110" t="n">
        <f aca="false">-I117*I119</f>
        <v>-0</v>
      </c>
      <c r="J120" s="110" t="n">
        <f aca="false">-J117*J119</f>
        <v>-0</v>
      </c>
      <c r="K120" s="110" t="n">
        <f aca="false">-K117*K119</f>
        <v>-1235.412</v>
      </c>
      <c r="L120" s="110" t="n">
        <f aca="false">-L117*L119</f>
        <v>-4787.2215</v>
      </c>
      <c r="M120" s="110" t="n">
        <f aca="false">-M117*M119</f>
        <v>-10439.188</v>
      </c>
      <c r="N120" s="110" t="n">
        <f aca="false">-N117*N119</f>
        <v>-25964.2677425194</v>
      </c>
      <c r="O120" s="110" t="n">
        <f aca="false">-O117*O119</f>
        <v>-44892.8257405354</v>
      </c>
      <c r="P120" s="110" t="n">
        <f aca="false">-P117*P119</f>
        <v>-71294.9926304965</v>
      </c>
      <c r="Q120" s="110" t="n">
        <f aca="false">-Q117*Q119</f>
        <v>-88621.7033385844</v>
      </c>
      <c r="R120" s="110" t="n">
        <f aca="false">-R117*R119</f>
        <v>-104374.736472308</v>
      </c>
      <c r="S120" s="110" t="n">
        <f aca="false">-S117*S119</f>
        <v>-119859.162243044</v>
      </c>
      <c r="T120" s="110" t="n">
        <f aca="false">-T117*T119</f>
        <v>-136671.851587767</v>
      </c>
      <c r="U120" s="110" t="n">
        <f aca="false">-U117*U119</f>
        <v>-151867.272262656</v>
      </c>
      <c r="V120" s="110" t="n">
        <f aca="false">-V117*V119</f>
        <v>-130347.724253544</v>
      </c>
      <c r="W120" s="110" t="n">
        <f aca="false">-W117*W119</f>
        <v>-157256.399874252</v>
      </c>
      <c r="X120" s="110" t="n">
        <f aca="false">-X117*X119</f>
        <v>-142379.515281464</v>
      </c>
      <c r="Y120" s="110" t="n">
        <f aca="false">-Y117*Y119</f>
        <v>-149736.779144939</v>
      </c>
      <c r="Z120" s="110" t="n">
        <f aca="false">-Z117*Z119</f>
        <v>-204041.4671193</v>
      </c>
      <c r="AA120" s="110" t="n">
        <f aca="false">-AA117*AA119</f>
        <v>-223520.867895467</v>
      </c>
      <c r="AB120" s="110" t="n">
        <f aca="false">-AB117*AB119</f>
        <v>-241995.574627869</v>
      </c>
      <c r="AC120" s="110" t="n">
        <f aca="false">-AC117*AC119</f>
        <v>-259541.848955563</v>
      </c>
      <c r="AD120" s="110" t="n">
        <f aca="false">-AD117*AD119</f>
        <v>-276182.428479341</v>
      </c>
      <c r="AE120" s="110" t="n">
        <f aca="false">-AE117*AE119</f>
        <v>-292000.589171167</v>
      </c>
      <c r="AF120" s="110" t="n">
        <f aca="false">-AF117*AF119</f>
        <v>-306993.991824971</v>
      </c>
      <c r="AG120" s="110" t="n">
        <f aca="false">-AG117*AG119</f>
        <v>-321235.073599691</v>
      </c>
      <c r="AH120" s="110" t="n">
        <f aca="false">-AH117*AH119</f>
        <v>-334753.44435396</v>
      </c>
      <c r="AI120" s="110" t="n">
        <f aca="false">-AI117*AI119</f>
        <v>-347582.237277317</v>
      </c>
      <c r="AJ120" s="110" t="n">
        <f aca="false">-AJ117*AJ119</f>
        <v>-359765.209432616</v>
      </c>
      <c r="AK120" s="110" t="n">
        <f aca="false">-AK117*AK119</f>
        <v>-371335.363210071</v>
      </c>
      <c r="AL120" s="110" t="n">
        <f aca="false">-AL117*AL119</f>
        <v>-491647.67128557</v>
      </c>
      <c r="AM120" s="110" t="n">
        <f aca="false">-AM117*AM119</f>
        <v>-527106.749475023</v>
      </c>
      <c r="AN120" s="110" t="n">
        <f aca="false">-AN117*AN119</f>
        <v>-560897.30433742</v>
      </c>
      <c r="AO120" s="110" t="n">
        <f aca="false">-AO117*AO119</f>
        <v>-593104.250326624</v>
      </c>
      <c r="AP120" s="110" t="n">
        <f aca="false">-AP117*AP119</f>
        <v>-623808.609367318</v>
      </c>
      <c r="AQ120" s="110" t="n">
        <f aca="false">-AQ117*AQ119</f>
        <v>-653087.554986291</v>
      </c>
      <c r="AR120" s="110" t="n">
        <f aca="false">-AR117*AR119</f>
        <v>-680995.783609881</v>
      </c>
      <c r="AS120" s="110" t="n">
        <f aca="false">-AS117*AS119</f>
        <v>-707591.628773851</v>
      </c>
      <c r="AT120" s="110" t="n">
        <f aca="false">-AT117*AT119</f>
        <v>-732951.882084832</v>
      </c>
      <c r="AU120" s="110" t="n">
        <f aca="false">-AU117*AU119</f>
        <v>-757130.931798526</v>
      </c>
      <c r="AV120" s="110" t="n">
        <f aca="false">-AV117*AV119</f>
        <v>-780171.818919707</v>
      </c>
      <c r="AW120" s="110" t="n">
        <f aca="false">-AW117*AW119</f>
        <v>-802136.170550851</v>
      </c>
      <c r="AX120" s="110" t="n">
        <f aca="false">-AX117*AX119</f>
        <v>-1042231.93282144</v>
      </c>
      <c r="AY120" s="110" t="n">
        <f aca="false">-AY117*AY119</f>
        <v>-1110563.9315321</v>
      </c>
      <c r="AZ120" s="110" t="n">
        <f aca="false">-AZ117*AZ119</f>
        <v>-1175949.83316625</v>
      </c>
      <c r="BA120" s="110" t="n">
        <f aca="false">-BA117*BA119</f>
        <v>-1238530.88052075</v>
      </c>
      <c r="BB120" s="110" t="n">
        <f aca="false">-BB117*BB119</f>
        <v>-1298432.50968851</v>
      </c>
      <c r="BC120" s="110" t="n">
        <f aca="false">-BC117*BC119</f>
        <v>-1355741.04967032</v>
      </c>
      <c r="BD120" s="110" t="n">
        <f aca="false">-BD117*BD119</f>
        <v>-1410597.1282217</v>
      </c>
      <c r="BE120" s="110" t="n">
        <f aca="false">-BE117*BE119</f>
        <v>-1463086.64684753</v>
      </c>
      <c r="BF120" s="110" t="n">
        <f aca="false">-BF117*BF119</f>
        <v>-1513322.63788076</v>
      </c>
      <c r="BG120" s="110" t="n">
        <f aca="false">-BG117*BG119</f>
        <v>-1561414.01719517</v>
      </c>
      <c r="BH120" s="110" t="n">
        <f aca="false">-BH117*BH119</f>
        <v>-1607418.97171437</v>
      </c>
      <c r="BI120" s="110" t="n">
        <f aca="false">-BI117*BI119</f>
        <v>-1651453.88405348</v>
      </c>
      <c r="BJ120" s="111" t="n">
        <f aca="false">SUM(B120:BI120)</f>
        <v>-29218050.9268477</v>
      </c>
    </row>
    <row r="121" customFormat="false" ht="15" hidden="false" customHeight="false" outlineLevel="0" collapsed="false">
      <c r="A121" s="27" t="s">
        <v>424</v>
      </c>
      <c r="B121" s="110" t="n">
        <f aca="false">-B114*Premissas!$B$62*INDEX(Premissas!$C$63:$G$63,B$7)</f>
        <v>-0</v>
      </c>
      <c r="C121" s="110" t="n">
        <f aca="false">-C114*Premissas!$B$62*INDEX(Premissas!$C$63:$G$63,C$7)</f>
        <v>-0</v>
      </c>
      <c r="D121" s="110" t="n">
        <f aca="false">-D114*Premissas!$B$62*INDEX(Premissas!$C$63:$G$63,D$7)</f>
        <v>-0</v>
      </c>
      <c r="E121" s="110" t="n">
        <f aca="false">-E114*Premissas!$B$62*INDEX(Premissas!$C$63:$G$63,E$7)</f>
        <v>-0</v>
      </c>
      <c r="F121" s="110" t="n">
        <f aca="false">-F114*Premissas!$B$62*INDEX(Premissas!$C$63:$G$63,F$7)</f>
        <v>-0</v>
      </c>
      <c r="G121" s="110" t="n">
        <f aca="false">-G114*Premissas!$B$62*INDEX(Premissas!$C$63:$G$63,G$7)</f>
        <v>-0</v>
      </c>
      <c r="H121" s="110" t="n">
        <f aca="false">-H114*Premissas!$B$62*INDEX(Premissas!$C$63:$G$63,H$7)</f>
        <v>-0</v>
      </c>
      <c r="I121" s="110" t="n">
        <f aca="false">-I114*Premissas!$B$62*INDEX(Premissas!$C$63:$G$63,I$7)</f>
        <v>-0</v>
      </c>
      <c r="J121" s="110" t="n">
        <f aca="false">-J114*Premissas!$B$62*INDEX(Premissas!$C$63:$G$63,J$7)</f>
        <v>-0</v>
      </c>
      <c r="K121" s="110" t="n">
        <f aca="false">-K114*Premissas!$B$62*INDEX(Premissas!$C$63:$G$63,K$7)</f>
        <v>-1016.226</v>
      </c>
      <c r="L121" s="110" t="n">
        <f aca="false">-L114*Premissas!$B$62*INDEX(Premissas!$C$63:$G$63,L$7)</f>
        <v>-3937.87575</v>
      </c>
      <c r="M121" s="110" t="n">
        <f aca="false">-M114*Premissas!$B$62*INDEX(Premissas!$C$63:$G$63,M$7)</f>
        <v>-8587.074</v>
      </c>
      <c r="N121" s="110" t="n">
        <f aca="false">-N114*Premissas!$B$62*INDEX(Premissas!$C$63:$G$63,N$7)</f>
        <v>-19420.05846</v>
      </c>
      <c r="O121" s="110" t="n">
        <f aca="false">-O114*Premissas!$B$62*INDEX(Premissas!$C$63:$G$63,O$7)</f>
        <v>-32037.71868</v>
      </c>
      <c r="P121" s="110" t="n">
        <f aca="false">-P114*Premissas!$B$62*INDEX(Premissas!$C$63:$G$63,P$7)</f>
        <v>-47246.8953</v>
      </c>
      <c r="Q121" s="110" t="n">
        <f aca="false">-Q114*Premissas!$B$62*INDEX(Premissas!$C$63:$G$63,Q$7)</f>
        <v>-55563.72426</v>
      </c>
      <c r="R121" s="110" t="n">
        <f aca="false">-R114*Premissas!$B$62*INDEX(Premissas!$C$63:$G$63,R$7)</f>
        <v>-63413.19996</v>
      </c>
      <c r="S121" s="110" t="n">
        <f aca="false">-S114*Premissas!$B$62*INDEX(Premissas!$C$63:$G$63,S$7)</f>
        <v>-70835.35008</v>
      </c>
      <c r="T121" s="110" t="n">
        <f aca="false">-T114*Premissas!$B$62*INDEX(Premissas!$C$63:$G$63,T$7)</f>
        <v>-77857.69992</v>
      </c>
      <c r="U121" s="110" t="n">
        <f aca="false">-U114*Premissas!$B$62*INDEX(Premissas!$C$63:$G$63,U$7)</f>
        <v>-84477.6537</v>
      </c>
      <c r="V121" s="110" t="n">
        <f aca="false">-V114*Premissas!$B$62*INDEX(Premissas!$C$63:$G$63,V$7)</f>
        <v>-90740.26764</v>
      </c>
      <c r="W121" s="110" t="n">
        <f aca="false">-W114*Premissas!$B$62*INDEX(Premissas!$C$63:$G$63,W$7)</f>
        <v>-96647.9745</v>
      </c>
      <c r="X121" s="110" t="n">
        <f aca="false">-X114*Premissas!$B$62*INDEX(Premissas!$C$63:$G$63,X$7)</f>
        <v>-102235.83612</v>
      </c>
      <c r="Y121" s="110" t="n">
        <f aca="false">-Y114*Premissas!$B$62*INDEX(Premissas!$C$63:$G$63,Y$7)</f>
        <v>-107518.82526</v>
      </c>
      <c r="Z121" s="110" t="n">
        <f aca="false">-Z114*Premissas!$B$62*INDEX(Premissas!$C$63:$G$63,Z$7)</f>
        <v>-136199.763185062</v>
      </c>
      <c r="AA121" s="110" t="n">
        <f aca="false">-AA114*Premissas!$B$62*INDEX(Premissas!$C$63:$G$63,AA$7)</f>
        <v>-149202.676854</v>
      </c>
      <c r="AB121" s="110" t="n">
        <f aca="false">-AB114*Premissas!$B$62*INDEX(Premissas!$C$63:$G$63,AB$7)</f>
        <v>-161534.605316906</v>
      </c>
      <c r="AC121" s="110" t="n">
        <f aca="false">-AC114*Premissas!$B$62*INDEX(Premissas!$C$63:$G$63,AC$7)</f>
        <v>-173247.011616937</v>
      </c>
      <c r="AD121" s="110" t="n">
        <f aca="false">-AD114*Premissas!$B$62*INDEX(Premissas!$C$63:$G$63,AD$7)</f>
        <v>-184354.539809344</v>
      </c>
      <c r="AE121" s="110" t="n">
        <f aca="false">-AE114*Premissas!$B$62*INDEX(Premissas!$C$63:$G$63,AE$7)</f>
        <v>-194913.591620344</v>
      </c>
      <c r="AF121" s="110" t="n">
        <f aca="false">-AF114*Premissas!$B$62*INDEX(Premissas!$C$63:$G$63,AF$7)</f>
        <v>-204921.636282</v>
      </c>
      <c r="AG121" s="110" t="n">
        <f aca="false">-AG114*Premissas!$B$62*INDEX(Premissas!$C$63:$G$63,AG$7)</f>
        <v>-214427.704351781</v>
      </c>
      <c r="AH121" s="110" t="n">
        <f aca="false">-AH114*Premissas!$B$62*INDEX(Premissas!$C$63:$G$63,AH$7)</f>
        <v>-223451.366282719</v>
      </c>
      <c r="AI121" s="110" t="n">
        <f aca="false">-AI114*Premissas!$B$62*INDEX(Premissas!$C$63:$G$63,AI$7)</f>
        <v>-232014.661869375</v>
      </c>
      <c r="AJ121" s="110" t="n">
        <f aca="false">-AJ114*Premissas!$B$62*INDEX(Premissas!$C$63:$G$63,AJ$7)</f>
        <v>-240146.989789781</v>
      </c>
      <c r="AK121" s="110" t="n">
        <f aca="false">-AK114*Premissas!$B$62*INDEX(Premissas!$C$63:$G$63,AK$7)</f>
        <v>-247870.377553219</v>
      </c>
      <c r="AL121" s="110" t="n">
        <f aca="false">-AL114*Premissas!$B$62*INDEX(Premissas!$C$63:$G$63,AL$7)</f>
        <v>-311947.962750374</v>
      </c>
      <c r="AM121" s="110" t="n">
        <f aca="false">-AM114*Premissas!$B$62*INDEX(Premissas!$C$63:$G$63,AM$7)</f>
        <v>-334446.903758212</v>
      </c>
      <c r="AN121" s="110" t="n">
        <f aca="false">-AN114*Premissas!$B$62*INDEX(Premissas!$C$63:$G$63,AN$7)</f>
        <v>-355886.841689117</v>
      </c>
      <c r="AO121" s="110" t="n">
        <f aca="false">-AO114*Premissas!$B$62*INDEX(Premissas!$C$63:$G$63,AO$7)</f>
        <v>-376321.856862219</v>
      </c>
      <c r="AP121" s="110" t="n">
        <f aca="false">-AP114*Premissas!$B$62*INDEX(Premissas!$C$63:$G$63,AP$7)</f>
        <v>-395803.552353224</v>
      </c>
      <c r="AQ121" s="110" t="n">
        <f aca="false">-AQ114*Premissas!$B$62*INDEX(Premissas!$C$63:$G$63,AQ$7)</f>
        <v>-414381.078643603</v>
      </c>
      <c r="AR121" s="110" t="n">
        <f aca="false">-AR114*Premissas!$B$62*INDEX(Premissas!$C$63:$G$63,AR$7)</f>
        <v>-432088.80902644</v>
      </c>
      <c r="AS121" s="110" t="n">
        <f aca="false">-AS114*Premissas!$B$62*INDEX(Premissas!$C$63:$G$63,AS$7)</f>
        <v>-448963.606362838</v>
      </c>
      <c r="AT121" s="110" t="n">
        <f aca="false">-AT114*Premissas!$B$62*INDEX(Premissas!$C$63:$G$63,AT$7)</f>
        <v>-465054.621134266</v>
      </c>
      <c r="AU121" s="110" t="n">
        <f aca="false">-AU114*Premissas!$B$62*INDEX(Premissas!$C$63:$G$63,AU$7)</f>
        <v>-480396.263607592</v>
      </c>
      <c r="AV121" s="110" t="n">
        <f aca="false">-AV114*Premissas!$B$62*INDEX(Premissas!$C$63:$G$63,AV$7)</f>
        <v>-495015.51231941</v>
      </c>
      <c r="AW121" s="110" t="n">
        <f aca="false">-AW114*Premissas!$B$62*INDEX(Premissas!$C$63:$G$63,AW$7)</f>
        <v>-508951.707374246</v>
      </c>
      <c r="AX121" s="110" t="n">
        <f aca="false">-AX114*Premissas!$B$62*INDEX(Premissas!$C$63:$G$63,AX$7)</f>
        <v>-642029.557662472</v>
      </c>
      <c r="AY121" s="110" t="n">
        <f aca="false">-AY114*Premissas!$B$62*INDEX(Premissas!$C$63:$G$63,AY$7)</f>
        <v>-684123.15077845</v>
      </c>
      <c r="AZ121" s="110" t="n">
        <f aca="false">-AZ114*Premissas!$B$62*INDEX(Premissas!$C$63:$G$63,AZ$7)</f>
        <v>-724401.660225678</v>
      </c>
      <c r="BA121" s="110" t="n">
        <f aca="false">-BA114*Premissas!$B$62*INDEX(Premissas!$C$63:$G$63,BA$7)</f>
        <v>-762952.498213843</v>
      </c>
      <c r="BB121" s="110" t="n">
        <f aca="false">-BB114*Premissas!$B$62*INDEX(Premissas!$C$63:$G$63,BB$7)</f>
        <v>-799853.059796384</v>
      </c>
      <c r="BC121" s="110" t="n">
        <f aca="false">-BC114*Premissas!$B$62*INDEX(Premissas!$C$63:$G$63,BC$7)</f>
        <v>-835155.734700465</v>
      </c>
      <c r="BD121" s="110" t="n">
        <f aca="false">-BD114*Premissas!$B$62*INDEX(Premissas!$C$63:$G$63,BD$7)</f>
        <v>-868947.960178659</v>
      </c>
      <c r="BE121" s="110" t="n">
        <f aca="false">-BE114*Premissas!$B$62*INDEX(Premissas!$C$63:$G$63,BE$7)</f>
        <v>-901282.113436687</v>
      </c>
      <c r="BF121" s="110" t="n">
        <f aca="false">-BF114*Premissas!$B$62*INDEX(Premissas!$C$63:$G$63,BF$7)</f>
        <v>-932228.139268028</v>
      </c>
      <c r="BG121" s="110" t="n">
        <f aca="false">-BG114*Premissas!$B$62*INDEX(Premissas!$C$63:$G$63,BG$7)</f>
        <v>-961853.453134214</v>
      </c>
      <c r="BH121" s="110" t="n">
        <f aca="false">-BH114*Premissas!$B$62*INDEX(Premissas!$C$63:$G$63,BH$7)</f>
        <v>-990192.96482476</v>
      </c>
      <c r="BI121" s="110" t="n">
        <f aca="false">-BI114*Premissas!$B$62*INDEX(Premissas!$C$63:$G$63,BI$7)</f>
        <v>-1017319.11090076</v>
      </c>
      <c r="BJ121" s="111" t="n">
        <f aca="false">SUM(B121:BI121)</f>
        <v>-18363419.4231634</v>
      </c>
    </row>
    <row r="122" customFormat="false" ht="15" hidden="false" customHeight="false" outlineLevel="0" collapsed="false">
      <c r="A122" s="27" t="s">
        <v>426</v>
      </c>
      <c r="B122" s="110" t="n">
        <f aca="false">-(B114*(1-INDEX(Premissas!$C$63:$G$63,B$7))+B115)*Premissas!$B$64</f>
        <v>-0</v>
      </c>
      <c r="C122" s="110" t="n">
        <f aca="false">-(C114*(1-INDEX(Premissas!$C$63:$G$63,C$7))+C115)*Premissas!$B$64</f>
        <v>-0</v>
      </c>
      <c r="D122" s="110" t="n">
        <f aca="false">-(D114*(1-INDEX(Premissas!$C$63:$G$63,D$7))+D115)*Premissas!$B$64</f>
        <v>-0</v>
      </c>
      <c r="E122" s="110" t="n">
        <f aca="false">-(E114*(1-INDEX(Premissas!$C$63:$G$63,E$7))+E115)*Premissas!$B$64</f>
        <v>-0</v>
      </c>
      <c r="F122" s="110" t="n">
        <f aca="false">-(F114*(1-INDEX(Premissas!$C$63:$G$63,F$7))+F115)*Premissas!$B$64</f>
        <v>-0</v>
      </c>
      <c r="G122" s="110" t="n">
        <f aca="false">-(G114*(1-INDEX(Premissas!$C$63:$G$63,G$7))+G115)*Premissas!$B$64</f>
        <v>-0</v>
      </c>
      <c r="H122" s="110" t="n">
        <f aca="false">-(H114*(1-INDEX(Premissas!$C$63:$G$63,H$7))+H115)*Premissas!$B$64</f>
        <v>-0</v>
      </c>
      <c r="I122" s="110" t="n">
        <f aca="false">-(I114*(1-INDEX(Premissas!$C$63:$G$63,I$7))+I115)*Premissas!$B$64</f>
        <v>-0</v>
      </c>
      <c r="J122" s="110" t="n">
        <f aca="false">-(J114*(1-INDEX(Premissas!$C$63:$G$63,J$7))+J115)*Premissas!$B$64</f>
        <v>-0</v>
      </c>
      <c r="K122" s="110" t="n">
        <f aca="false">-(K114*(1-INDEX(Premissas!$C$63:$G$63,K$7))+K115)*Premissas!$B$64</f>
        <v>-53.8002</v>
      </c>
      <c r="L122" s="110" t="n">
        <f aca="false">-(L114*(1-INDEX(Premissas!$C$63:$G$63,L$7))+L115)*Premissas!$B$64</f>
        <v>-208.475775</v>
      </c>
      <c r="M122" s="110" t="n">
        <f aca="false">-(M114*(1-INDEX(Premissas!$C$63:$G$63,M$7))+M115)*Premissas!$B$64</f>
        <v>-454.6098</v>
      </c>
      <c r="N122" s="110" t="n">
        <f aca="false">-(N114*(1-INDEX(Premissas!$C$63:$G$63,N$7))+N115)*Premissas!$B$64</f>
        <v>-1711.99567757016</v>
      </c>
      <c r="O122" s="110" t="n">
        <f aca="false">-(O114*(1-INDEX(Premissas!$C$63:$G$63,O$7))+O115)*Premissas!$B$64</f>
        <v>-2740.00227469269</v>
      </c>
      <c r="P122" s="110" t="n">
        <f aca="false">-(P114*(1-INDEX(Premissas!$C$63:$G$63,P$7))+P115)*Premissas!$B$64</f>
        <v>-3957.86375096485</v>
      </c>
      <c r="Q122" s="110" t="n">
        <f aca="false">-(Q114*(1-INDEX(Premissas!$C$63:$G$63,Q$7))+Q115)*Premissas!$B$64</f>
        <v>-4654.53919045359</v>
      </c>
      <c r="R122" s="110" t="n">
        <f aca="false">-(R114*(1-INDEX(Premissas!$C$63:$G$63,R$7))+R115)*Premissas!$B$64</f>
        <v>-5312.13832307695</v>
      </c>
      <c r="S122" s="110" t="n">
        <f aca="false">-(S114*(1-INDEX(Premissas!$C$63:$G$63,S$7))+S115)*Premissas!$B$64</f>
        <v>-5933.8853944775</v>
      </c>
      <c r="T122" s="110" t="n">
        <f aca="false">-(T114*(1-INDEX(Premissas!$C$63:$G$63,T$7))+T115)*Premissas!$B$64</f>
        <v>-6522.05470803354</v>
      </c>
      <c r="U122" s="110" t="n">
        <f aca="false">-(U114*(1-INDEX(Premissas!$C$63:$G$63,U$7))+U115)*Premissas!$B$64</f>
        <v>-7076.64989931889</v>
      </c>
      <c r="V122" s="110" t="n">
        <f aca="false">-(V114*(1-INDEX(Premissas!$C$63:$G$63,V$7))+V115)*Premissas!$B$64</f>
        <v>-7601.23755669449</v>
      </c>
      <c r="W122" s="110" t="n">
        <f aca="false">-(W114*(1-INDEX(Premissas!$C$63:$G$63,W$7))+W115)*Premissas!$B$64</f>
        <v>-8096.17716609455</v>
      </c>
      <c r="X122" s="110" t="n">
        <f aca="false">-(X114*(1-INDEX(Premissas!$C$63:$G$63,X$7))+X115)*Premissas!$B$64</f>
        <v>-8564.26562245613</v>
      </c>
      <c r="Y122" s="110" t="n">
        <f aca="false">-(Y114*(1-INDEX(Premissas!$C$63:$G$63,Y$7))+Y115)*Premissas!$B$64</f>
        <v>-9006.78390713336</v>
      </c>
      <c r="Z122" s="110" t="n">
        <f aca="false">-(Z114*(1-INDEX(Premissas!$C$63:$G$63,Z$7))+Z115)*Premissas!$B$64</f>
        <v>-15367.0521857459</v>
      </c>
      <c r="AA122" s="110" t="n">
        <f aca="false">-(AA114*(1-INDEX(Premissas!$C$63:$G$63,AA$7))+AA115)*Premissas!$B$64</f>
        <v>-16834.0472517977</v>
      </c>
      <c r="AB122" s="110" t="n">
        <f aca="false">-(AB114*(1-INDEX(Premissas!$C$63:$G$63,AB$7))+AB115)*Premissas!$B$64</f>
        <v>-18225.4779165884</v>
      </c>
      <c r="AC122" s="110" t="n">
        <f aca="false">-(AC114*(1-INDEX(Premissas!$C$63:$G$63,AC$7))+AC115)*Premissas!$B$64</f>
        <v>-19546.9204157169</v>
      </c>
      <c r="AD122" s="110" t="n">
        <f aca="false">-(AD114*(1-INDEX(Premissas!$C$63:$G$63,AD$7))+AD115)*Premissas!$B$64</f>
        <v>-20800.2472523612</v>
      </c>
      <c r="AE122" s="110" t="n">
        <f aca="false">-(AE114*(1-INDEX(Premissas!$C$63:$G$63,AE$7))+AE115)*Premissas!$B$64</f>
        <v>-21991.4859719651</v>
      </c>
      <c r="AF122" s="110" t="n">
        <f aca="false">-(AF114*(1-INDEX(Premissas!$C$63:$G$63,AF$7))+AF115)*Premissas!$B$64</f>
        <v>-23120.7511982152</v>
      </c>
      <c r="AG122" s="110" t="n">
        <f aca="false">-(AG114*(1-INDEX(Premissas!$C$63:$G$63,AG$7))+AG115)*Premissas!$B$64</f>
        <v>-24193.2950140377</v>
      </c>
      <c r="AH122" s="110" t="n">
        <f aca="false">-(AH114*(1-INDEX(Premissas!$C$63:$G$63,AH$7))+AH115)*Premissas!$B$64</f>
        <v>-25211.4057669186</v>
      </c>
      <c r="AI122" s="110" t="n">
        <f aca="false">-(AI114*(1-INDEX(Premissas!$C$63:$G$63,AI$7))+AI115)*Premissas!$B$64</f>
        <v>-26177.6019136472</v>
      </c>
      <c r="AJ122" s="110" t="n">
        <f aca="false">-(AJ114*(1-INDEX(Premissas!$C$63:$G$63,AJ$7))+AJ115)*Premissas!$B$64</f>
        <v>-27095.1218289426</v>
      </c>
      <c r="AK122" s="110" t="n">
        <f aca="false">-(AK114*(1-INDEX(Premissas!$C$63:$G$63,AK$7))+AK115)*Premissas!$B$64</f>
        <v>-27966.4516112737</v>
      </c>
      <c r="AL122" s="110" t="n">
        <f aca="false">-(AL114*(1-INDEX(Premissas!$C$63:$G$63,AL$7))+AL115)*Premissas!$B$64</f>
        <v>-41897.2107330669</v>
      </c>
      <c r="AM122" s="110" t="n">
        <f aca="false">-(AM114*(1-INDEX(Premissas!$C$63:$G$63,AM$7))+AM115)*Premissas!$B$64</f>
        <v>-44918.8604486298</v>
      </c>
      <c r="AN122" s="110" t="n">
        <f aca="false">-(AN114*(1-INDEX(Premissas!$C$63:$G$63,AN$7))+AN115)*Premissas!$B$64</f>
        <v>-47798.4220504231</v>
      </c>
      <c r="AO122" s="110" t="n">
        <f aca="false">-(AO114*(1-INDEX(Premissas!$C$63:$G$63,AO$7))+AO115)*Premissas!$B$64</f>
        <v>-50543.0710166442</v>
      </c>
      <c r="AP122" s="110" t="n">
        <f aca="false">-(AP114*(1-INDEX(Premissas!$C$63:$G$63,AP$7))+AP115)*Premissas!$B$64</f>
        <v>-53159.6533481006</v>
      </c>
      <c r="AQ122" s="110" t="n">
        <f aca="false">-(AQ114*(1-INDEX(Premissas!$C$63:$G$63,AQ$7))+AQ115)*Premissas!$B$64</f>
        <v>-55654.6903345558</v>
      </c>
      <c r="AR122" s="110" t="n">
        <f aca="false">-(AR114*(1-INDEX(Premissas!$C$63:$G$63,AR$7))+AR115)*Premissas!$B$64</f>
        <v>-58032.9424876872</v>
      </c>
      <c r="AS122" s="110" t="n">
        <f aca="false">-(AS114*(1-INDEX(Premissas!$C$63:$G$63,AS$7))+AS115)*Premissas!$B$64</f>
        <v>-60299.4257140713</v>
      </c>
      <c r="AT122" s="110" t="n">
        <f aca="false">-(AT114*(1-INDEX(Premissas!$C$63:$G$63,AT$7))+AT115)*Premissas!$B$64</f>
        <v>-62460.5560590919</v>
      </c>
      <c r="AU122" s="110" t="n">
        <f aca="false">-(AU114*(1-INDEX(Premissas!$C$63:$G$63,AU$7))+AU115)*Premissas!$B$64</f>
        <v>-64520.9980208067</v>
      </c>
      <c r="AV122" s="110" t="n">
        <f aca="false">-(AV114*(1-INDEX(Premissas!$C$63:$G$63,AV$7))+AV115)*Premissas!$B$64</f>
        <v>-66484.5186947883</v>
      </c>
      <c r="AW122" s="110" t="n">
        <f aca="false">-(AW114*(1-INDEX(Premissas!$C$63:$G$63,AW$7))+AW115)*Premissas!$B$64</f>
        <v>-68356.298411047</v>
      </c>
      <c r="AX122" s="110" t="n">
        <f aca="false">-(AX114*(1-INDEX(Premissas!$C$63:$G$63,AX$7))+AX115)*Premissas!$B$64</f>
        <v>-94595.2783042279</v>
      </c>
      <c r="AY122" s="110" t="n">
        <f aca="false">-(AY114*(1-INDEX(Premissas!$C$63:$G$63,AY$7))+AY115)*Premissas!$B$64</f>
        <v>-100797.206137835</v>
      </c>
      <c r="AZ122" s="110" t="n">
        <f aca="false">-(AZ114*(1-INDEX(Premissas!$C$63:$G$63,AZ$7))+AZ115)*Premissas!$B$64</f>
        <v>-106731.813582518</v>
      </c>
      <c r="BA122" s="110" t="n">
        <f aca="false">-(BA114*(1-INDEX(Premissas!$C$63:$G$63,BA$7))+BA115)*Premissas!$B$64</f>
        <v>-112411.798750382</v>
      </c>
      <c r="BB122" s="110" t="n">
        <f aca="false">-(BB114*(1-INDEX(Premissas!$C$63:$G$63,BB$7))+BB115)*Premissas!$B$64</f>
        <v>-117848.509103235</v>
      </c>
      <c r="BC122" s="110" t="n">
        <f aca="false">-(BC114*(1-INDEX(Premissas!$C$63:$G$63,BC$7))+BC115)*Premissas!$B$64</f>
        <v>-123050.017098522</v>
      </c>
      <c r="BD122" s="110" t="n">
        <f aca="false">-(BD114*(1-INDEX(Premissas!$C$63:$G$63,BD$7))+BD115)*Premissas!$B$64</f>
        <v>-128028.843850729</v>
      </c>
      <c r="BE122" s="110" t="n">
        <f aca="false">-(BE114*(1-INDEX(Premissas!$C$63:$G$63,BE$7))+BE115)*Premissas!$B$64</f>
        <v>-132792.947770212</v>
      </c>
      <c r="BF122" s="110" t="n">
        <f aca="false">-(BF114*(1-INDEX(Premissas!$C$63:$G$63,BF$7))+BF115)*Premissas!$B$64</f>
        <v>-137352.493336765</v>
      </c>
      <c r="BG122" s="110" t="n">
        <f aca="false">-(BG114*(1-INDEX(Premissas!$C$63:$G$63,BG$7))+BG115)*Premissas!$B$64</f>
        <v>-141717.269471754</v>
      </c>
      <c r="BH122" s="110" t="n">
        <f aca="false">-(BH114*(1-INDEX(Premissas!$C$63:$G$63,BH$7))+BH115)*Premissas!$B$64</f>
        <v>-145892.837601848</v>
      </c>
      <c r="BI122" s="110" t="n">
        <f aca="false">-(BI114*(1-INDEX(Premissas!$C$63:$G$63,BI$7))+BI115)*Premissas!$B$64</f>
        <v>-149889.537901886</v>
      </c>
      <c r="BJ122" s="111" t="n">
        <f aca="false">SUM(B122:BI122)</f>
        <v>-2503659.537802</v>
      </c>
    </row>
    <row r="123" customFormat="false" ht="15" hidden="false" customHeight="false" outlineLevel="0" collapsed="false">
      <c r="A123" s="51" t="s">
        <v>526</v>
      </c>
      <c r="B123" s="111" t="n">
        <f aca="false">B117+SUM(B120:B122)</f>
        <v>0</v>
      </c>
      <c r="C123" s="111" t="n">
        <f aca="false">C117+SUM(C120:C122)</f>
        <v>0</v>
      </c>
      <c r="D123" s="111" t="n">
        <f aca="false">D117+SUM(D120:D122)</f>
        <v>0</v>
      </c>
      <c r="E123" s="111" t="n">
        <f aca="false">E117+SUM(E120:E122)</f>
        <v>0</v>
      </c>
      <c r="F123" s="111" t="n">
        <f aca="false">F117+SUM(F120:F122)</f>
        <v>0</v>
      </c>
      <c r="G123" s="111" t="n">
        <f aca="false">G117+SUM(G120:G122)</f>
        <v>0</v>
      </c>
      <c r="H123" s="111" t="n">
        <f aca="false">H117+SUM(H120:H122)</f>
        <v>0</v>
      </c>
      <c r="I123" s="111" t="n">
        <f aca="false">I117+SUM(I120:I122)</f>
        <v>0</v>
      </c>
      <c r="J123" s="111" t="n">
        <f aca="false">J117+SUM(J120:J122)</f>
        <v>0</v>
      </c>
      <c r="K123" s="111" t="n">
        <f aca="false">K117+SUM(K120:K122)</f>
        <v>5664.9618</v>
      </c>
      <c r="L123" s="111" t="n">
        <f aca="false">L117+SUM(L120:L122)</f>
        <v>21951.726975</v>
      </c>
      <c r="M123" s="111" t="n">
        <f aca="false">M117+SUM(M120:M122)</f>
        <v>47868.7282</v>
      </c>
      <c r="N123" s="111" t="n">
        <f aca="false">N117+SUM(N120:N122)</f>
        <v>120415.082910358</v>
      </c>
      <c r="O123" s="111" t="n">
        <f aca="false">O117+SUM(O120:O122)</f>
        <v>194803.183942387</v>
      </c>
      <c r="P123" s="111" t="n">
        <f aca="false">P117+SUM(P120:P122)</f>
        <v>280432.078117758</v>
      </c>
      <c r="Q123" s="111" t="n">
        <f aca="false">Q117+SUM(Q120:Q122)</f>
        <v>325019.065843264</v>
      </c>
      <c r="R123" s="111" t="n">
        <f aca="false">R117+SUM(R120:R122)</f>
        <v>367702.109935214</v>
      </c>
      <c r="S123" s="111" t="n">
        <f aca="false">S117+SUM(S120:S122)</f>
        <v>407471.389359757</v>
      </c>
      <c r="T123" s="111" t="n">
        <f aca="false">T117+SUM(T120:T122)</f>
        <v>442934.275651611</v>
      </c>
      <c r="U123" s="111" t="n">
        <f aca="false">U117+SUM(U120:U122)</f>
        <v>477021.668789556</v>
      </c>
      <c r="V123" s="111" t="n">
        <f aca="false">V117+SUM(V120:V122)</f>
        <v>545162.278298528</v>
      </c>
      <c r="W123" s="111" t="n">
        <f aca="false">W117+SUM(W120:W122)</f>
        <v>562234.326595089</v>
      </c>
      <c r="X123" s="111" t="n">
        <f aca="false">X117+SUM(X120:X122)</f>
        <v>618709.637608438</v>
      </c>
      <c r="Y123" s="111" t="n">
        <f aca="false">Y117+SUM(Y120:Y122)</f>
        <v>650680.533579779</v>
      </c>
      <c r="Z123" s="111" t="n">
        <f aca="false">Z117+SUM(Z120:Z122)</f>
        <v>893880.187315772</v>
      </c>
      <c r="AA123" s="111" t="n">
        <f aca="false">AA117+SUM(AA120:AA122)</f>
        <v>979216.859287573</v>
      </c>
      <c r="AB123" s="111" t="n">
        <f aca="false">AB117+SUM(AB120:AB122)</f>
        <v>1060152.33128664</v>
      </c>
      <c r="AC123" s="111" t="n">
        <f aca="false">AC117+SUM(AC120:AC122)</f>
        <v>1137020.30569619</v>
      </c>
      <c r="AD123" s="111" t="n">
        <f aca="false">AD117+SUM(AD120:AD122)</f>
        <v>1209920.76657372</v>
      </c>
      <c r="AE123" s="111" t="n">
        <f aca="false">AE117+SUM(AE120:AE122)</f>
        <v>1279217.96563804</v>
      </c>
      <c r="AF123" s="111" t="n">
        <f aca="false">AF117+SUM(AF120:AF122)</f>
        <v>1344902.33364626</v>
      </c>
      <c r="AG123" s="111" t="n">
        <f aca="false">AG117+SUM(AG120:AG122)</f>
        <v>1407290.73413609</v>
      </c>
      <c r="AH123" s="111" t="n">
        <f aca="false">AH117+SUM(AH120:AH122)</f>
        <v>1466513.02030161</v>
      </c>
      <c r="AI123" s="111" t="n">
        <f aca="false">AI117+SUM(AI120:AI122)</f>
        <v>1522714.3983721</v>
      </c>
      <c r="AJ123" s="111" t="n">
        <f aca="false">AJ117+SUM(AJ120:AJ122)</f>
        <v>1576086.42930148</v>
      </c>
      <c r="AK123" s="111" t="n">
        <f aca="false">AK117+SUM(AK120:AK122)</f>
        <v>1626773.69378631</v>
      </c>
      <c r="AL123" s="111" t="n">
        <f aca="false">AL117+SUM(AL120:AL122)</f>
        <v>2165209.36763497</v>
      </c>
      <c r="AM123" s="111" t="n">
        <f aca="false">AM117+SUM(AM120:AM122)</f>
        <v>2321370.41023132</v>
      </c>
      <c r="AN123" s="111" t="n">
        <f aca="false">AN117+SUM(AN120:AN122)</f>
        <v>2470183.53319322</v>
      </c>
      <c r="AO123" s="111" t="n">
        <f aca="false">AO117+SUM(AO120:AO122)</f>
        <v>2612022.5568014</v>
      </c>
      <c r="AP123" s="111" t="n">
        <f aca="false">AP117+SUM(AP120:AP122)</f>
        <v>2747244.16391064</v>
      </c>
      <c r="AQ123" s="111" t="n">
        <f aca="false">AQ117+SUM(AQ120:AQ122)</f>
        <v>2876188.0966497</v>
      </c>
      <c r="AR123" s="111" t="n">
        <f aca="false">AR117+SUM(AR120:AR122)</f>
        <v>2999095.46922309</v>
      </c>
      <c r="AS123" s="111" t="n">
        <f aca="false">AS117+SUM(AS120:AS122)</f>
        <v>3116223.2863253</v>
      </c>
      <c r="AT123" s="111" t="n">
        <f aca="false">AT117+SUM(AT120:AT122)</f>
        <v>3227909.43848563</v>
      </c>
      <c r="AU123" s="111" t="n">
        <f aca="false">AU117+SUM(AU120:AU122)</f>
        <v>3334393.51997495</v>
      </c>
      <c r="AV123" s="111" t="n">
        <f aca="false">AV117+SUM(AV120:AV122)</f>
        <v>3435865.3143019</v>
      </c>
      <c r="AW123" s="111" t="n">
        <f aca="false">AW117+SUM(AW120:AW122)</f>
        <v>3532596.05973765</v>
      </c>
      <c r="AX123" s="111" t="n">
        <f aca="false">AX117+SUM(AX120:AX122)</f>
        <v>4603457.57794451</v>
      </c>
      <c r="AY123" s="111" t="n">
        <f aca="false">AY117+SUM(AY120:AY122)</f>
        <v>4905274.63091538</v>
      </c>
      <c r="AZ123" s="111" t="n">
        <f aca="false">AZ117+SUM(AZ120:AZ122)</f>
        <v>5194079.17414158</v>
      </c>
      <c r="BA123" s="111" t="n">
        <f aca="false">BA117+SUM(BA120:BA122)</f>
        <v>5470494.78283803</v>
      </c>
      <c r="BB123" s="111" t="n">
        <f aca="false">BB117+SUM(BB120:BB122)</f>
        <v>5735075.41123742</v>
      </c>
      <c r="BC123" s="111" t="n">
        <f aca="false">BC117+SUM(BC120:BC122)</f>
        <v>5988202.92094538</v>
      </c>
      <c r="BD123" s="111" t="n">
        <f aca="false">BD117+SUM(BD120:BD122)</f>
        <v>6230497.88784506</v>
      </c>
      <c r="BE123" s="111" t="n">
        <f aca="false">BE117+SUM(BE120:BE122)</f>
        <v>6462340.10975041</v>
      </c>
      <c r="BF123" s="111" t="n">
        <f aca="false">BF117+SUM(BF120:BF122)</f>
        <v>6684228.62100718</v>
      </c>
      <c r="BG123" s="111" t="n">
        <f aca="false">BG117+SUM(BG120:BG122)</f>
        <v>6896644.26935483</v>
      </c>
      <c r="BH123" s="111" t="n">
        <f aca="false">BH117+SUM(BH120:BH122)</f>
        <v>7099844.71584293</v>
      </c>
      <c r="BI123" s="111" t="n">
        <f aca="false">BI117+SUM(BI120:BI122)</f>
        <v>7294343.49319089</v>
      </c>
      <c r="BJ123" s="111" t="n">
        <f aca="false">SUM(B123:BI123)</f>
        <v>127974544.884432</v>
      </c>
    </row>
    <row r="124" customFormat="false" ht="15" hidden="false" customHeight="false" outlineLevel="0" collapsed="false">
      <c r="A124" s="27" t="s">
        <v>429</v>
      </c>
      <c r="B124" s="110" t="n">
        <f aca="false">-(B107*INDEX(Premissas!$C$73:$G$73,B$7)+(B105-B107)*INDEX(Premissas!$C$74:$G$74,B$7)+IF(B$4&gt;=Premissas!$B$71,INDEX(Premissas!$C$72:$G$72,B$7),0))</f>
        <v>-0</v>
      </c>
      <c r="C124" s="110" t="n">
        <f aca="false">-(C107*INDEX(Premissas!$C$73:$G$73,C$7)+(C105-C107)*INDEX(Premissas!$C$74:$G$74,C$7)+IF(C$4&gt;=Premissas!$B$71,INDEX(Premissas!$C$72:$G$72,C$7),0))</f>
        <v>-0</v>
      </c>
      <c r="D124" s="110" t="n">
        <f aca="false">-(D107*INDEX(Premissas!$C$73:$G$73,D$7)+(D105-D107)*INDEX(Premissas!$C$74:$G$74,D$7)+IF(D$4&gt;=Premissas!$B$71,INDEX(Premissas!$C$72:$G$72,D$7),0))</f>
        <v>-0</v>
      </c>
      <c r="E124" s="110" t="n">
        <f aca="false">-(E107*INDEX(Premissas!$C$73:$G$73,E$7)+(E105-E107)*INDEX(Premissas!$C$74:$G$74,E$7)+IF(E$4&gt;=Premissas!$B$71,INDEX(Premissas!$C$72:$G$72,E$7),0))</f>
        <v>-0</v>
      </c>
      <c r="F124" s="110" t="n">
        <f aca="false">-(F107*INDEX(Premissas!$C$73:$G$73,F$7)+(F105-F107)*INDEX(Premissas!$C$74:$G$74,F$7)+IF(F$4&gt;=Premissas!$B$71,INDEX(Premissas!$C$72:$G$72,F$7),0))</f>
        <v>-600</v>
      </c>
      <c r="G124" s="110" t="n">
        <f aca="false">-(G107*INDEX(Premissas!$C$73:$G$73,G$7)+(G105-G107)*INDEX(Premissas!$C$74:$G$74,G$7)+IF(G$4&gt;=Premissas!$B$71,INDEX(Premissas!$C$72:$G$72,G$7),0))</f>
        <v>-600</v>
      </c>
      <c r="H124" s="110" t="n">
        <f aca="false">-(H107*INDEX(Premissas!$C$73:$G$73,H$7)+(H105-H107)*INDEX(Premissas!$C$74:$G$74,H$7)+IF(H$4&gt;=Premissas!$B$71,INDEX(Premissas!$C$72:$G$72,H$7),0))</f>
        <v>-600</v>
      </c>
      <c r="I124" s="110" t="n">
        <f aca="false">-(I107*INDEX(Premissas!$C$73:$G$73,I$7)+(I105-I107)*INDEX(Premissas!$C$74:$G$74,I$7)+IF(I$4&gt;=Premissas!$B$71,INDEX(Premissas!$C$72:$G$72,I$7),0))</f>
        <v>-600</v>
      </c>
      <c r="J124" s="110" t="n">
        <f aca="false">-(J107*INDEX(Premissas!$C$73:$G$73,J$7)+(J105-J107)*INDEX(Premissas!$C$74:$G$74,J$7)+IF(J$4&gt;=Premissas!$B$71,INDEX(Premissas!$C$72:$G$72,J$7),0))</f>
        <v>-600</v>
      </c>
      <c r="K124" s="110" t="n">
        <f aca="false">-(K107*INDEX(Premissas!$C$73:$G$73,K$7)+(K105-K107)*INDEX(Premissas!$C$74:$G$74,K$7)+IF(K$4&gt;=Premissas!$B$71,INDEX(Premissas!$C$72:$G$72,K$7),0))</f>
        <v>-1544.88</v>
      </c>
      <c r="L124" s="110" t="n">
        <f aca="false">-(L107*INDEX(Premissas!$C$73:$G$73,L$7)+(L105-L107)*INDEX(Premissas!$C$74:$G$74,L$7)+IF(L$4&gt;=Premissas!$B$71,INDEX(Premissas!$C$72:$G$72,L$7),0))</f>
        <v>-3280.752</v>
      </c>
      <c r="M124" s="110" t="n">
        <f aca="false">-(M107*INDEX(Premissas!$C$73:$G$73,M$7)+(M105-M107)*INDEX(Premissas!$C$74:$G$74,M$7)+IF(M$4&gt;=Premissas!$B$71,INDEX(Premissas!$C$72:$G$72,M$7),0))</f>
        <v>-5736.92048</v>
      </c>
      <c r="N124" s="110" t="n">
        <f aca="false">-(N107*INDEX(Premissas!$C$73:$G$73,N$7)+(N105-N107)*INDEX(Premissas!$C$74:$G$74,N$7)+IF(N$4&gt;=Premissas!$B$71,INDEX(Premissas!$C$72:$G$72,N$7),0))</f>
        <v>-12045.719253504</v>
      </c>
      <c r="O124" s="110" t="n">
        <f aca="false">-(O107*INDEX(Premissas!$C$73:$G$73,O$7)+(O105-O107)*INDEX(Premissas!$C$74:$G$74,O$7)+IF(O$4&gt;=Premissas!$B$71,INDEX(Premissas!$C$72:$G$72,O$7),0))</f>
        <v>-17534.5177667106</v>
      </c>
      <c r="P124" s="110" t="n">
        <f aca="false">-(P107*INDEX(Premissas!$C$73:$G$73,P$7)+(P105-P107)*INDEX(Premissas!$C$74:$G$74,P$7)+IF(P$4&gt;=Premissas!$B$71,INDEX(Premissas!$C$72:$G$72,P$7),0))</f>
        <v>-23969.3461139882</v>
      </c>
      <c r="Q124" s="110" t="n">
        <f aca="false">-(Q107*INDEX(Premissas!$C$73:$G$73,Q$7)+(Q105-Q107)*INDEX(Premissas!$C$74:$G$74,Q$7)+IF(Q$4&gt;=Premissas!$B$71,INDEX(Premissas!$C$72:$G$72,Q$7),0))</f>
        <v>-27746.681288496</v>
      </c>
      <c r="R124" s="110" t="n">
        <f aca="false">-(R107*INDEX(Premissas!$C$73:$G$73,R$7)+(R105-R107)*INDEX(Premissas!$C$74:$G$74,R$7)+IF(R$4&gt;=Premissas!$B$71,INDEX(Premissas!$C$72:$G$72,R$7),0))</f>
        <v>-31315.713977371</v>
      </c>
      <c r="S124" s="110" t="n">
        <f aca="false">-(S107*INDEX(Premissas!$C$73:$G$73,S$7)+(S105-S107)*INDEX(Premissas!$C$74:$G$74,S$7)+IF(S$4&gt;=Premissas!$B$71,INDEX(Premissas!$C$72:$G$72,S$7),0))</f>
        <v>-34688.9649818202</v>
      </c>
      <c r="T124" s="110" t="n">
        <f aca="false">-(T107*INDEX(Premissas!$C$73:$G$73,T$7)+(T105-T107)*INDEX(Premissas!$C$74:$G$74,T$7)+IF(T$4&gt;=Premissas!$B$71,INDEX(Premissas!$C$72:$G$72,T$7),0))</f>
        <v>-37874.8612828237</v>
      </c>
      <c r="U124" s="110" t="n">
        <f aca="false">-(U107*INDEX(Premissas!$C$73:$G$73,U$7)+(U105-U107)*INDEX(Premissas!$C$74:$G$74,U$7)+IF(U$4&gt;=Premissas!$B$71,INDEX(Premissas!$C$72:$G$72,U$7),0))</f>
        <v>-40884.3917720118</v>
      </c>
      <c r="V124" s="110" t="n">
        <f aca="false">-(V107*INDEX(Premissas!$C$73:$G$73,V$7)+(V105-V107)*INDEX(Premissas!$C$74:$G$74,V$7)+IF(V$4&gt;=Premissas!$B$71,INDEX(Premissas!$C$72:$G$72,V$7),0))</f>
        <v>-43728.4526661968</v>
      </c>
      <c r="W124" s="110" t="n">
        <f aca="false">-(W107*INDEX(Premissas!$C$73:$G$73,W$7)+(W105-W107)*INDEX(Premissas!$C$74:$G$74,W$7)+IF(W$4&gt;=Premissas!$B$71,INDEX(Premissas!$C$72:$G$72,W$7),0))</f>
        <v>-46416.5226230227</v>
      </c>
      <c r="X124" s="110" t="n">
        <f aca="false">-(X107*INDEX(Premissas!$C$73:$G$73,X$7)+(X105-X107)*INDEX(Premissas!$C$74:$G$74,X$7)+IF(X$4&gt;=Premissas!$B$71,INDEX(Premissas!$C$72:$G$72,X$7),0))</f>
        <v>-48955.3375742318</v>
      </c>
      <c r="Y124" s="110" t="n">
        <f aca="false">-(Y107*INDEX(Premissas!$C$73:$G$73,Y$7)+(Y105-Y107)*INDEX(Premissas!$C$74:$G$74,Y$7)+IF(Y$4&gt;=Premissas!$B$71,INDEX(Premissas!$C$72:$G$72,Y$7),0))</f>
        <v>-51354.2152921343</v>
      </c>
      <c r="Z124" s="110" t="n">
        <f aca="false">-(Z107*INDEX(Premissas!$C$73:$G$73,Z$7)+(Z105-Z107)*INDEX(Premissas!$C$74:$G$74,Z$7)+IF(Z$4&gt;=Premissas!$B$71,INDEX(Premissas!$C$72:$G$72,Z$7),0))</f>
        <v>-58529.4565359526</v>
      </c>
      <c r="AA124" s="110" t="n">
        <f aca="false">-(AA107*INDEX(Premissas!$C$73:$G$73,AA$7)+(AA105-AA107)*INDEX(Premissas!$C$74:$G$74,AA$7)+IF(AA$4&gt;=Premissas!$B$71,INDEX(Premissas!$C$72:$G$72,AA$7),0))</f>
        <v>-63350.8825892468</v>
      </c>
      <c r="AB124" s="110" t="n">
        <f aca="false">-(AB107*INDEX(Premissas!$C$73:$G$73,AB$7)+(AB105-AB107)*INDEX(Premissas!$C$74:$G$74,AB$7)+IF(AB$4&gt;=Premissas!$B$71,INDEX(Premissas!$C$72:$G$72,AB$7),0))</f>
        <v>-67926.4514738185</v>
      </c>
      <c r="AC124" s="110" t="n">
        <f aca="false">-(AC107*INDEX(Premissas!$C$73:$G$73,AC$7)+(AC105-AC107)*INDEX(Premissas!$C$74:$G$74,AC$7)+IF(AC$4&gt;=Premissas!$B$71,INDEX(Premissas!$C$72:$G$72,AC$7),0))</f>
        <v>-72270.5805898201</v>
      </c>
      <c r="AD124" s="110" t="n">
        <f aca="false">-(AD107*INDEX(Premissas!$C$73:$G$73,AD$7)+(AD105-AD107)*INDEX(Premissas!$C$74:$G$74,AD$7)+IF(AD$4&gt;=Premissas!$B$71,INDEX(Premissas!$C$72:$G$72,AD$7),0))</f>
        <v>-76394.1915265227</v>
      </c>
      <c r="AE124" s="110" t="n">
        <f aca="false">-(AE107*INDEX(Premissas!$C$73:$G$73,AE$7)+(AE105-AE107)*INDEX(Premissas!$C$74:$G$74,AE$7)+IF(AE$4&gt;=Premissas!$B$71,INDEX(Premissas!$C$72:$G$72,AE$7),0))</f>
        <v>-80309.2431311118</v>
      </c>
      <c r="AF124" s="110" t="n">
        <f aca="false">-(AF107*INDEX(Premissas!$C$73:$G$73,AF$7)+(AF105-AF107)*INDEX(Premissas!$C$74:$G$74,AF$7)+IF(AF$4&gt;=Premissas!$B$71,INDEX(Premissas!$C$72:$G$72,AF$7),0))</f>
        <v>-84024.2083200694</v>
      </c>
      <c r="AG124" s="110" t="n">
        <f aca="false">-(AG107*INDEX(Premissas!$C$73:$G$73,AG$7)+(AG105-AG107)*INDEX(Premissas!$C$74:$G$74,AG$7)+IF(AG$4&gt;=Premissas!$B$71,INDEX(Premissas!$C$72:$G$72,AG$7),0))</f>
        <v>-87550.870646215</v>
      </c>
      <c r="AH124" s="110" t="n">
        <f aca="false">-(AH107*INDEX(Premissas!$C$73:$G$73,AH$7)+(AH105-AH107)*INDEX(Premissas!$C$74:$G$74,AH$7)+IF(AH$4&gt;=Premissas!$B$71,INDEX(Premissas!$C$72:$G$72,AH$7),0))</f>
        <v>-90898.6686338136</v>
      </c>
      <c r="AI124" s="110" t="n">
        <f aca="false">-(AI107*INDEX(Premissas!$C$73:$G$73,AI$7)+(AI105-AI107)*INDEX(Premissas!$C$74:$G$74,AI$7)+IF(AI$4&gt;=Premissas!$B$71,INDEX(Premissas!$C$72:$G$72,AI$7),0))</f>
        <v>-94075.83189353</v>
      </c>
      <c r="AJ124" s="110" t="n">
        <f aca="false">-(AJ107*INDEX(Premissas!$C$73:$G$73,AJ$7)+(AJ105-AJ107)*INDEX(Premissas!$C$74:$G$74,AJ$7)+IF(AJ$4&gt;=Premissas!$B$71,INDEX(Premissas!$C$72:$G$72,AJ$7),0))</f>
        <v>-97091.649028409</v>
      </c>
      <c r="AK124" s="110" t="n">
        <f aca="false">-(AK107*INDEX(Premissas!$C$73:$G$73,AK$7)+(AK105-AK107)*INDEX(Premissas!$C$74:$G$74,AK$7)+IF(AK$4&gt;=Premissas!$B$71,INDEX(Premissas!$C$72:$G$72,AK$7),0))</f>
        <v>-99955.3393414943</v>
      </c>
      <c r="AL124" s="110" t="n">
        <f aca="false">-(AL107*INDEX(Premissas!$C$73:$G$73,AL$7)+(AL105-AL107)*INDEX(Premissas!$C$74:$G$74,AL$7)+IF(AL$4&gt;=Premissas!$B$71,INDEX(Premissas!$C$72:$G$72,AL$7),0))</f>
        <v>-111269.246775055</v>
      </c>
      <c r="AM124" s="110" t="n">
        <f aca="false">-(AM107*INDEX(Premissas!$C$73:$G$73,AM$7)+(AM105-AM107)*INDEX(Premissas!$C$74:$G$74,AM$7)+IF(AM$4&gt;=Premissas!$B$71,INDEX(Premissas!$C$72:$G$72,AM$7),0))</f>
        <v>-117993.925024219</v>
      </c>
      <c r="AN124" s="110" t="n">
        <f aca="false">-(AN107*INDEX(Premissas!$C$73:$G$73,AN$7)+(AN105-AN107)*INDEX(Premissas!$C$74:$G$74,AN$7)+IF(AN$4&gt;=Premissas!$B$71,INDEX(Premissas!$C$72:$G$72,AN$7),0))</f>
        <v>-124404.575761967</v>
      </c>
      <c r="AO124" s="110" t="n">
        <f aca="false">-(AO107*INDEX(Premissas!$C$73:$G$73,AO$7)+(AO105-AO107)*INDEX(Premissas!$C$74:$G$74,AO$7)+IF(AO$4&gt;=Premissas!$B$71,INDEX(Premissas!$C$72:$G$72,AO$7),0))</f>
        <v>-130515.08114933</v>
      </c>
      <c r="AP124" s="110" t="n">
        <f aca="false">-(AP107*INDEX(Premissas!$C$73:$G$73,AP$7)+(AP105-AP107)*INDEX(Premissas!$C$74:$G$74,AP$7)+IF(AP$4&gt;=Premissas!$B$71,INDEX(Premissas!$C$72:$G$72,AP$7),0))</f>
        <v>-136340.212000534</v>
      </c>
      <c r="AQ124" s="110" t="n">
        <f aca="false">-(AQ107*INDEX(Premissas!$C$73:$G$73,AQ$7)+(AQ105-AQ107)*INDEX(Premissas!$C$74:$G$74,AQ$7)+IF(AQ$4&gt;=Premissas!$B$71,INDEX(Premissas!$C$72:$G$72,AQ$7),0))</f>
        <v>-141893.662284449</v>
      </c>
      <c r="AR124" s="110" t="n">
        <f aca="false">-(AR107*INDEX(Premissas!$C$73:$G$73,AR$7)+(AR105-AR107)*INDEX(Premissas!$C$74:$G$74,AR$7)+IF(AR$4&gt;=Premissas!$B$71,INDEX(Premissas!$C$72:$G$72,AR$7),0))</f>
        <v>-147188.05341572</v>
      </c>
      <c r="AS124" s="110" t="n">
        <f aca="false">-(AS107*INDEX(Premissas!$C$73:$G$73,AS$7)+(AS105-AS107)*INDEX(Premissas!$C$74:$G$74,AS$7)+IF(AS$4&gt;=Premissas!$B$71,INDEX(Premissas!$C$72:$G$72,AS$7),0))</f>
        <v>-152233.953345413</v>
      </c>
      <c r="AT124" s="110" t="n">
        <f aca="false">-(AT107*INDEX(Premissas!$C$73:$G$73,AT$7)+(AT105-AT107)*INDEX(Premissas!$C$74:$G$74,AT$7)+IF(AT$4&gt;=Premissas!$B$71,INDEX(Premissas!$C$72:$G$72,AT$7),0))</f>
        <v>-157044.805460542</v>
      </c>
      <c r="AU124" s="110" t="n">
        <f aca="false">-(AU107*INDEX(Premissas!$C$73:$G$73,AU$7)+(AU105-AU107)*INDEX(Premissas!$C$74:$G$74,AU$7)+IF(AU$4&gt;=Premissas!$B$71,INDEX(Premissas!$C$72:$G$72,AU$7),0))</f>
        <v>-161630.037301399</v>
      </c>
      <c r="AV124" s="110" t="n">
        <f aca="false">-(AV107*INDEX(Premissas!$C$73:$G$73,AV$7)+(AV105-AV107)*INDEX(Premissas!$C$74:$G$74,AV$7)+IF(AV$4&gt;=Premissas!$B$71,INDEX(Premissas!$C$72:$G$72,AV$7),0))</f>
        <v>-166001.959105216</v>
      </c>
      <c r="AW124" s="110" t="n">
        <f aca="false">-(AW107*INDEX(Premissas!$C$73:$G$73,AW$7)+(AW105-AW107)*INDEX(Premissas!$C$74:$G$74,AW$7)+IF(AW$4&gt;=Premissas!$B$71,INDEX(Premissas!$C$72:$G$72,AW$7),0))</f>
        <v>-170169.85718425</v>
      </c>
      <c r="AX124" s="110" t="n">
        <f aca="false">-(AX107*INDEX(Premissas!$C$73:$G$73,AX$7)+(AX105-AX107)*INDEX(Premissas!$C$74:$G$74,AX$7)+IF(AX$4&gt;=Premissas!$B$71,INDEX(Premissas!$C$72:$G$72,AX$7),0))</f>
        <v>-191720.409077108</v>
      </c>
      <c r="AY124" s="110" t="n">
        <f aca="false">-(AY107*INDEX(Premissas!$C$73:$G$73,AY$7)+(AY105-AY107)*INDEX(Premissas!$C$74:$G$74,AY$7)+IF(AY$4&gt;=Premissas!$B$71,INDEX(Premissas!$C$72:$G$72,AY$7),0))</f>
        <v>-202322.769901833</v>
      </c>
      <c r="AZ124" s="110" t="n">
        <f aca="false">-(AZ107*INDEX(Premissas!$C$73:$G$73,AZ$7)+(AZ105-AZ107)*INDEX(Premissas!$C$74:$G$74,AZ$7)+IF(AZ$4&gt;=Premissas!$B$71,INDEX(Premissas!$C$72:$G$72,AZ$7),0))</f>
        <v>-212469.289319595</v>
      </c>
      <c r="BA124" s="110" t="n">
        <f aca="false">-(BA107*INDEX(Premissas!$C$73:$G$73,BA$7)+(BA105-BA107)*INDEX(Premissas!$C$74:$G$74,BA$7)+IF(BA$4&gt;=Premissas!$B$71,INDEX(Premissas!$C$72:$G$72,BA$7),0))</f>
        <v>-222179.562138834</v>
      </c>
      <c r="BB124" s="110" t="n">
        <f aca="false">-(BB107*INDEX(Premissas!$C$73:$G$73,BB$7)+(BB105-BB107)*INDEX(Premissas!$C$74:$G$74,BB$7)+IF(BB$4&gt;=Premissas!$B$71,INDEX(Premissas!$C$72:$G$72,BB$7),0))</f>
        <v>-231473.063681876</v>
      </c>
      <c r="BC124" s="110" t="n">
        <f aca="false">-(BC107*INDEX(Premissas!$C$73:$G$73,BC$7)+(BC105-BC107)*INDEX(Premissas!$C$74:$G$74,BC$7)+IF(BC$4&gt;=Premissas!$B$71,INDEX(Premissas!$C$72:$G$72,BC$7),0))</f>
        <v>-240366.49992088</v>
      </c>
      <c r="BD124" s="110" t="n">
        <f aca="false">-(BD107*INDEX(Premissas!$C$73:$G$73,BD$7)+(BD105-BD107)*INDEX(Premissas!$C$74:$G$74,BD$7)+IF(BD$4&gt;=Premissas!$B$71,INDEX(Premissas!$C$72:$G$72,BD$7),0))</f>
        <v>-248877.352393009</v>
      </c>
      <c r="BE124" s="110" t="n">
        <f aca="false">-(BE107*INDEX(Premissas!$C$73:$G$73,BE$7)+(BE105-BE107)*INDEX(Premissas!$C$74:$G$74,BE$7)+IF(BE$4&gt;=Premissas!$B$71,INDEX(Premissas!$C$72:$G$72,BE$7),0))</f>
        <v>-257022.997904345</v>
      </c>
      <c r="BF124" s="110" t="n">
        <f aca="false">-(BF107*INDEX(Premissas!$C$73:$G$73,BF$7)+(BF105-BF107)*INDEX(Premissas!$C$74:$G$74,BF$7)+IF(BF$4&gt;=Premissas!$B$71,INDEX(Premissas!$C$72:$G$72,BF$7),0))</f>
        <v>-264818.0580316</v>
      </c>
      <c r="BG124" s="110" t="n">
        <f aca="false">-(BG107*INDEX(Premissas!$C$73:$G$73,BG$7)+(BG105-BG107)*INDEX(Premissas!$C$74:$G$74,BG$7)+IF(BG$4&gt;=Premissas!$B$71,INDEX(Premissas!$C$72:$G$72,BG$7),0))</f>
        <v>-272278.828430336</v>
      </c>
      <c r="BH124" s="110" t="n">
        <f aca="false">-(BH107*INDEX(Premissas!$C$73:$G$73,BH$7)+(BH105-BH107)*INDEX(Premissas!$C$74:$G$74,BH$7)+IF(BH$4&gt;=Premissas!$B$71,INDEX(Premissas!$C$72:$G$72,BH$7),0))</f>
        <v>-279417.972958001</v>
      </c>
      <c r="BI124" s="110" t="n">
        <f aca="false">-(BI107*INDEX(Premissas!$C$73:$G$73,BI$7)+(BI105-BI107)*INDEX(Premissas!$C$74:$G$74,BI$7)+IF(BI$4&gt;=Premissas!$B$71,INDEX(Premissas!$C$72:$G$72,BI$7),0))</f>
        <v>-286250.722619732</v>
      </c>
      <c r="BJ124" s="111" t="n">
        <f aca="false">SUM(B124:BI124)</f>
        <v>-6028337.54596756</v>
      </c>
    </row>
    <row r="125" customFormat="false" ht="15" hidden="false" customHeight="false" outlineLevel="0" collapsed="false">
      <c r="A125" s="27" t="s">
        <v>430</v>
      </c>
      <c r="B125" s="110" t="n">
        <f aca="false">-B107*INDEX(Premissas!$C$75:$G$75,B$7)</f>
        <v>-0</v>
      </c>
      <c r="C125" s="110" t="n">
        <f aca="false">-C107*INDEX(Premissas!$C$75:$G$75,C$7)</f>
        <v>-0</v>
      </c>
      <c r="D125" s="110" t="n">
        <f aca="false">-D107*INDEX(Premissas!$C$75:$G$75,D$7)</f>
        <v>-0</v>
      </c>
      <c r="E125" s="110" t="n">
        <f aca="false">-E107*INDEX(Premissas!$C$75:$G$75,E$7)</f>
        <v>-0</v>
      </c>
      <c r="F125" s="110" t="n">
        <f aca="false">-F107*INDEX(Premissas!$C$75:$G$75,F$7)</f>
        <v>-0</v>
      </c>
      <c r="G125" s="110" t="n">
        <f aca="false">-G107*INDEX(Premissas!$C$75:$G$75,G$7)</f>
        <v>-0</v>
      </c>
      <c r="H125" s="110" t="n">
        <f aca="false">-H107*INDEX(Premissas!$C$75:$G$75,H$7)</f>
        <v>-0</v>
      </c>
      <c r="I125" s="110" t="n">
        <f aca="false">-I107*INDEX(Premissas!$C$75:$G$75,I$7)</f>
        <v>-0</v>
      </c>
      <c r="J125" s="110" t="n">
        <f aca="false">-J107*INDEX(Premissas!$C$75:$G$75,J$7)</f>
        <v>-0</v>
      </c>
      <c r="K125" s="110" t="n">
        <f aca="false">-K107*INDEX(Premissas!$C$75:$G$75,K$7)</f>
        <v>-103.6</v>
      </c>
      <c r="L125" s="110" t="n">
        <f aca="false">-L107*INDEX(Premissas!$C$75:$G$75,L$7)</f>
        <v>-401.45</v>
      </c>
      <c r="M125" s="110" t="n">
        <f aca="false">-M107*INDEX(Premissas!$C$75:$G$75,M$7)</f>
        <v>-876.4</v>
      </c>
      <c r="N125" s="110" t="n">
        <f aca="false">-N107*INDEX(Premissas!$C$75:$G$75,N$7)</f>
        <v>-1942.85</v>
      </c>
      <c r="O125" s="110" t="n">
        <f aca="false">-O107*INDEX(Premissas!$C$75:$G$75,O$7)</f>
        <v>-3205.3</v>
      </c>
      <c r="P125" s="110" t="n">
        <f aca="false">-P107*INDEX(Premissas!$C$75:$G$75,P$7)</f>
        <v>-4726.75</v>
      </c>
      <c r="Q125" s="110" t="n">
        <f aca="false">-Q107*INDEX(Premissas!$C$75:$G$75,Q$7)</f>
        <v>-5558.35</v>
      </c>
      <c r="R125" s="110" t="n">
        <f aca="false">-R107*INDEX(Premissas!$C$75:$G$75,R$7)</f>
        <v>-6344.1</v>
      </c>
      <c r="S125" s="110" t="n">
        <f aca="false">-S107*INDEX(Premissas!$C$75:$G$75,S$7)</f>
        <v>-7086.8</v>
      </c>
      <c r="T125" s="110" t="n">
        <f aca="false">-T107*INDEX(Premissas!$C$75:$G$75,T$7)</f>
        <v>-7788.2</v>
      </c>
      <c r="U125" s="110" t="n">
        <f aca="false">-U107*INDEX(Premissas!$C$75:$G$75,U$7)</f>
        <v>-8450.75</v>
      </c>
      <c r="V125" s="110" t="n">
        <f aca="false">-V107*INDEX(Premissas!$C$75:$G$75,V$7)</f>
        <v>-9076.9</v>
      </c>
      <c r="W125" s="110" t="n">
        <f aca="false">-W107*INDEX(Premissas!$C$75:$G$75,W$7)</f>
        <v>-9668.75</v>
      </c>
      <c r="X125" s="110" t="n">
        <f aca="false">-X107*INDEX(Premissas!$C$75:$G$75,X$7)</f>
        <v>-10227.7</v>
      </c>
      <c r="Y125" s="110" t="n">
        <f aca="false">-Y107*INDEX(Premissas!$C$75:$G$75,Y$7)</f>
        <v>-10755.85</v>
      </c>
      <c r="Z125" s="110" t="n">
        <f aca="false">-Z107*INDEX(Premissas!$C$75:$G$75,Z$7)</f>
        <v>-11274.6</v>
      </c>
      <c r="AA125" s="110" t="n">
        <f aca="false">-AA107*INDEX(Premissas!$C$75:$G$75,AA$7)</f>
        <v>-12350.4</v>
      </c>
      <c r="AB125" s="110" t="n">
        <f aca="false">-AB107*INDEX(Premissas!$C$75:$G$75,AB$7)</f>
        <v>-13371.3</v>
      </c>
      <c r="AC125" s="110" t="n">
        <f aca="false">-AC107*INDEX(Premissas!$C$75:$G$75,AC$7)</f>
        <v>-14340.6</v>
      </c>
      <c r="AD125" s="110" t="n">
        <f aca="false">-AD107*INDEX(Premissas!$C$75:$G$75,AD$7)</f>
        <v>-15260.7</v>
      </c>
      <c r="AE125" s="110" t="n">
        <f aca="false">-AE107*INDEX(Premissas!$C$75:$G$75,AE$7)</f>
        <v>-16134.3</v>
      </c>
      <c r="AF125" s="110" t="n">
        <f aca="false">-AF107*INDEX(Premissas!$C$75:$G$75,AF$7)</f>
        <v>-16963.2</v>
      </c>
      <c r="AG125" s="110" t="n">
        <f aca="false">-AG107*INDEX(Premissas!$C$75:$G$75,AG$7)</f>
        <v>-17750.1</v>
      </c>
      <c r="AH125" s="110" t="n">
        <f aca="false">-AH107*INDEX(Premissas!$C$75:$G$75,AH$7)</f>
        <v>-18497.1</v>
      </c>
      <c r="AI125" s="110" t="n">
        <f aca="false">-AI107*INDEX(Premissas!$C$75:$G$75,AI$7)</f>
        <v>-19206</v>
      </c>
      <c r="AJ125" s="110" t="n">
        <f aca="false">-AJ107*INDEX(Premissas!$C$75:$G$75,AJ$7)</f>
        <v>-19878.9</v>
      </c>
      <c r="AK125" s="110" t="n">
        <f aca="false">-AK107*INDEX(Premissas!$C$75:$G$75,AK$7)</f>
        <v>-20517.9</v>
      </c>
      <c r="AL125" s="110" t="n">
        <f aca="false">-AL107*INDEX(Premissas!$C$75:$G$75,AL$7)</f>
        <v>-22788.36</v>
      </c>
      <c r="AM125" s="110" t="n">
        <f aca="false">-AM107*INDEX(Premissas!$C$75:$G$75,AM$7)</f>
        <v>-24431.4</v>
      </c>
      <c r="AN125" s="110" t="n">
        <f aca="false">-AN107*INDEX(Premissas!$C$75:$G$75,AN$7)</f>
        <v>-25997.72</v>
      </c>
      <c r="AO125" s="110" t="n">
        <f aca="false">-AO107*INDEX(Premissas!$C$75:$G$75,AO$7)</f>
        <v>-27490.68</v>
      </c>
      <c r="AP125" s="110" t="n">
        <f aca="false">-AP107*INDEX(Premissas!$C$75:$G$75,AP$7)</f>
        <v>-28913.92</v>
      </c>
      <c r="AQ125" s="110" t="n">
        <f aca="false">-AQ107*INDEX(Premissas!$C$75:$G$75,AQ$7)</f>
        <v>-30270.8</v>
      </c>
      <c r="AR125" s="110" t="n">
        <f aca="false">-AR107*INDEX(Premissas!$C$75:$G$75,AR$7)</f>
        <v>-31564.4</v>
      </c>
      <c r="AS125" s="110" t="n">
        <f aca="false">-AS107*INDEX(Premissas!$C$75:$G$75,AS$7)</f>
        <v>-32797.24</v>
      </c>
      <c r="AT125" s="110" t="n">
        <f aca="false">-AT107*INDEX(Premissas!$C$75:$G$75,AT$7)</f>
        <v>-33972.68</v>
      </c>
      <c r="AU125" s="110" t="n">
        <f aca="false">-AU107*INDEX(Premissas!$C$75:$G$75,AU$7)</f>
        <v>-35092.96</v>
      </c>
      <c r="AV125" s="110" t="n">
        <f aca="false">-AV107*INDEX(Premissas!$C$75:$G$75,AV$7)</f>
        <v>-36161.16</v>
      </c>
      <c r="AW125" s="110" t="n">
        <f aca="false">-AW107*INDEX(Premissas!$C$75:$G$75,AW$7)</f>
        <v>-37179.52</v>
      </c>
      <c r="AX125" s="110" t="n">
        <f aca="false">-AX107*INDEX(Premissas!$C$75:$G$75,AX$7)</f>
        <v>-39200.75</v>
      </c>
      <c r="AY125" s="110" t="n">
        <f aca="false">-AY107*INDEX(Premissas!$C$75:$G$75,AY$7)</f>
        <v>-41770.75</v>
      </c>
      <c r="AZ125" s="110" t="n">
        <f aca="false">-AZ107*INDEX(Premissas!$C$75:$G$75,AZ$7)</f>
        <v>-44230.25</v>
      </c>
      <c r="BA125" s="110" t="n">
        <f aca="false">-BA107*INDEX(Premissas!$C$75:$G$75,BA$7)</f>
        <v>-46584</v>
      </c>
      <c r="BB125" s="110" t="n">
        <f aca="false">-BB107*INDEX(Premissas!$C$75:$G$75,BB$7)</f>
        <v>-48836.75</v>
      </c>
      <c r="BC125" s="110" t="n">
        <f aca="false">-BC107*INDEX(Premissas!$C$75:$G$75,BC$7)</f>
        <v>-50992.5</v>
      </c>
      <c r="BD125" s="110" t="n">
        <f aca="false">-BD107*INDEX(Premissas!$C$75:$G$75,BD$7)</f>
        <v>-53055.5</v>
      </c>
      <c r="BE125" s="110" t="n">
        <f aca="false">-BE107*INDEX(Premissas!$C$75:$G$75,BE$7)</f>
        <v>-55030</v>
      </c>
      <c r="BF125" s="110" t="n">
        <f aca="false">-BF107*INDEX(Premissas!$C$75:$G$75,BF$7)</f>
        <v>-56919.5</v>
      </c>
      <c r="BG125" s="110" t="n">
        <f aca="false">-BG107*INDEX(Premissas!$C$75:$G$75,BG$7)</f>
        <v>-58728</v>
      </c>
      <c r="BH125" s="110" t="n">
        <f aca="false">-BH107*INDEX(Premissas!$C$75:$G$75,BH$7)</f>
        <v>-60458.5</v>
      </c>
      <c r="BI125" s="110" t="n">
        <f aca="false">-BI107*INDEX(Premissas!$C$75:$G$75,BI$7)</f>
        <v>-62114.75</v>
      </c>
      <c r="BJ125" s="111" t="n">
        <f aca="false">SUM(B125:BI125)</f>
        <v>-1266340.94</v>
      </c>
    </row>
    <row r="126" customFormat="false" ht="15" hidden="false" customHeight="false" outlineLevel="0" collapsed="false">
      <c r="A126" s="27" t="s">
        <v>581</v>
      </c>
      <c r="B126" s="110" t="n">
        <f aca="false">-Pessoas!B45</f>
        <v>-0</v>
      </c>
      <c r="C126" s="110" t="n">
        <f aca="false">-Pessoas!C45</f>
        <v>-0</v>
      </c>
      <c r="D126" s="110" t="n">
        <f aca="false">-Pessoas!D45</f>
        <v>-0</v>
      </c>
      <c r="E126" s="110" t="n">
        <f aca="false">-Pessoas!E45</f>
        <v>-0</v>
      </c>
      <c r="F126" s="110" t="n">
        <f aca="false">-Pessoas!F45</f>
        <v>-0</v>
      </c>
      <c r="G126" s="110" t="n">
        <f aca="false">-Pessoas!G45</f>
        <v>-0</v>
      </c>
      <c r="H126" s="110" t="n">
        <f aca="false">-Pessoas!H45</f>
        <v>-0</v>
      </c>
      <c r="I126" s="110" t="n">
        <f aca="false">-Pessoas!I45</f>
        <v>-0</v>
      </c>
      <c r="J126" s="110" t="n">
        <f aca="false">-Pessoas!J45</f>
        <v>-0</v>
      </c>
      <c r="K126" s="110" t="n">
        <f aca="false">-Pessoas!K45</f>
        <v>-0</v>
      </c>
      <c r="L126" s="110" t="n">
        <f aca="false">-Pessoas!L45</f>
        <v>-0</v>
      </c>
      <c r="M126" s="110" t="n">
        <f aca="false">-Pessoas!M45</f>
        <v>-0</v>
      </c>
      <c r="N126" s="110" t="n">
        <f aca="false">-Pessoas!N45</f>
        <v>-42500</v>
      </c>
      <c r="O126" s="110" t="n">
        <f aca="false">-Pessoas!O45</f>
        <v>-42500</v>
      </c>
      <c r="P126" s="110" t="n">
        <f aca="false">-Pessoas!P45</f>
        <v>-42500</v>
      </c>
      <c r="Q126" s="110" t="n">
        <f aca="false">-Pessoas!Q45</f>
        <v>-42500</v>
      </c>
      <c r="R126" s="110" t="n">
        <f aca="false">-Pessoas!R45</f>
        <v>-42500</v>
      </c>
      <c r="S126" s="110" t="n">
        <f aca="false">-Pessoas!S45</f>
        <v>-42500</v>
      </c>
      <c r="T126" s="110" t="n">
        <f aca="false">-Pessoas!T45</f>
        <v>-42500</v>
      </c>
      <c r="U126" s="110" t="n">
        <f aca="false">-Pessoas!U45</f>
        <v>-42500</v>
      </c>
      <c r="V126" s="110" t="n">
        <f aca="false">-Pessoas!V45</f>
        <v>-42500</v>
      </c>
      <c r="W126" s="110" t="n">
        <f aca="false">-Pessoas!W45</f>
        <v>-42500</v>
      </c>
      <c r="X126" s="110" t="n">
        <f aca="false">-Pessoas!X45</f>
        <v>-42500</v>
      </c>
      <c r="Y126" s="110" t="n">
        <f aca="false">-Pessoas!Y45</f>
        <v>-42500</v>
      </c>
      <c r="Z126" s="110" t="n">
        <f aca="false">-Pessoas!Z45</f>
        <v>-117500</v>
      </c>
      <c r="AA126" s="110" t="n">
        <f aca="false">-Pessoas!AA45</f>
        <v>-117500</v>
      </c>
      <c r="AB126" s="110" t="n">
        <f aca="false">-Pessoas!AB45</f>
        <v>-117500</v>
      </c>
      <c r="AC126" s="110" t="n">
        <f aca="false">-Pessoas!AC45</f>
        <v>-117500</v>
      </c>
      <c r="AD126" s="110" t="n">
        <f aca="false">-Pessoas!AD45</f>
        <v>-117500</v>
      </c>
      <c r="AE126" s="110" t="n">
        <f aca="false">-Pessoas!AE45</f>
        <v>-117500</v>
      </c>
      <c r="AF126" s="110" t="n">
        <f aca="false">-Pessoas!AF45</f>
        <v>-117500</v>
      </c>
      <c r="AG126" s="110" t="n">
        <f aca="false">-Pessoas!AG45</f>
        <v>-117500</v>
      </c>
      <c r="AH126" s="110" t="n">
        <f aca="false">-Pessoas!AH45</f>
        <v>-117500</v>
      </c>
      <c r="AI126" s="110" t="n">
        <f aca="false">-Pessoas!AI45</f>
        <v>-117500</v>
      </c>
      <c r="AJ126" s="110" t="n">
        <f aca="false">-Pessoas!AJ45</f>
        <v>-117500</v>
      </c>
      <c r="AK126" s="110" t="n">
        <f aca="false">-Pessoas!AK45</f>
        <v>-117500</v>
      </c>
      <c r="AL126" s="110" t="n">
        <f aca="false">-Pessoas!AL45</f>
        <v>-253300</v>
      </c>
      <c r="AM126" s="110" t="n">
        <f aca="false">-Pessoas!AM45</f>
        <v>-253300</v>
      </c>
      <c r="AN126" s="110" t="n">
        <f aca="false">-Pessoas!AN45</f>
        <v>-253300</v>
      </c>
      <c r="AO126" s="110" t="n">
        <f aca="false">-Pessoas!AO45</f>
        <v>-253300</v>
      </c>
      <c r="AP126" s="110" t="n">
        <f aca="false">-Pessoas!AP45</f>
        <v>-253300</v>
      </c>
      <c r="AQ126" s="110" t="n">
        <f aca="false">-Pessoas!AQ45</f>
        <v>-253300</v>
      </c>
      <c r="AR126" s="110" t="n">
        <f aca="false">-Pessoas!AR45</f>
        <v>-253300</v>
      </c>
      <c r="AS126" s="110" t="n">
        <f aca="false">-Pessoas!AS45</f>
        <v>-253300</v>
      </c>
      <c r="AT126" s="110" t="n">
        <f aca="false">-Pessoas!AT45</f>
        <v>-253300</v>
      </c>
      <c r="AU126" s="110" t="n">
        <f aca="false">-Pessoas!AU45</f>
        <v>-253300</v>
      </c>
      <c r="AV126" s="110" t="n">
        <f aca="false">-Pessoas!AV45</f>
        <v>-253300</v>
      </c>
      <c r="AW126" s="110" t="n">
        <f aca="false">-Pessoas!AW45</f>
        <v>-253300</v>
      </c>
      <c r="AX126" s="110" t="n">
        <f aca="false">-Pessoas!AX45</f>
        <v>-374300</v>
      </c>
      <c r="AY126" s="110" t="n">
        <f aca="false">-Pessoas!AY45</f>
        <v>-374300</v>
      </c>
      <c r="AZ126" s="110" t="n">
        <f aca="false">-Pessoas!AZ45</f>
        <v>-374300</v>
      </c>
      <c r="BA126" s="110" t="n">
        <f aca="false">-Pessoas!BA45</f>
        <v>-374300</v>
      </c>
      <c r="BB126" s="110" t="n">
        <f aca="false">-Pessoas!BB45</f>
        <v>-374300</v>
      </c>
      <c r="BC126" s="110" t="n">
        <f aca="false">-Pessoas!BC45</f>
        <v>-374300</v>
      </c>
      <c r="BD126" s="110" t="n">
        <f aca="false">-Pessoas!BD45</f>
        <v>-374300</v>
      </c>
      <c r="BE126" s="110" t="n">
        <f aca="false">-Pessoas!BE45</f>
        <v>-374300</v>
      </c>
      <c r="BF126" s="110" t="n">
        <f aca="false">-Pessoas!BF45</f>
        <v>-374300</v>
      </c>
      <c r="BG126" s="110" t="n">
        <f aca="false">-Pessoas!BG45</f>
        <v>-374300</v>
      </c>
      <c r="BH126" s="110" t="n">
        <f aca="false">-Pessoas!BH45</f>
        <v>-374300</v>
      </c>
      <c r="BI126" s="110" t="n">
        <f aca="false">-Pessoas!BI45</f>
        <v>-374300</v>
      </c>
      <c r="BJ126" s="111" t="n">
        <f aca="false">SUM(B126:BI126)</f>
        <v>-9451200</v>
      </c>
    </row>
    <row r="127" customFormat="false" ht="15" hidden="false" customHeight="false" outlineLevel="0" collapsed="false">
      <c r="A127" s="27" t="s">
        <v>435</v>
      </c>
      <c r="B127" s="110" t="n">
        <f aca="false">-(B102*(1-INDEX(Premissas!$C$59:$G$59,B$7))*INDEX(Premissas!$C$58:$G$58,B$7)+IF(B$4&gt;=Premissas!$B$79,INDEX(Premissas!$C$78:$G$78,B$7),0)+IF(B$4=DATE(YEAR(Premissas!$B$81),MONTH(Premissas!$B$81),1),Premissas!$B$80,0))</f>
        <v>-0</v>
      </c>
      <c r="C127" s="110" t="n">
        <f aca="false">-(C102*(1-INDEX(Premissas!$C$59:$G$59,C$7))*INDEX(Premissas!$C$58:$G$58,C$7)+IF(C$4&gt;=Premissas!$B$79,INDEX(Premissas!$C$78:$G$78,C$7),0)+IF(C$4=DATE(YEAR(Premissas!$B$81),MONTH(Premissas!$B$81),1),Premissas!$B$80,0))</f>
        <v>-0</v>
      </c>
      <c r="D127" s="110" t="n">
        <f aca="false">-(D102*(1-INDEX(Premissas!$C$59:$G$59,D$7))*INDEX(Premissas!$C$58:$G$58,D$7)+IF(D$4&gt;=Premissas!$B$79,INDEX(Premissas!$C$78:$G$78,D$7),0)+IF(D$4=DATE(YEAR(Premissas!$B$81),MONTH(Premissas!$B$81),1),Premissas!$B$80,0))</f>
        <v>-0</v>
      </c>
      <c r="E127" s="110" t="n">
        <f aca="false">-(E102*(1-INDEX(Premissas!$C$59:$G$59,E$7))*INDEX(Premissas!$C$58:$G$58,E$7)+IF(E$4&gt;=Premissas!$B$79,INDEX(Premissas!$C$78:$G$78,E$7),0)+IF(E$4=DATE(YEAR(Premissas!$B$81),MONTH(Premissas!$B$81),1),Premissas!$B$80,0))</f>
        <v>-0</v>
      </c>
      <c r="F127" s="110" t="n">
        <f aca="false">-(F102*(1-INDEX(Premissas!$C$59:$G$59,F$7))*INDEX(Premissas!$C$58:$G$58,F$7)+IF(F$4&gt;=Premissas!$B$79,INDEX(Premissas!$C$78:$G$78,F$7),0)+IF(F$4=DATE(YEAR(Premissas!$B$81),MONTH(Premissas!$B$81),1),Premissas!$B$80,0))</f>
        <v>-0</v>
      </c>
      <c r="G127" s="110" t="n">
        <f aca="false">-(G102*(1-INDEX(Premissas!$C$59:$G$59,G$7))*INDEX(Premissas!$C$58:$G$58,G$7)+IF(G$4&gt;=Premissas!$B$79,INDEX(Premissas!$C$78:$G$78,G$7),0)+IF(G$4=DATE(YEAR(Premissas!$B$81),MONTH(Premissas!$B$81),1),Premissas!$B$80,0))</f>
        <v>-0</v>
      </c>
      <c r="H127" s="110" t="n">
        <f aca="false">-(H102*(1-INDEX(Premissas!$C$59:$G$59,H$7))*INDEX(Premissas!$C$58:$G$58,H$7)+IF(H$4&gt;=Premissas!$B$79,INDEX(Premissas!$C$78:$G$78,H$7),0)+IF(H$4=DATE(YEAR(Premissas!$B$81),MONTH(Premissas!$B$81),1),Premissas!$B$80,0))</f>
        <v>-0</v>
      </c>
      <c r="I127" s="110" t="n">
        <f aca="false">-(I102*(1-INDEX(Premissas!$C$59:$G$59,I$7))*INDEX(Premissas!$C$58:$G$58,I$7)+IF(I$4&gt;=Premissas!$B$79,INDEX(Premissas!$C$78:$G$78,I$7),0)+IF(I$4=DATE(YEAR(Premissas!$B$81),MONTH(Premissas!$B$81),1),Premissas!$B$80,0))</f>
        <v>-0</v>
      </c>
      <c r="J127" s="110" t="n">
        <f aca="false">-(J102*(1-INDEX(Premissas!$C$59:$G$59,J$7))*INDEX(Premissas!$C$58:$G$58,J$7)+IF(J$4&gt;=Premissas!$B$79,INDEX(Premissas!$C$78:$G$78,J$7),0)+IF(J$4=DATE(YEAR(Premissas!$B$81),MONTH(Premissas!$B$81),1),Premissas!$B$80,0))</f>
        <v>-0</v>
      </c>
      <c r="K127" s="110" t="n">
        <f aca="false">-(K102*(1-INDEX(Premissas!$C$59:$G$59,K$7))*INDEX(Premissas!$C$58:$G$58,K$7)+IF(K$4&gt;=Premissas!$B$79,INDEX(Premissas!$C$78:$G$78,K$7),0)+IF(K$4=DATE(YEAR(Premissas!$B$81),MONTH(Premissas!$B$81),1),Premissas!$B$80,0))</f>
        <v>-54607</v>
      </c>
      <c r="L127" s="110" t="n">
        <f aca="false">-(L102*(1-INDEX(Premissas!$C$59:$G$59,L$7))*INDEX(Premissas!$C$58:$G$58,L$7)+IF(L$4&gt;=Premissas!$B$79,INDEX(Premissas!$C$78:$G$78,L$7),0)+IF(L$4=DATE(YEAR(Premissas!$B$81),MONTH(Premissas!$B$81),1),Premissas!$B$80,0))</f>
        <v>-29607</v>
      </c>
      <c r="M127" s="110" t="n">
        <f aca="false">-(M102*(1-INDEX(Premissas!$C$59:$G$59,M$7))*INDEX(Premissas!$C$58:$G$58,M$7)+IF(M$4&gt;=Premissas!$B$79,INDEX(Premissas!$C$78:$G$78,M$7),0)+IF(M$4=DATE(YEAR(Premissas!$B$81),MONTH(Premissas!$B$81),1),Premissas!$B$80,0))</f>
        <v>-29607</v>
      </c>
      <c r="N127" s="110" t="n">
        <f aca="false">-(N102*(1-INDEX(Premissas!$C$59:$G$59,N$7))*INDEX(Premissas!$C$58:$G$58,N$7)+IF(N$4&gt;=Premissas!$B$79,INDEX(Premissas!$C$78:$G$78,N$7),0)+IF(N$4=DATE(YEAR(Premissas!$B$81),MONTH(Premissas!$B$81),1),Premissas!$B$80,0))</f>
        <v>-62558.112</v>
      </c>
      <c r="O127" s="110" t="n">
        <f aca="false">-(O102*(1-INDEX(Premissas!$C$59:$G$59,O$7))*INDEX(Premissas!$C$58:$G$58,O$7)+IF(O$4&gt;=Premissas!$B$79,INDEX(Premissas!$C$78:$G$78,O$7),0)+IF(O$4=DATE(YEAR(Premissas!$B$81),MONTH(Premissas!$B$81),1),Premissas!$B$80,0))</f>
        <v>-62558.112</v>
      </c>
      <c r="P127" s="110" t="n">
        <f aca="false">-(P102*(1-INDEX(Premissas!$C$59:$G$59,P$7))*INDEX(Premissas!$C$58:$G$58,P$7)+IF(P$4&gt;=Premissas!$B$79,INDEX(Premissas!$C$78:$G$78,P$7),0)+IF(P$4=DATE(YEAR(Premissas!$B$81),MONTH(Premissas!$B$81),1),Premissas!$B$80,0))</f>
        <v>-62558.112</v>
      </c>
      <c r="Q127" s="110" t="n">
        <f aca="false">-(Q102*(1-INDEX(Premissas!$C$59:$G$59,Q$7))*INDEX(Premissas!$C$58:$G$58,Q$7)+IF(Q$4&gt;=Premissas!$B$79,INDEX(Premissas!$C$78:$G$78,Q$7),0)+IF(Q$4=DATE(YEAR(Premissas!$B$81),MONTH(Premissas!$B$81),1),Premissas!$B$80,0))</f>
        <v>-62558.112</v>
      </c>
      <c r="R127" s="110" t="n">
        <f aca="false">-(R102*(1-INDEX(Premissas!$C$59:$G$59,R$7))*INDEX(Premissas!$C$58:$G$58,R$7)+IF(R$4&gt;=Premissas!$B$79,INDEX(Premissas!$C$78:$G$78,R$7),0)+IF(R$4=DATE(YEAR(Premissas!$B$81),MONTH(Premissas!$B$81),1),Premissas!$B$80,0))</f>
        <v>-62558.112</v>
      </c>
      <c r="S127" s="110" t="n">
        <f aca="false">-(S102*(1-INDEX(Premissas!$C$59:$G$59,S$7))*INDEX(Premissas!$C$58:$G$58,S$7)+IF(S$4&gt;=Premissas!$B$79,INDEX(Premissas!$C$78:$G$78,S$7),0)+IF(S$4=DATE(YEAR(Premissas!$B$81),MONTH(Premissas!$B$81),1),Premissas!$B$80,0))</f>
        <v>-62558.112</v>
      </c>
      <c r="T127" s="110" t="n">
        <f aca="false">-(T102*(1-INDEX(Premissas!$C$59:$G$59,T$7))*INDEX(Premissas!$C$58:$G$58,T$7)+IF(T$4&gt;=Premissas!$B$79,INDEX(Premissas!$C$78:$G$78,T$7),0)+IF(T$4=DATE(YEAR(Premissas!$B$81),MONTH(Premissas!$B$81),1),Premissas!$B$80,0))</f>
        <v>-62558.112</v>
      </c>
      <c r="U127" s="110" t="n">
        <f aca="false">-(U102*(1-INDEX(Premissas!$C$59:$G$59,U$7))*INDEX(Premissas!$C$58:$G$58,U$7)+IF(U$4&gt;=Premissas!$B$79,INDEX(Premissas!$C$78:$G$78,U$7),0)+IF(U$4=DATE(YEAR(Premissas!$B$81),MONTH(Premissas!$B$81),1),Premissas!$B$80,0))</f>
        <v>-62558.112</v>
      </c>
      <c r="V127" s="110" t="n">
        <f aca="false">-(V102*(1-INDEX(Premissas!$C$59:$G$59,V$7))*INDEX(Premissas!$C$58:$G$58,V$7)+IF(V$4&gt;=Premissas!$B$79,INDEX(Premissas!$C$78:$G$78,V$7),0)+IF(V$4=DATE(YEAR(Premissas!$B$81),MONTH(Premissas!$B$81),1),Premissas!$B$80,0))</f>
        <v>-62558.112</v>
      </c>
      <c r="W127" s="110" t="n">
        <f aca="false">-(W102*(1-INDEX(Premissas!$C$59:$G$59,W$7))*INDEX(Premissas!$C$58:$G$58,W$7)+IF(W$4&gt;=Premissas!$B$79,INDEX(Premissas!$C$78:$G$78,W$7),0)+IF(W$4=DATE(YEAR(Premissas!$B$81),MONTH(Premissas!$B$81),1),Premissas!$B$80,0))</f>
        <v>-62558.112</v>
      </c>
      <c r="X127" s="110" t="n">
        <f aca="false">-(X102*(1-INDEX(Premissas!$C$59:$G$59,X$7))*INDEX(Premissas!$C$58:$G$58,X$7)+IF(X$4&gt;=Premissas!$B$79,INDEX(Premissas!$C$78:$G$78,X$7),0)+IF(X$4=DATE(YEAR(Premissas!$B$81),MONTH(Premissas!$B$81),1),Premissas!$B$80,0))</f>
        <v>-62558.112</v>
      </c>
      <c r="Y127" s="110" t="n">
        <f aca="false">-(Y102*(1-INDEX(Premissas!$C$59:$G$59,Y$7))*INDEX(Premissas!$C$58:$G$58,Y$7)+IF(Y$4&gt;=Premissas!$B$79,INDEX(Premissas!$C$78:$G$78,Y$7),0)+IF(Y$4=DATE(YEAR(Premissas!$B$81),MONTH(Premissas!$B$81),1),Premissas!$B$80,0))</f>
        <v>-62558.112</v>
      </c>
      <c r="Z127" s="110" t="n">
        <f aca="false">-(Z102*(1-INDEX(Premissas!$C$59:$G$59,Z$7))*INDEX(Premissas!$C$58:$G$58,Z$7)+IF(Z$4&gt;=Premissas!$B$79,INDEX(Premissas!$C$78:$G$78,Z$7),0)+IF(Z$4=DATE(YEAR(Premissas!$B$81),MONTH(Premissas!$B$81),1),Premissas!$B$80,0))</f>
        <v>-143646.3264</v>
      </c>
      <c r="AA127" s="110" t="n">
        <f aca="false">-(AA102*(1-INDEX(Premissas!$C$59:$G$59,AA$7))*INDEX(Premissas!$C$58:$G$58,AA$7)+IF(AA$4&gt;=Premissas!$B$79,INDEX(Premissas!$C$78:$G$78,AA$7),0)+IF(AA$4=DATE(YEAR(Premissas!$B$81),MONTH(Premissas!$B$81),1),Premissas!$B$80,0))</f>
        <v>-143646.3264</v>
      </c>
      <c r="AB127" s="110" t="n">
        <f aca="false">-(AB102*(1-INDEX(Premissas!$C$59:$G$59,AB$7))*INDEX(Premissas!$C$58:$G$58,AB$7)+IF(AB$4&gt;=Premissas!$B$79,INDEX(Premissas!$C$78:$G$78,AB$7),0)+IF(AB$4=DATE(YEAR(Premissas!$B$81),MONTH(Premissas!$B$81),1),Premissas!$B$80,0))</f>
        <v>-143646.3264</v>
      </c>
      <c r="AC127" s="110" t="n">
        <f aca="false">-(AC102*(1-INDEX(Premissas!$C$59:$G$59,AC$7))*INDEX(Premissas!$C$58:$G$58,AC$7)+IF(AC$4&gt;=Premissas!$B$79,INDEX(Premissas!$C$78:$G$78,AC$7),0)+IF(AC$4=DATE(YEAR(Premissas!$B$81),MONTH(Premissas!$B$81),1),Premissas!$B$80,0))</f>
        <v>-143646.3264</v>
      </c>
      <c r="AD127" s="110" t="n">
        <f aca="false">-(AD102*(1-INDEX(Premissas!$C$59:$G$59,AD$7))*INDEX(Premissas!$C$58:$G$58,AD$7)+IF(AD$4&gt;=Premissas!$B$79,INDEX(Premissas!$C$78:$G$78,AD$7),0)+IF(AD$4=DATE(YEAR(Premissas!$B$81),MONTH(Premissas!$B$81),1),Premissas!$B$80,0))</f>
        <v>-143646.3264</v>
      </c>
      <c r="AE127" s="110" t="n">
        <f aca="false">-(AE102*(1-INDEX(Premissas!$C$59:$G$59,AE$7))*INDEX(Premissas!$C$58:$G$58,AE$7)+IF(AE$4&gt;=Premissas!$B$79,INDEX(Premissas!$C$78:$G$78,AE$7),0)+IF(AE$4=DATE(YEAR(Premissas!$B$81),MONTH(Premissas!$B$81),1),Premissas!$B$80,0))</f>
        <v>-143646.3264</v>
      </c>
      <c r="AF127" s="110" t="n">
        <f aca="false">-(AF102*(1-INDEX(Premissas!$C$59:$G$59,AF$7))*INDEX(Premissas!$C$58:$G$58,AF$7)+IF(AF$4&gt;=Premissas!$B$79,INDEX(Premissas!$C$78:$G$78,AF$7),0)+IF(AF$4=DATE(YEAR(Premissas!$B$81),MONTH(Premissas!$B$81),1),Premissas!$B$80,0))</f>
        <v>-143646.3264</v>
      </c>
      <c r="AG127" s="110" t="n">
        <f aca="false">-(AG102*(1-INDEX(Premissas!$C$59:$G$59,AG$7))*INDEX(Premissas!$C$58:$G$58,AG$7)+IF(AG$4&gt;=Premissas!$B$79,INDEX(Premissas!$C$78:$G$78,AG$7),0)+IF(AG$4=DATE(YEAR(Premissas!$B$81),MONTH(Premissas!$B$81),1),Premissas!$B$80,0))</f>
        <v>-143646.3264</v>
      </c>
      <c r="AH127" s="110" t="n">
        <f aca="false">-(AH102*(1-INDEX(Premissas!$C$59:$G$59,AH$7))*INDEX(Premissas!$C$58:$G$58,AH$7)+IF(AH$4&gt;=Premissas!$B$79,INDEX(Premissas!$C$78:$G$78,AH$7),0)+IF(AH$4=DATE(YEAR(Premissas!$B$81),MONTH(Premissas!$B$81),1),Premissas!$B$80,0))</f>
        <v>-143646.3264</v>
      </c>
      <c r="AI127" s="110" t="n">
        <f aca="false">-(AI102*(1-INDEX(Premissas!$C$59:$G$59,AI$7))*INDEX(Premissas!$C$58:$G$58,AI$7)+IF(AI$4&gt;=Premissas!$B$79,INDEX(Premissas!$C$78:$G$78,AI$7),0)+IF(AI$4=DATE(YEAR(Premissas!$B$81),MONTH(Premissas!$B$81),1),Premissas!$B$80,0))</f>
        <v>-143646.3264</v>
      </c>
      <c r="AJ127" s="110" t="n">
        <f aca="false">-(AJ102*(1-INDEX(Premissas!$C$59:$G$59,AJ$7))*INDEX(Premissas!$C$58:$G$58,AJ$7)+IF(AJ$4&gt;=Premissas!$B$79,INDEX(Premissas!$C$78:$G$78,AJ$7),0)+IF(AJ$4=DATE(YEAR(Premissas!$B$81),MONTH(Premissas!$B$81),1),Premissas!$B$80,0))</f>
        <v>-143646.3264</v>
      </c>
      <c r="AK127" s="110" t="n">
        <f aca="false">-(AK102*(1-INDEX(Premissas!$C$59:$G$59,AK$7))*INDEX(Premissas!$C$58:$G$58,AK$7)+IF(AK$4&gt;=Premissas!$B$79,INDEX(Premissas!$C$78:$G$78,AK$7),0)+IF(AK$4=DATE(YEAR(Premissas!$B$81),MONTH(Premissas!$B$81),1),Premissas!$B$80,0))</f>
        <v>-143646.3264</v>
      </c>
      <c r="AL127" s="110" t="n">
        <f aca="false">-(AL102*(1-INDEX(Premissas!$C$59:$G$59,AL$7))*INDEX(Premissas!$C$58:$G$58,AL$7)+IF(AL$4&gt;=Premissas!$B$79,INDEX(Premissas!$C$78:$G$78,AL$7),0)+IF(AL$4=DATE(YEAR(Premissas!$B$81),MONTH(Premissas!$B$81),1),Premissas!$B$80,0))</f>
        <v>-286805.7371648</v>
      </c>
      <c r="AM127" s="110" t="n">
        <f aca="false">-(AM102*(1-INDEX(Premissas!$C$59:$G$59,AM$7))*INDEX(Premissas!$C$58:$G$58,AM$7)+IF(AM$4&gt;=Premissas!$B$79,INDEX(Premissas!$C$78:$G$78,AM$7),0)+IF(AM$4=DATE(YEAR(Premissas!$B$81),MONTH(Premissas!$B$81),1),Premissas!$B$80,0))</f>
        <v>-286805.7371648</v>
      </c>
      <c r="AN127" s="110" t="n">
        <f aca="false">-(AN102*(1-INDEX(Premissas!$C$59:$G$59,AN$7))*INDEX(Premissas!$C$58:$G$58,AN$7)+IF(AN$4&gt;=Premissas!$B$79,INDEX(Premissas!$C$78:$G$78,AN$7),0)+IF(AN$4=DATE(YEAR(Premissas!$B$81),MONTH(Premissas!$B$81),1),Premissas!$B$80,0))</f>
        <v>-286805.7371648</v>
      </c>
      <c r="AO127" s="110" t="n">
        <f aca="false">-(AO102*(1-INDEX(Premissas!$C$59:$G$59,AO$7))*INDEX(Premissas!$C$58:$G$58,AO$7)+IF(AO$4&gt;=Premissas!$B$79,INDEX(Premissas!$C$78:$G$78,AO$7),0)+IF(AO$4=DATE(YEAR(Premissas!$B$81),MONTH(Premissas!$B$81),1),Premissas!$B$80,0))</f>
        <v>-286805.7371648</v>
      </c>
      <c r="AP127" s="110" t="n">
        <f aca="false">-(AP102*(1-INDEX(Premissas!$C$59:$G$59,AP$7))*INDEX(Premissas!$C$58:$G$58,AP$7)+IF(AP$4&gt;=Premissas!$B$79,INDEX(Premissas!$C$78:$G$78,AP$7),0)+IF(AP$4=DATE(YEAR(Premissas!$B$81),MONTH(Premissas!$B$81),1),Premissas!$B$80,0))</f>
        <v>-286805.7371648</v>
      </c>
      <c r="AQ127" s="110" t="n">
        <f aca="false">-(AQ102*(1-INDEX(Premissas!$C$59:$G$59,AQ$7))*INDEX(Premissas!$C$58:$G$58,AQ$7)+IF(AQ$4&gt;=Premissas!$B$79,INDEX(Premissas!$C$78:$G$78,AQ$7),0)+IF(AQ$4=DATE(YEAR(Premissas!$B$81),MONTH(Premissas!$B$81),1),Premissas!$B$80,0))</f>
        <v>-286805.7371648</v>
      </c>
      <c r="AR127" s="110" t="n">
        <f aca="false">-(AR102*(1-INDEX(Premissas!$C$59:$G$59,AR$7))*INDEX(Premissas!$C$58:$G$58,AR$7)+IF(AR$4&gt;=Premissas!$B$79,INDEX(Premissas!$C$78:$G$78,AR$7),0)+IF(AR$4=DATE(YEAR(Premissas!$B$81),MONTH(Premissas!$B$81),1),Premissas!$B$80,0))</f>
        <v>-286805.7371648</v>
      </c>
      <c r="AS127" s="110" t="n">
        <f aca="false">-(AS102*(1-INDEX(Premissas!$C$59:$G$59,AS$7))*INDEX(Premissas!$C$58:$G$58,AS$7)+IF(AS$4&gt;=Premissas!$B$79,INDEX(Premissas!$C$78:$G$78,AS$7),0)+IF(AS$4=DATE(YEAR(Premissas!$B$81),MONTH(Premissas!$B$81),1),Premissas!$B$80,0))</f>
        <v>-286805.7371648</v>
      </c>
      <c r="AT127" s="110" t="n">
        <f aca="false">-(AT102*(1-INDEX(Premissas!$C$59:$G$59,AT$7))*INDEX(Premissas!$C$58:$G$58,AT$7)+IF(AT$4&gt;=Premissas!$B$79,INDEX(Premissas!$C$78:$G$78,AT$7),0)+IF(AT$4=DATE(YEAR(Premissas!$B$81),MONTH(Premissas!$B$81),1),Premissas!$B$80,0))</f>
        <v>-286805.7371648</v>
      </c>
      <c r="AU127" s="110" t="n">
        <f aca="false">-(AU102*(1-INDEX(Premissas!$C$59:$G$59,AU$7))*INDEX(Premissas!$C$58:$G$58,AU$7)+IF(AU$4&gt;=Premissas!$B$79,INDEX(Premissas!$C$78:$G$78,AU$7),0)+IF(AU$4=DATE(YEAR(Premissas!$B$81),MONTH(Premissas!$B$81),1),Premissas!$B$80,0))</f>
        <v>-286805.7371648</v>
      </c>
      <c r="AV127" s="110" t="n">
        <f aca="false">-(AV102*(1-INDEX(Premissas!$C$59:$G$59,AV$7))*INDEX(Premissas!$C$58:$G$58,AV$7)+IF(AV$4&gt;=Premissas!$B$79,INDEX(Premissas!$C$78:$G$78,AV$7),0)+IF(AV$4=DATE(YEAR(Premissas!$B$81),MONTH(Premissas!$B$81),1),Premissas!$B$80,0))</f>
        <v>-286805.7371648</v>
      </c>
      <c r="AW127" s="110" t="n">
        <f aca="false">-(AW102*(1-INDEX(Premissas!$C$59:$G$59,AW$7))*INDEX(Premissas!$C$58:$G$58,AW$7)+IF(AW$4&gt;=Premissas!$B$79,INDEX(Premissas!$C$78:$G$78,AW$7),0)+IF(AW$4=DATE(YEAR(Premissas!$B$81),MONTH(Premissas!$B$81),1),Premissas!$B$80,0))</f>
        <v>-286805.7371648</v>
      </c>
      <c r="AX127" s="110" t="n">
        <f aca="false">-(AX102*(1-INDEX(Premissas!$C$59:$G$59,AX$7))*INDEX(Premissas!$C$58:$G$58,AX$7)+IF(AX$4&gt;=Premissas!$B$79,INDEX(Premissas!$C$78:$G$78,AX$7),0)+IF(AX$4=DATE(YEAR(Premissas!$B$81),MONTH(Premissas!$B$81),1),Premissas!$B$80,0))</f>
        <v>-511408.92553216</v>
      </c>
      <c r="AY127" s="110" t="n">
        <f aca="false">-(AY102*(1-INDEX(Premissas!$C$59:$G$59,AY$7))*INDEX(Premissas!$C$58:$G$58,AY$7)+IF(AY$4&gt;=Premissas!$B$79,INDEX(Premissas!$C$78:$G$78,AY$7),0)+IF(AY$4=DATE(YEAR(Premissas!$B$81),MONTH(Premissas!$B$81),1),Premissas!$B$80,0))</f>
        <v>-511408.92553216</v>
      </c>
      <c r="AZ127" s="110" t="n">
        <f aca="false">-(AZ102*(1-INDEX(Premissas!$C$59:$G$59,AZ$7))*INDEX(Premissas!$C$58:$G$58,AZ$7)+IF(AZ$4&gt;=Premissas!$B$79,INDEX(Premissas!$C$78:$G$78,AZ$7),0)+IF(AZ$4=DATE(YEAR(Premissas!$B$81),MONTH(Premissas!$B$81),1),Premissas!$B$80,0))</f>
        <v>-511408.92553216</v>
      </c>
      <c r="BA127" s="110" t="n">
        <f aca="false">-(BA102*(1-INDEX(Premissas!$C$59:$G$59,BA$7))*INDEX(Premissas!$C$58:$G$58,BA$7)+IF(BA$4&gt;=Premissas!$B$79,INDEX(Premissas!$C$78:$G$78,BA$7),0)+IF(BA$4=DATE(YEAR(Premissas!$B$81),MONTH(Premissas!$B$81),1),Premissas!$B$80,0))</f>
        <v>-511408.92553216</v>
      </c>
      <c r="BB127" s="110" t="n">
        <f aca="false">-(BB102*(1-INDEX(Premissas!$C$59:$G$59,BB$7))*INDEX(Premissas!$C$58:$G$58,BB$7)+IF(BB$4&gt;=Premissas!$B$79,INDEX(Premissas!$C$78:$G$78,BB$7),0)+IF(BB$4=DATE(YEAR(Premissas!$B$81),MONTH(Premissas!$B$81),1),Premissas!$B$80,0))</f>
        <v>-511408.92553216</v>
      </c>
      <c r="BC127" s="110" t="n">
        <f aca="false">-(BC102*(1-INDEX(Premissas!$C$59:$G$59,BC$7))*INDEX(Premissas!$C$58:$G$58,BC$7)+IF(BC$4&gt;=Premissas!$B$79,INDEX(Premissas!$C$78:$G$78,BC$7),0)+IF(BC$4=DATE(YEAR(Premissas!$B$81),MONTH(Premissas!$B$81),1),Premissas!$B$80,0))</f>
        <v>-511408.92553216</v>
      </c>
      <c r="BD127" s="110" t="n">
        <f aca="false">-(BD102*(1-INDEX(Premissas!$C$59:$G$59,BD$7))*INDEX(Premissas!$C$58:$G$58,BD$7)+IF(BD$4&gt;=Premissas!$B$79,INDEX(Premissas!$C$78:$G$78,BD$7),0)+IF(BD$4=DATE(YEAR(Premissas!$B$81),MONTH(Premissas!$B$81),1),Premissas!$B$80,0))</f>
        <v>-511408.92553216</v>
      </c>
      <c r="BE127" s="110" t="n">
        <f aca="false">-(BE102*(1-INDEX(Premissas!$C$59:$G$59,BE$7))*INDEX(Premissas!$C$58:$G$58,BE$7)+IF(BE$4&gt;=Premissas!$B$79,INDEX(Premissas!$C$78:$G$78,BE$7),0)+IF(BE$4=DATE(YEAR(Premissas!$B$81),MONTH(Premissas!$B$81),1),Premissas!$B$80,0))</f>
        <v>-511408.92553216</v>
      </c>
      <c r="BF127" s="110" t="n">
        <f aca="false">-(BF102*(1-INDEX(Premissas!$C$59:$G$59,BF$7))*INDEX(Premissas!$C$58:$G$58,BF$7)+IF(BF$4&gt;=Premissas!$B$79,INDEX(Premissas!$C$78:$G$78,BF$7),0)+IF(BF$4=DATE(YEAR(Premissas!$B$81),MONTH(Premissas!$B$81),1),Premissas!$B$80,0))</f>
        <v>-511408.92553216</v>
      </c>
      <c r="BG127" s="110" t="n">
        <f aca="false">-(BG102*(1-INDEX(Premissas!$C$59:$G$59,BG$7))*INDEX(Premissas!$C$58:$G$58,BG$7)+IF(BG$4&gt;=Premissas!$B$79,INDEX(Premissas!$C$78:$G$78,BG$7),0)+IF(BG$4=DATE(YEAR(Premissas!$B$81),MONTH(Premissas!$B$81),1),Premissas!$B$80,0))</f>
        <v>-511408.92553216</v>
      </c>
      <c r="BH127" s="110" t="n">
        <f aca="false">-(BH102*(1-INDEX(Premissas!$C$59:$G$59,BH$7))*INDEX(Premissas!$C$58:$G$58,BH$7)+IF(BH$4&gt;=Premissas!$B$79,INDEX(Premissas!$C$78:$G$78,BH$7),0)+IF(BH$4=DATE(YEAR(Premissas!$B$81),MONTH(Premissas!$B$81),1),Premissas!$B$80,0))</f>
        <v>-511408.92553216</v>
      </c>
      <c r="BI127" s="110" t="n">
        <f aca="false">-(BI102*(1-INDEX(Premissas!$C$59:$G$59,BI$7))*INDEX(Premissas!$C$58:$G$58,BI$7)+IF(BI$4&gt;=Premissas!$B$79,INDEX(Premissas!$C$78:$G$78,BI$7),0)+IF(BI$4=DATE(YEAR(Premissas!$B$81),MONTH(Premissas!$B$81),1),Premissas!$B$80,0))</f>
        <v>-511408.92553216</v>
      </c>
      <c r="BJ127" s="111" t="n">
        <f aca="false">SUM(B127:BI127)</f>
        <v>-12166850.2131635</v>
      </c>
    </row>
    <row r="128" customFormat="false" ht="15" hidden="false" customHeight="false" outlineLevel="0" collapsed="false">
      <c r="A128" s="27" t="s">
        <v>437</v>
      </c>
      <c r="B128" s="110" t="n">
        <f aca="false">-IF(B$4&gt;=Premissas!$B$76,INDEX(Premissas!$C$77:$G$77,B$7),0)</f>
        <v>-0</v>
      </c>
      <c r="C128" s="110" t="n">
        <f aca="false">-IF(C$4&gt;=Premissas!$B$76,INDEX(Premissas!$C$77:$G$77,C$7),0)</f>
        <v>-0</v>
      </c>
      <c r="D128" s="110" t="n">
        <f aca="false">-IF(D$4&gt;=Premissas!$B$76,INDEX(Premissas!$C$77:$G$77,D$7),0)</f>
        <v>-0</v>
      </c>
      <c r="E128" s="110" t="n">
        <f aca="false">-IF(E$4&gt;=Premissas!$B$76,INDEX(Premissas!$C$77:$G$77,E$7),0)</f>
        <v>-1500</v>
      </c>
      <c r="F128" s="110" t="n">
        <f aca="false">-IF(F$4&gt;=Premissas!$B$76,INDEX(Premissas!$C$77:$G$77,F$7),0)</f>
        <v>-1500</v>
      </c>
      <c r="G128" s="110" t="n">
        <f aca="false">-IF(G$4&gt;=Premissas!$B$76,INDEX(Premissas!$C$77:$G$77,G$7),0)</f>
        <v>-1500</v>
      </c>
      <c r="H128" s="110" t="n">
        <f aca="false">-IF(H$4&gt;=Premissas!$B$76,INDEX(Premissas!$C$77:$G$77,H$7),0)</f>
        <v>-1500</v>
      </c>
      <c r="I128" s="110" t="n">
        <f aca="false">-IF(I$4&gt;=Premissas!$B$76,INDEX(Premissas!$C$77:$G$77,I$7),0)</f>
        <v>-1500</v>
      </c>
      <c r="J128" s="110" t="n">
        <f aca="false">-IF(J$4&gt;=Premissas!$B$76,INDEX(Premissas!$C$77:$G$77,J$7),0)</f>
        <v>-1500</v>
      </c>
      <c r="K128" s="110" t="n">
        <f aca="false">-IF(K$4&gt;=Premissas!$B$76,INDEX(Premissas!$C$77:$G$77,K$7),0)</f>
        <v>-1500</v>
      </c>
      <c r="L128" s="110" t="n">
        <f aca="false">-IF(L$4&gt;=Premissas!$B$76,INDEX(Premissas!$C$77:$G$77,L$7),0)</f>
        <v>-1500</v>
      </c>
      <c r="M128" s="110" t="n">
        <f aca="false">-IF(M$4&gt;=Premissas!$B$76,INDEX(Premissas!$C$77:$G$77,M$7),0)</f>
        <v>-1500</v>
      </c>
      <c r="N128" s="110" t="n">
        <f aca="false">-IF(N$4&gt;=Premissas!$B$76,INDEX(Premissas!$C$77:$G$77,N$7),0)</f>
        <v>-6000</v>
      </c>
      <c r="O128" s="110" t="n">
        <f aca="false">-IF(O$4&gt;=Premissas!$B$76,INDEX(Premissas!$C$77:$G$77,O$7),0)</f>
        <v>-6000</v>
      </c>
      <c r="P128" s="110" t="n">
        <f aca="false">-IF(P$4&gt;=Premissas!$B$76,INDEX(Premissas!$C$77:$G$77,P$7),0)</f>
        <v>-6000</v>
      </c>
      <c r="Q128" s="110" t="n">
        <f aca="false">-IF(Q$4&gt;=Premissas!$B$76,INDEX(Premissas!$C$77:$G$77,Q$7),0)</f>
        <v>-6000</v>
      </c>
      <c r="R128" s="110" t="n">
        <f aca="false">-IF(R$4&gt;=Premissas!$B$76,INDEX(Premissas!$C$77:$G$77,R$7),0)</f>
        <v>-6000</v>
      </c>
      <c r="S128" s="110" t="n">
        <f aca="false">-IF(S$4&gt;=Premissas!$B$76,INDEX(Premissas!$C$77:$G$77,S$7),0)</f>
        <v>-6000</v>
      </c>
      <c r="T128" s="110" t="n">
        <f aca="false">-IF(T$4&gt;=Premissas!$B$76,INDEX(Premissas!$C$77:$G$77,T$7),0)</f>
        <v>-6000</v>
      </c>
      <c r="U128" s="110" t="n">
        <f aca="false">-IF(U$4&gt;=Premissas!$B$76,INDEX(Premissas!$C$77:$G$77,U$7),0)</f>
        <v>-6000</v>
      </c>
      <c r="V128" s="110" t="n">
        <f aca="false">-IF(V$4&gt;=Premissas!$B$76,INDEX(Premissas!$C$77:$G$77,V$7),0)</f>
        <v>-6000</v>
      </c>
      <c r="W128" s="110" t="n">
        <f aca="false">-IF(W$4&gt;=Premissas!$B$76,INDEX(Premissas!$C$77:$G$77,W$7),0)</f>
        <v>-6000</v>
      </c>
      <c r="X128" s="110" t="n">
        <f aca="false">-IF(X$4&gt;=Premissas!$B$76,INDEX(Premissas!$C$77:$G$77,X$7),0)</f>
        <v>-6000</v>
      </c>
      <c r="Y128" s="110" t="n">
        <f aca="false">-IF(Y$4&gt;=Premissas!$B$76,INDEX(Premissas!$C$77:$G$77,Y$7),0)</f>
        <v>-6000</v>
      </c>
      <c r="Z128" s="110" t="n">
        <f aca="false">-IF(Z$4&gt;=Premissas!$B$76,INDEX(Premissas!$C$77:$G$77,Z$7),0)</f>
        <v>-25000</v>
      </c>
      <c r="AA128" s="110" t="n">
        <f aca="false">-IF(AA$4&gt;=Premissas!$B$76,INDEX(Premissas!$C$77:$G$77,AA$7),0)</f>
        <v>-25000</v>
      </c>
      <c r="AB128" s="110" t="n">
        <f aca="false">-IF(AB$4&gt;=Premissas!$B$76,INDEX(Premissas!$C$77:$G$77,AB$7),0)</f>
        <v>-25000</v>
      </c>
      <c r="AC128" s="110" t="n">
        <f aca="false">-IF(AC$4&gt;=Premissas!$B$76,INDEX(Premissas!$C$77:$G$77,AC$7),0)</f>
        <v>-25000</v>
      </c>
      <c r="AD128" s="110" t="n">
        <f aca="false">-IF(AD$4&gt;=Premissas!$B$76,INDEX(Premissas!$C$77:$G$77,AD$7),0)</f>
        <v>-25000</v>
      </c>
      <c r="AE128" s="110" t="n">
        <f aca="false">-IF(AE$4&gt;=Premissas!$B$76,INDEX(Premissas!$C$77:$G$77,AE$7),0)</f>
        <v>-25000</v>
      </c>
      <c r="AF128" s="110" t="n">
        <f aca="false">-IF(AF$4&gt;=Premissas!$B$76,INDEX(Premissas!$C$77:$G$77,AF$7),0)</f>
        <v>-25000</v>
      </c>
      <c r="AG128" s="110" t="n">
        <f aca="false">-IF(AG$4&gt;=Premissas!$B$76,INDEX(Premissas!$C$77:$G$77,AG$7),0)</f>
        <v>-25000</v>
      </c>
      <c r="AH128" s="110" t="n">
        <f aca="false">-IF(AH$4&gt;=Premissas!$B$76,INDEX(Premissas!$C$77:$G$77,AH$7),0)</f>
        <v>-25000</v>
      </c>
      <c r="AI128" s="110" t="n">
        <f aca="false">-IF(AI$4&gt;=Premissas!$B$76,INDEX(Premissas!$C$77:$G$77,AI$7),0)</f>
        <v>-25000</v>
      </c>
      <c r="AJ128" s="110" t="n">
        <f aca="false">-IF(AJ$4&gt;=Premissas!$B$76,INDEX(Premissas!$C$77:$G$77,AJ$7),0)</f>
        <v>-25000</v>
      </c>
      <c r="AK128" s="110" t="n">
        <f aca="false">-IF(AK$4&gt;=Premissas!$B$76,INDEX(Premissas!$C$77:$G$77,AK$7),0)</f>
        <v>-25000</v>
      </c>
      <c r="AL128" s="110" t="n">
        <f aca="false">-IF(AL$4&gt;=Premissas!$B$76,INDEX(Premissas!$C$77:$G$77,AL$7),0)</f>
        <v>-60000</v>
      </c>
      <c r="AM128" s="110" t="n">
        <f aca="false">-IF(AM$4&gt;=Premissas!$B$76,INDEX(Premissas!$C$77:$G$77,AM$7),0)</f>
        <v>-60000</v>
      </c>
      <c r="AN128" s="110" t="n">
        <f aca="false">-IF(AN$4&gt;=Premissas!$B$76,INDEX(Premissas!$C$77:$G$77,AN$7),0)</f>
        <v>-60000</v>
      </c>
      <c r="AO128" s="110" t="n">
        <f aca="false">-IF(AO$4&gt;=Premissas!$B$76,INDEX(Premissas!$C$77:$G$77,AO$7),0)</f>
        <v>-60000</v>
      </c>
      <c r="AP128" s="110" t="n">
        <f aca="false">-IF(AP$4&gt;=Premissas!$B$76,INDEX(Premissas!$C$77:$G$77,AP$7),0)</f>
        <v>-60000</v>
      </c>
      <c r="AQ128" s="110" t="n">
        <f aca="false">-IF(AQ$4&gt;=Premissas!$B$76,INDEX(Premissas!$C$77:$G$77,AQ$7),0)</f>
        <v>-60000</v>
      </c>
      <c r="AR128" s="110" t="n">
        <f aca="false">-IF(AR$4&gt;=Premissas!$B$76,INDEX(Premissas!$C$77:$G$77,AR$7),0)</f>
        <v>-60000</v>
      </c>
      <c r="AS128" s="110" t="n">
        <f aca="false">-IF(AS$4&gt;=Premissas!$B$76,INDEX(Premissas!$C$77:$G$77,AS$7),0)</f>
        <v>-60000</v>
      </c>
      <c r="AT128" s="110" t="n">
        <f aca="false">-IF(AT$4&gt;=Premissas!$B$76,INDEX(Premissas!$C$77:$G$77,AT$7),0)</f>
        <v>-60000</v>
      </c>
      <c r="AU128" s="110" t="n">
        <f aca="false">-IF(AU$4&gt;=Premissas!$B$76,INDEX(Premissas!$C$77:$G$77,AU$7),0)</f>
        <v>-60000</v>
      </c>
      <c r="AV128" s="110" t="n">
        <f aca="false">-IF(AV$4&gt;=Premissas!$B$76,INDEX(Premissas!$C$77:$G$77,AV$7),0)</f>
        <v>-60000</v>
      </c>
      <c r="AW128" s="110" t="n">
        <f aca="false">-IF(AW$4&gt;=Premissas!$B$76,INDEX(Premissas!$C$77:$G$77,AW$7),0)</f>
        <v>-60000</v>
      </c>
      <c r="AX128" s="110" t="n">
        <f aca="false">-IF(AX$4&gt;=Premissas!$B$76,INDEX(Premissas!$C$77:$G$77,AX$7),0)</f>
        <v>-110000</v>
      </c>
      <c r="AY128" s="110" t="n">
        <f aca="false">-IF(AY$4&gt;=Premissas!$B$76,INDEX(Premissas!$C$77:$G$77,AY$7),0)</f>
        <v>-110000</v>
      </c>
      <c r="AZ128" s="110" t="n">
        <f aca="false">-IF(AZ$4&gt;=Premissas!$B$76,INDEX(Premissas!$C$77:$G$77,AZ$7),0)</f>
        <v>-110000</v>
      </c>
      <c r="BA128" s="110" t="n">
        <f aca="false">-IF(BA$4&gt;=Premissas!$B$76,INDEX(Premissas!$C$77:$G$77,BA$7),0)</f>
        <v>-110000</v>
      </c>
      <c r="BB128" s="110" t="n">
        <f aca="false">-IF(BB$4&gt;=Premissas!$B$76,INDEX(Premissas!$C$77:$G$77,BB$7),0)</f>
        <v>-110000</v>
      </c>
      <c r="BC128" s="110" t="n">
        <f aca="false">-IF(BC$4&gt;=Premissas!$B$76,INDEX(Premissas!$C$77:$G$77,BC$7),0)</f>
        <v>-110000</v>
      </c>
      <c r="BD128" s="110" t="n">
        <f aca="false">-IF(BD$4&gt;=Premissas!$B$76,INDEX(Premissas!$C$77:$G$77,BD$7),0)</f>
        <v>-110000</v>
      </c>
      <c r="BE128" s="110" t="n">
        <f aca="false">-IF(BE$4&gt;=Premissas!$B$76,INDEX(Premissas!$C$77:$G$77,BE$7),0)</f>
        <v>-110000</v>
      </c>
      <c r="BF128" s="110" t="n">
        <f aca="false">-IF(BF$4&gt;=Premissas!$B$76,INDEX(Premissas!$C$77:$G$77,BF$7),0)</f>
        <v>-110000</v>
      </c>
      <c r="BG128" s="110" t="n">
        <f aca="false">-IF(BG$4&gt;=Premissas!$B$76,INDEX(Premissas!$C$77:$G$77,BG$7),0)</f>
        <v>-110000</v>
      </c>
      <c r="BH128" s="110" t="n">
        <f aca="false">-IF(BH$4&gt;=Premissas!$B$76,INDEX(Premissas!$C$77:$G$77,BH$7),0)</f>
        <v>-110000</v>
      </c>
      <c r="BI128" s="110" t="n">
        <f aca="false">-IF(BI$4&gt;=Premissas!$B$76,INDEX(Premissas!$C$77:$G$77,BI$7),0)</f>
        <v>-110000</v>
      </c>
      <c r="BJ128" s="111" t="n">
        <f aca="false">SUM(B128:BI128)</f>
        <v>-2425500</v>
      </c>
    </row>
    <row r="129" customFormat="false" ht="15" hidden="false" customHeight="false" outlineLevel="0" collapsed="false">
      <c r="A129" s="51" t="s">
        <v>582</v>
      </c>
      <c r="B129" s="111" t="n">
        <f aca="false">SUM(B123:B128)</f>
        <v>0</v>
      </c>
      <c r="C129" s="111" t="n">
        <f aca="false">SUM(C123:C128)</f>
        <v>0</v>
      </c>
      <c r="D129" s="111" t="n">
        <f aca="false">SUM(D123:D128)</f>
        <v>0</v>
      </c>
      <c r="E129" s="111" t="n">
        <f aca="false">SUM(E123:E128)</f>
        <v>-1500</v>
      </c>
      <c r="F129" s="111" t="n">
        <f aca="false">SUM(F123:F128)</f>
        <v>-2100</v>
      </c>
      <c r="G129" s="111" t="n">
        <f aca="false">SUM(G123:G128)</f>
        <v>-2100</v>
      </c>
      <c r="H129" s="111" t="n">
        <f aca="false">SUM(H123:H128)</f>
        <v>-2100</v>
      </c>
      <c r="I129" s="111" t="n">
        <f aca="false">SUM(I123:I128)</f>
        <v>-2100</v>
      </c>
      <c r="J129" s="111" t="n">
        <f aca="false">SUM(J123:J128)</f>
        <v>-2100</v>
      </c>
      <c r="K129" s="111" t="n">
        <f aca="false">SUM(K123:K128)</f>
        <v>-52090.5182</v>
      </c>
      <c r="L129" s="111" t="n">
        <f aca="false">SUM(L123:L128)</f>
        <v>-12837.475025</v>
      </c>
      <c r="M129" s="111" t="n">
        <f aca="false">SUM(M123:M128)</f>
        <v>10148.40772</v>
      </c>
      <c r="N129" s="111" t="n">
        <f aca="false">SUM(N123:N128)</f>
        <v>-4631.59834314561</v>
      </c>
      <c r="O129" s="111" t="n">
        <f aca="false">SUM(O123:O128)</f>
        <v>63005.2541756765</v>
      </c>
      <c r="P129" s="111" t="n">
        <f aca="false">SUM(P123:P128)</f>
        <v>140677.870003769</v>
      </c>
      <c r="Q129" s="111" t="n">
        <f aca="false">SUM(Q123:Q128)</f>
        <v>180655.922554768</v>
      </c>
      <c r="R129" s="111" t="n">
        <f aca="false">SUM(R123:R128)</f>
        <v>218984.183957843</v>
      </c>
      <c r="S129" s="111" t="n">
        <f aca="false">SUM(S123:S128)</f>
        <v>254637.512377936</v>
      </c>
      <c r="T129" s="111" t="n">
        <f aca="false">SUM(T123:T128)</f>
        <v>286213.102368788</v>
      </c>
      <c r="U129" s="111" t="n">
        <f aca="false">SUM(U123:U128)</f>
        <v>316628.415017544</v>
      </c>
      <c r="V129" s="111" t="n">
        <f aca="false">SUM(V123:V128)</f>
        <v>381298.813632331</v>
      </c>
      <c r="W129" s="111" t="n">
        <f aca="false">SUM(W123:W128)</f>
        <v>395090.941972066</v>
      </c>
      <c r="X129" s="111" t="n">
        <f aca="false">SUM(X123:X128)</f>
        <v>448468.488034206</v>
      </c>
      <c r="Y129" s="111" t="n">
        <f aca="false">SUM(Y123:Y128)</f>
        <v>477512.356287645</v>
      </c>
      <c r="Z129" s="111" t="n">
        <f aca="false">SUM(Z123:Z128)</f>
        <v>537929.804379819</v>
      </c>
      <c r="AA129" s="111" t="n">
        <f aca="false">SUM(AA123:AA128)</f>
        <v>617369.250298327</v>
      </c>
      <c r="AB129" s="111" t="n">
        <f aca="false">SUM(AB123:AB128)</f>
        <v>692708.253412824</v>
      </c>
      <c r="AC129" s="111" t="n">
        <f aca="false">SUM(AC123:AC128)</f>
        <v>764262.798706366</v>
      </c>
      <c r="AD129" s="111" t="n">
        <f aca="false">SUM(AD123:AD128)</f>
        <v>832119.548647194</v>
      </c>
      <c r="AE129" s="111" t="n">
        <f aca="false">SUM(AE123:AE128)</f>
        <v>896628.096106927</v>
      </c>
      <c r="AF129" s="111" t="n">
        <f aca="false">SUM(AF123:AF128)</f>
        <v>957768.598926192</v>
      </c>
      <c r="AG129" s="111" t="n">
        <f aca="false">SUM(AG123:AG128)</f>
        <v>1015843.43708988</v>
      </c>
      <c r="AH129" s="111" t="n">
        <f aca="false">SUM(AH123:AH128)</f>
        <v>1070970.92526779</v>
      </c>
      <c r="AI129" s="111" t="n">
        <f aca="false">SUM(AI123:AI128)</f>
        <v>1123286.24007857</v>
      </c>
      <c r="AJ129" s="111" t="n">
        <f aca="false">SUM(AJ123:AJ128)</f>
        <v>1172969.55387307</v>
      </c>
      <c r="AK129" s="111" t="n">
        <f aca="false">SUM(AK123:AK128)</f>
        <v>1220154.12804482</v>
      </c>
      <c r="AL129" s="111" t="n">
        <f aca="false">SUM(AL123:AL128)</f>
        <v>1431046.02369511</v>
      </c>
      <c r="AM129" s="111" t="n">
        <f aca="false">SUM(AM123:AM128)</f>
        <v>1578839.3480423</v>
      </c>
      <c r="AN129" s="111" t="n">
        <f aca="false">SUM(AN123:AN128)</f>
        <v>1719675.50026645</v>
      </c>
      <c r="AO129" s="111" t="n">
        <f aca="false">SUM(AO123:AO128)</f>
        <v>1853911.05848727</v>
      </c>
      <c r="AP129" s="111" t="n">
        <f aca="false">SUM(AP123:AP128)</f>
        <v>1981884.29474531</v>
      </c>
      <c r="AQ129" s="111" t="n">
        <f aca="false">SUM(AQ123:AQ128)</f>
        <v>2103917.89720045</v>
      </c>
      <c r="AR129" s="111" t="n">
        <f aca="false">SUM(AR123:AR128)</f>
        <v>2220237.27864257</v>
      </c>
      <c r="AS129" s="111" t="n">
        <f aca="false">SUM(AS123:AS128)</f>
        <v>2331086.35581509</v>
      </c>
      <c r="AT129" s="111" t="n">
        <f aca="false">SUM(AT123:AT128)</f>
        <v>2436786.21586029</v>
      </c>
      <c r="AU129" s="111" t="n">
        <f aca="false">SUM(AU123:AU128)</f>
        <v>2537564.78550875</v>
      </c>
      <c r="AV129" s="111" t="n">
        <f aca="false">SUM(AV123:AV128)</f>
        <v>2633596.45803189</v>
      </c>
      <c r="AW129" s="111" t="n">
        <f aca="false">SUM(AW123:AW128)</f>
        <v>2725140.9453886</v>
      </c>
      <c r="AX129" s="111" t="n">
        <f aca="false">SUM(AX123:AX128)</f>
        <v>3376827.49333525</v>
      </c>
      <c r="AY129" s="111" t="n">
        <f aca="false">SUM(AY123:AY128)</f>
        <v>3665472.18548138</v>
      </c>
      <c r="AZ129" s="111" t="n">
        <f aca="false">SUM(AZ123:AZ128)</f>
        <v>3941670.70928982</v>
      </c>
      <c r="BA129" s="111" t="n">
        <f aca="false">SUM(BA123:BA128)</f>
        <v>4206022.29516703</v>
      </c>
      <c r="BB129" s="111" t="n">
        <f aca="false">SUM(BB123:BB128)</f>
        <v>4459056.67202338</v>
      </c>
      <c r="BC129" s="111" t="n">
        <f aca="false">SUM(BC123:BC128)</f>
        <v>4701134.99549234</v>
      </c>
      <c r="BD129" s="111" t="n">
        <f aca="false">SUM(BD123:BD128)</f>
        <v>4932856.10991989</v>
      </c>
      <c r="BE129" s="111" t="n">
        <f aca="false">SUM(BE123:BE128)</f>
        <v>5154578.18631391</v>
      </c>
      <c r="BF129" s="111" t="n">
        <f aca="false">SUM(BF123:BF128)</f>
        <v>5366782.13744342</v>
      </c>
      <c r="BG129" s="111" t="n">
        <f aca="false">SUM(BG123:BG128)</f>
        <v>5569928.51539233</v>
      </c>
      <c r="BH129" s="111" t="n">
        <f aca="false">SUM(BH123:BH128)</f>
        <v>5764259.31735277</v>
      </c>
      <c r="BI129" s="111" t="n">
        <f aca="false">SUM(BI123:BI128)</f>
        <v>5950269.095039</v>
      </c>
      <c r="BJ129" s="111" t="n">
        <f aca="false">SUM(B129:BI129)</f>
        <v>96636316.1853008</v>
      </c>
    </row>
    <row r="130" customFormat="false" ht="15" hidden="false" customHeight="false" outlineLevel="0" collapsed="false">
      <c r="A130" s="27" t="s">
        <v>583</v>
      </c>
      <c r="B130" s="110" t="n">
        <f aca="false">-Investimentos!B25</f>
        <v>-0</v>
      </c>
      <c r="C130" s="110" t="n">
        <f aca="false">-Investimentos!C25</f>
        <v>-0</v>
      </c>
      <c r="D130" s="110" t="n">
        <f aca="false">-Investimentos!D25</f>
        <v>-0</v>
      </c>
      <c r="E130" s="110" t="n">
        <f aca="false">-Investimentos!E25</f>
        <v>-0</v>
      </c>
      <c r="F130" s="110" t="n">
        <f aca="false">-Investimentos!F25</f>
        <v>-6000</v>
      </c>
      <c r="G130" s="110" t="n">
        <f aca="false">-Investimentos!G25</f>
        <v>-0</v>
      </c>
      <c r="H130" s="110" t="n">
        <f aca="false">-Investimentos!H25</f>
        <v>-0</v>
      </c>
      <c r="I130" s="110" t="n">
        <f aca="false">-Investimentos!I25</f>
        <v>-9127.82</v>
      </c>
      <c r="J130" s="110" t="n">
        <f aca="false">-Investimentos!J25</f>
        <v>-10500</v>
      </c>
      <c r="K130" s="110" t="n">
        <f aca="false">-Investimentos!K25</f>
        <v>-10500</v>
      </c>
      <c r="L130" s="110" t="n">
        <f aca="false">-Investimentos!L25</f>
        <v>-0</v>
      </c>
      <c r="M130" s="110" t="n">
        <f aca="false">-Investimentos!M25</f>
        <v>-0</v>
      </c>
      <c r="N130" s="110" t="n">
        <f aca="false">-Investimentos!N25</f>
        <v>-0</v>
      </c>
      <c r="O130" s="110" t="n">
        <f aca="false">-Investimentos!O25</f>
        <v>-0</v>
      </c>
      <c r="P130" s="110" t="n">
        <f aca="false">-Investimentos!P25</f>
        <v>-12000</v>
      </c>
      <c r="Q130" s="110" t="n">
        <f aca="false">-Investimentos!Q25</f>
        <v>-0</v>
      </c>
      <c r="R130" s="110" t="n">
        <f aca="false">-Investimentos!R25</f>
        <v>-0</v>
      </c>
      <c r="S130" s="110" t="n">
        <f aca="false">-Investimentos!S25</f>
        <v>-6000</v>
      </c>
      <c r="T130" s="110" t="n">
        <f aca="false">-Investimentos!T25</f>
        <v>-25000</v>
      </c>
      <c r="U130" s="110" t="n">
        <f aca="false">-Investimentos!U25</f>
        <v>-0</v>
      </c>
      <c r="V130" s="110" t="n">
        <f aca="false">-Investimentos!V25</f>
        <v>-0</v>
      </c>
      <c r="W130" s="110" t="n">
        <f aca="false">-Investimentos!W25</f>
        <v>-0</v>
      </c>
      <c r="X130" s="110" t="n">
        <f aca="false">-Investimentos!X25</f>
        <v>-0</v>
      </c>
      <c r="Y130" s="110" t="n">
        <f aca="false">-Investimentos!Y25</f>
        <v>-0</v>
      </c>
      <c r="Z130" s="110" t="n">
        <f aca="false">-Investimentos!Z25</f>
        <v>-0</v>
      </c>
      <c r="AA130" s="110" t="n">
        <f aca="false">-Investimentos!AA25</f>
        <v>-0</v>
      </c>
      <c r="AB130" s="110" t="n">
        <f aca="false">-Investimentos!AB25</f>
        <v>-0</v>
      </c>
      <c r="AC130" s="110" t="n">
        <f aca="false">-Investimentos!AC25</f>
        <v>-0</v>
      </c>
      <c r="AD130" s="110" t="n">
        <f aca="false">-Investimentos!AD25</f>
        <v>-0</v>
      </c>
      <c r="AE130" s="110" t="n">
        <f aca="false">-Investimentos!AE25</f>
        <v>-15000</v>
      </c>
      <c r="AF130" s="110" t="n">
        <f aca="false">-Investimentos!AF25</f>
        <v>-0</v>
      </c>
      <c r="AG130" s="110" t="n">
        <f aca="false">-Investimentos!AG25</f>
        <v>-0</v>
      </c>
      <c r="AH130" s="110" t="n">
        <f aca="false">-Investimentos!AH25</f>
        <v>-0</v>
      </c>
      <c r="AI130" s="110" t="n">
        <f aca="false">-Investimentos!AI25</f>
        <v>-0</v>
      </c>
      <c r="AJ130" s="110" t="n">
        <f aca="false">-Investimentos!AJ25</f>
        <v>-0</v>
      </c>
      <c r="AK130" s="110" t="n">
        <f aca="false">-Investimentos!AK25</f>
        <v>-0</v>
      </c>
      <c r="AL130" s="110" t="n">
        <f aca="false">-Investimentos!AL25</f>
        <v>-0</v>
      </c>
      <c r="AM130" s="110" t="n">
        <f aca="false">-Investimentos!AM25</f>
        <v>-0</v>
      </c>
      <c r="AN130" s="110" t="n">
        <f aca="false">-Investimentos!AN25</f>
        <v>-0</v>
      </c>
      <c r="AO130" s="110" t="n">
        <f aca="false">-Investimentos!AO25</f>
        <v>-0</v>
      </c>
      <c r="AP130" s="110" t="n">
        <f aca="false">-Investimentos!AP25</f>
        <v>-0</v>
      </c>
      <c r="AQ130" s="110" t="n">
        <f aca="false">-Investimentos!AQ25</f>
        <v>-25000</v>
      </c>
      <c r="AR130" s="110" t="n">
        <f aca="false">-Investimentos!AR25</f>
        <v>-0</v>
      </c>
      <c r="AS130" s="110" t="n">
        <f aca="false">-Investimentos!AS25</f>
        <v>-0</v>
      </c>
      <c r="AT130" s="110" t="n">
        <f aca="false">-Investimentos!AT25</f>
        <v>-0</v>
      </c>
      <c r="AU130" s="110" t="n">
        <f aca="false">-Investimentos!AU25</f>
        <v>-0</v>
      </c>
      <c r="AV130" s="110" t="n">
        <f aca="false">-Investimentos!AV25</f>
        <v>-0</v>
      </c>
      <c r="AW130" s="110" t="n">
        <f aca="false">-Investimentos!AW25</f>
        <v>-0</v>
      </c>
      <c r="AX130" s="110" t="n">
        <f aca="false">-Investimentos!AX25</f>
        <v>-0</v>
      </c>
      <c r="AY130" s="110" t="n">
        <f aca="false">-Investimentos!AY25</f>
        <v>-0</v>
      </c>
      <c r="AZ130" s="110" t="n">
        <f aca="false">-Investimentos!AZ25</f>
        <v>-0</v>
      </c>
      <c r="BA130" s="110" t="n">
        <f aca="false">-Investimentos!BA25</f>
        <v>-0</v>
      </c>
      <c r="BB130" s="110" t="n">
        <f aca="false">-Investimentos!BB25</f>
        <v>-0</v>
      </c>
      <c r="BC130" s="110" t="n">
        <f aca="false">-Investimentos!BC25</f>
        <v>-30000</v>
      </c>
      <c r="BD130" s="110" t="n">
        <f aca="false">-Investimentos!BD25</f>
        <v>-0</v>
      </c>
      <c r="BE130" s="110" t="n">
        <f aca="false">-Investimentos!BE25</f>
        <v>-0</v>
      </c>
      <c r="BF130" s="110" t="n">
        <f aca="false">-Investimentos!BF25</f>
        <v>-0</v>
      </c>
      <c r="BG130" s="110" t="n">
        <f aca="false">-Investimentos!BG25</f>
        <v>-0</v>
      </c>
      <c r="BH130" s="110" t="n">
        <f aca="false">-Investimentos!BH25</f>
        <v>-0</v>
      </c>
      <c r="BI130" s="110" t="n">
        <f aca="false">-Investimentos!BI25</f>
        <v>-0</v>
      </c>
      <c r="BJ130" s="111" t="n">
        <f aca="false">SUM(B130:BI130)</f>
        <v>-149127.82</v>
      </c>
    </row>
    <row r="131" customFormat="false" ht="15" hidden="false" customHeight="false" outlineLevel="0" collapsed="false">
      <c r="A131" s="51" t="s">
        <v>487</v>
      </c>
      <c r="B131" s="111" t="n">
        <f aca="false">B129+B130</f>
        <v>0</v>
      </c>
      <c r="C131" s="111" t="n">
        <f aca="false">C129+C130</f>
        <v>0</v>
      </c>
      <c r="D131" s="111" t="n">
        <f aca="false">D129+D130</f>
        <v>0</v>
      </c>
      <c r="E131" s="111" t="n">
        <f aca="false">E129+E130</f>
        <v>-1500</v>
      </c>
      <c r="F131" s="111" t="n">
        <f aca="false">F129+F130</f>
        <v>-8100</v>
      </c>
      <c r="G131" s="111" t="n">
        <f aca="false">G129+G130</f>
        <v>-2100</v>
      </c>
      <c r="H131" s="111" t="n">
        <f aca="false">H129+H130</f>
        <v>-2100</v>
      </c>
      <c r="I131" s="111" t="n">
        <f aca="false">I129+I130</f>
        <v>-11227.82</v>
      </c>
      <c r="J131" s="111" t="n">
        <f aca="false">J129+J130</f>
        <v>-12600</v>
      </c>
      <c r="K131" s="111" t="n">
        <f aca="false">K129+K130</f>
        <v>-62590.5182</v>
      </c>
      <c r="L131" s="111" t="n">
        <f aca="false">L129+L130</f>
        <v>-12837.475025</v>
      </c>
      <c r="M131" s="111" t="n">
        <f aca="false">M129+M130</f>
        <v>10148.40772</v>
      </c>
      <c r="N131" s="111" t="n">
        <f aca="false">N129+N130</f>
        <v>-4631.59834314561</v>
      </c>
      <c r="O131" s="111" t="n">
        <f aca="false">O129+O130</f>
        <v>63005.2541756765</v>
      </c>
      <c r="P131" s="111" t="n">
        <f aca="false">P129+P130</f>
        <v>128677.870003769</v>
      </c>
      <c r="Q131" s="111" t="n">
        <f aca="false">Q129+Q130</f>
        <v>180655.922554768</v>
      </c>
      <c r="R131" s="111" t="n">
        <f aca="false">R129+R130</f>
        <v>218984.183957843</v>
      </c>
      <c r="S131" s="111" t="n">
        <f aca="false">S129+S130</f>
        <v>248637.512377936</v>
      </c>
      <c r="T131" s="111" t="n">
        <f aca="false">T129+T130</f>
        <v>261213.102368788</v>
      </c>
      <c r="U131" s="111" t="n">
        <f aca="false">U129+U130</f>
        <v>316628.415017544</v>
      </c>
      <c r="V131" s="111" t="n">
        <f aca="false">V129+V130</f>
        <v>381298.813632331</v>
      </c>
      <c r="W131" s="111" t="n">
        <f aca="false">W129+W130</f>
        <v>395090.941972066</v>
      </c>
      <c r="X131" s="111" t="n">
        <f aca="false">X129+X130</f>
        <v>448468.488034206</v>
      </c>
      <c r="Y131" s="111" t="n">
        <f aca="false">Y129+Y130</f>
        <v>477512.356287645</v>
      </c>
      <c r="Z131" s="111" t="n">
        <f aca="false">Z129+Z130</f>
        <v>537929.804379819</v>
      </c>
      <c r="AA131" s="111" t="n">
        <f aca="false">AA129+AA130</f>
        <v>617369.250298327</v>
      </c>
      <c r="AB131" s="111" t="n">
        <f aca="false">AB129+AB130</f>
        <v>692708.253412824</v>
      </c>
      <c r="AC131" s="111" t="n">
        <f aca="false">AC129+AC130</f>
        <v>764262.798706366</v>
      </c>
      <c r="AD131" s="111" t="n">
        <f aca="false">AD129+AD130</f>
        <v>832119.548647194</v>
      </c>
      <c r="AE131" s="111" t="n">
        <f aca="false">AE129+AE130</f>
        <v>881628.096106927</v>
      </c>
      <c r="AF131" s="111" t="n">
        <f aca="false">AF129+AF130</f>
        <v>957768.598926192</v>
      </c>
      <c r="AG131" s="111" t="n">
        <f aca="false">AG129+AG130</f>
        <v>1015843.43708988</v>
      </c>
      <c r="AH131" s="111" t="n">
        <f aca="false">AH129+AH130</f>
        <v>1070970.92526779</v>
      </c>
      <c r="AI131" s="111" t="n">
        <f aca="false">AI129+AI130</f>
        <v>1123286.24007857</v>
      </c>
      <c r="AJ131" s="111" t="n">
        <f aca="false">AJ129+AJ130</f>
        <v>1172969.55387307</v>
      </c>
      <c r="AK131" s="111" t="n">
        <f aca="false">AK129+AK130</f>
        <v>1220154.12804482</v>
      </c>
      <c r="AL131" s="111" t="n">
        <f aca="false">AL129+AL130</f>
        <v>1431046.02369511</v>
      </c>
      <c r="AM131" s="111" t="n">
        <f aca="false">AM129+AM130</f>
        <v>1578839.3480423</v>
      </c>
      <c r="AN131" s="111" t="n">
        <f aca="false">AN129+AN130</f>
        <v>1719675.50026645</v>
      </c>
      <c r="AO131" s="111" t="n">
        <f aca="false">AO129+AO130</f>
        <v>1853911.05848727</v>
      </c>
      <c r="AP131" s="111" t="n">
        <f aca="false">AP129+AP130</f>
        <v>1981884.29474531</v>
      </c>
      <c r="AQ131" s="111" t="n">
        <f aca="false">AQ129+AQ130</f>
        <v>2078917.89720045</v>
      </c>
      <c r="AR131" s="111" t="n">
        <f aca="false">AR129+AR130</f>
        <v>2220237.27864257</v>
      </c>
      <c r="AS131" s="111" t="n">
        <f aca="false">AS129+AS130</f>
        <v>2331086.35581509</v>
      </c>
      <c r="AT131" s="111" t="n">
        <f aca="false">AT129+AT130</f>
        <v>2436786.21586029</v>
      </c>
      <c r="AU131" s="111" t="n">
        <f aca="false">AU129+AU130</f>
        <v>2537564.78550875</v>
      </c>
      <c r="AV131" s="111" t="n">
        <f aca="false">AV129+AV130</f>
        <v>2633596.45803189</v>
      </c>
      <c r="AW131" s="111" t="n">
        <f aca="false">AW129+AW130</f>
        <v>2725140.9453886</v>
      </c>
      <c r="AX131" s="111" t="n">
        <f aca="false">AX129+AX130</f>
        <v>3376827.49333525</v>
      </c>
      <c r="AY131" s="111" t="n">
        <f aca="false">AY129+AY130</f>
        <v>3665472.18548138</v>
      </c>
      <c r="AZ131" s="111" t="n">
        <f aca="false">AZ129+AZ130</f>
        <v>3941670.70928982</v>
      </c>
      <c r="BA131" s="111" t="n">
        <f aca="false">BA129+BA130</f>
        <v>4206022.29516703</v>
      </c>
      <c r="BB131" s="111" t="n">
        <f aca="false">BB129+BB130</f>
        <v>4459056.67202338</v>
      </c>
      <c r="BC131" s="111" t="n">
        <f aca="false">BC129+BC130</f>
        <v>4671134.99549234</v>
      </c>
      <c r="BD131" s="111" t="n">
        <f aca="false">BD129+BD130</f>
        <v>4932856.10991989</v>
      </c>
      <c r="BE131" s="111" t="n">
        <f aca="false">BE129+BE130</f>
        <v>5154578.18631391</v>
      </c>
      <c r="BF131" s="111" t="n">
        <f aca="false">BF129+BF130</f>
        <v>5366782.13744342</v>
      </c>
      <c r="BG131" s="111" t="n">
        <f aca="false">BG129+BG130</f>
        <v>5569928.51539233</v>
      </c>
      <c r="BH131" s="111" t="n">
        <f aca="false">BH129+BH130</f>
        <v>5764259.31735277</v>
      </c>
      <c r="BI131" s="111" t="n">
        <f aca="false">BI129+BI130</f>
        <v>5950269.095039</v>
      </c>
      <c r="BJ131" s="111" t="n">
        <f aca="false">SUM(B131:BI131)</f>
        <v>96487188.3653008</v>
      </c>
    </row>
    <row r="132" customFormat="false" ht="15" hidden="false" customHeight="false" outlineLevel="0" collapsed="false">
      <c r="A132" s="27" t="s">
        <v>489</v>
      </c>
      <c r="B132" s="110" t="n">
        <f aca="false">B131/(1+Premissas!$B$19)^B$5</f>
        <v>0</v>
      </c>
      <c r="C132" s="110" t="n">
        <f aca="false">C131/(1+Premissas!$B$19)^C$5</f>
        <v>0</v>
      </c>
      <c r="D132" s="110" t="n">
        <f aca="false">D131/(1+Premissas!$B$19)^D$5</f>
        <v>0</v>
      </c>
      <c r="E132" s="110" t="n">
        <f aca="false">E131/(1+Premissas!$B$19)^E$5</f>
        <v>-1392.47665008383</v>
      </c>
      <c r="F132" s="110" t="n">
        <f aca="false">F131/(1+Premissas!$B$19)^F$5</f>
        <v>-7380.84094984538</v>
      </c>
      <c r="G132" s="110" t="n">
        <f aca="false">G131/(1+Premissas!$B$19)^G$5</f>
        <v>-1878.29710109982</v>
      </c>
      <c r="H132" s="110" t="n">
        <f aca="false">H131/(1+Premissas!$B$19)^H$5</f>
        <v>-1843.69235056949</v>
      </c>
      <c r="I132" s="110" t="n">
        <f aca="false">I131/(1+Premissas!$B$19)^I$5</f>
        <v>-9675.84196057351</v>
      </c>
      <c r="J132" s="110" t="n">
        <f aca="false">J131/(1+Premissas!$B$19)^J$5</f>
        <v>-10658.3023354809</v>
      </c>
      <c r="K132" s="110" t="n">
        <f aca="false">K131/(1+Premissas!$B$19)^K$5</f>
        <v>-51969.6991845472</v>
      </c>
      <c r="L132" s="110" t="n">
        <f aca="false">L131/(1+Premissas!$B$19)^L$5</f>
        <v>-10462.7399977879</v>
      </c>
      <c r="M132" s="110" t="n">
        <f aca="false">M131/(1+Premissas!$B$19)^M$5</f>
        <v>8118.72617599999</v>
      </c>
      <c r="N132" s="110" t="n">
        <f aca="false">N131/(1+Premissas!$B$19)^N$5</f>
        <v>-3637.01458354711</v>
      </c>
      <c r="O132" s="110" t="n">
        <f aca="false">O131/(1+Premissas!$B$19)^O$5</f>
        <v>48564.0710805685</v>
      </c>
      <c r="P132" s="110" t="n">
        <f aca="false">P131/(1+Premissas!$B$19)^P$5</f>
        <v>97356.8126563729</v>
      </c>
      <c r="Q132" s="110" t="n">
        <f aca="false">Q131/(1+Premissas!$B$19)^Q$5</f>
        <v>134164.882056996</v>
      </c>
      <c r="R132" s="110" t="n">
        <f aca="false">R131/(1+Premissas!$B$19)^R$5</f>
        <v>159633.326649336</v>
      </c>
      <c r="S132" s="110" t="n">
        <f aca="false">S131/(1+Premissas!$B$19)^S$5</f>
        <v>177910.521418723</v>
      </c>
      <c r="T132" s="110" t="n">
        <f aca="false">T131/(1+Premissas!$B$19)^T$5</f>
        <v>183465.370935565</v>
      </c>
      <c r="U132" s="110" t="n">
        <f aca="false">U131/(1+Premissas!$B$19)^U$5</f>
        <v>218289.677172355</v>
      </c>
      <c r="V132" s="110" t="n">
        <f aca="false">V131/(1+Premissas!$B$19)^V$5</f>
        <v>258031.621324035</v>
      </c>
      <c r="W132" s="110" t="n">
        <f aca="false">W131/(1+Premissas!$B$19)^W$5</f>
        <v>262439.206388646</v>
      </c>
      <c r="X132" s="110" t="n">
        <f aca="false">X131/(1+Premissas!$B$19)^X$5</f>
        <v>292406.983670247</v>
      </c>
      <c r="Y132" s="110" t="n">
        <f aca="false">Y131/(1+Premissas!$B$19)^Y$5</f>
        <v>305607.908024092</v>
      </c>
      <c r="Z132" s="110" t="n">
        <f aca="false">Z131/(1+Premissas!$B$19)^Z$5</f>
        <v>337932.333247237</v>
      </c>
      <c r="AA132" s="110" t="n">
        <f aca="false">AA131/(1+Premissas!$B$19)^AA$5</f>
        <v>380691.6048093</v>
      </c>
      <c r="AB132" s="110" t="n">
        <f aca="false">AB131/(1+Premissas!$B$19)^AB$5</f>
        <v>419278.73161755</v>
      </c>
      <c r="AC132" s="110" t="n">
        <f aca="false">AC131/(1+Premissas!$B$19)^AC$5</f>
        <v>454066.390069902</v>
      </c>
      <c r="AD132" s="110" t="n">
        <f aca="false">AD131/(1+Premissas!$B$19)^AD$5</f>
        <v>485273.445121743</v>
      </c>
      <c r="AE132" s="110" t="n">
        <f aca="false">AE131/(1+Premissas!$B$19)^AE$5</f>
        <v>504673.370564813</v>
      </c>
      <c r="AF132" s="110" t="n">
        <f aca="false">AF131/(1+Premissas!$B$19)^AF$5</f>
        <v>538157.909167505</v>
      </c>
      <c r="AG132" s="110" t="n">
        <f aca="false">AG131/(1+Premissas!$B$19)^AG$5</f>
        <v>560273.495169957</v>
      </c>
      <c r="AH132" s="110" t="n">
        <f aca="false">AH131/(1+Premissas!$B$19)^AH$5</f>
        <v>579795.906743559</v>
      </c>
      <c r="AI132" s="110" t="n">
        <f aca="false">AI131/(1+Premissas!$B$19)^AI$5</f>
        <v>596914.417570925</v>
      </c>
      <c r="AJ132" s="110" t="n">
        <f aca="false">AJ131/(1+Premissas!$B$19)^AJ$5</f>
        <v>611832.489169494</v>
      </c>
      <c r="AK132" s="110" t="n">
        <f aca="false">AK131/(1+Premissas!$B$19)^AK$5</f>
        <v>624718.913558944</v>
      </c>
      <c r="AL132" s="110" t="n">
        <f aca="false">AL131/(1+Premissas!$B$19)^AL$5</f>
        <v>719196.769294477</v>
      </c>
      <c r="AM132" s="110" t="n">
        <f aca="false">AM131/(1+Premissas!$B$19)^AM$5</f>
        <v>778854.320783682</v>
      </c>
      <c r="AN132" s="110" t="n">
        <f aca="false">AN131/(1+Premissas!$B$19)^AN$5</f>
        <v>832700.761387689</v>
      </c>
      <c r="AO132" s="110" t="n">
        <f aca="false">AO131/(1+Premissas!$B$19)^AO$5</f>
        <v>881161.509640778</v>
      </c>
      <c r="AP132" s="110" t="n">
        <f aca="false">AP131/(1+Premissas!$B$19)^AP$5</f>
        <v>924632.352269374</v>
      </c>
      <c r="AQ132" s="110" t="n">
        <f aca="false">AQ131/(1+Premissas!$B$19)^AQ$5</f>
        <v>952033.635897572</v>
      </c>
      <c r="AR132" s="110" t="n">
        <f aca="false">AR131/(1+Premissas!$B$19)^AR$5</f>
        <v>998018.313041069</v>
      </c>
      <c r="AS132" s="110" t="n">
        <f aca="false">AS131/(1+Premissas!$B$19)^AS$5</f>
        <v>1028541.09397566</v>
      </c>
      <c r="AT132" s="110" t="n">
        <f aca="false">AT131/(1+Premissas!$B$19)^AT$5</f>
        <v>1055370.33002956</v>
      </c>
      <c r="AU132" s="110" t="n">
        <f aca="false">AU131/(1+Premissas!$B$19)^AU$5</f>
        <v>1078769.73967704</v>
      </c>
      <c r="AV132" s="110" t="n">
        <f aca="false">AV131/(1+Premissas!$B$19)^AV$5</f>
        <v>1098967.91170078</v>
      </c>
      <c r="AW132" s="110" t="n">
        <f aca="false">AW131/(1+Premissas!$B$19)^AW$5</f>
        <v>1116217.73123117</v>
      </c>
      <c r="AX132" s="110" t="n">
        <f aca="false">AX131/(1+Premissas!$B$19)^AX$5</f>
        <v>1357666.14543986</v>
      </c>
      <c r="AY132" s="110" t="n">
        <f aca="false">AY131/(1+Premissas!$B$19)^AY$5</f>
        <v>1446565.84745725</v>
      </c>
      <c r="AZ132" s="110" t="n">
        <f aca="false">AZ131/(1+Premissas!$B$19)^AZ$5</f>
        <v>1526907.69869391</v>
      </c>
      <c r="BA132" s="110" t="n">
        <f aca="false">BA131/(1+Premissas!$B$19)^BA$5</f>
        <v>1599293.5316827</v>
      </c>
      <c r="BB132" s="110" t="n">
        <f aca="false">BB131/(1+Premissas!$B$19)^BB$5</f>
        <v>1664269.93563124</v>
      </c>
      <c r="BC132" s="110" t="n">
        <f aca="false">BC131/(1+Premissas!$B$19)^BC$5</f>
        <v>1711304.76658672</v>
      </c>
      <c r="BD132" s="110" t="n">
        <f aca="false">BD131/(1+Premissas!$B$19)^BD$5</f>
        <v>1773893.54936208</v>
      </c>
      <c r="BE132" s="110" t="n">
        <f aca="false">BE131/(1+Premissas!$B$19)^BE$5</f>
        <v>1819476.30503137</v>
      </c>
      <c r="BF132" s="110" t="n">
        <f aca="false">BF131/(1+Premissas!$B$19)^BF$5</f>
        <v>1859479.53865647</v>
      </c>
      <c r="BG132" s="110" t="n">
        <f aca="false">BG131/(1+Premissas!$B$19)^BG$5</f>
        <v>1894310.75616533</v>
      </c>
      <c r="BH132" s="110" t="n">
        <f aca="false">BH131/(1+Premissas!$B$19)^BH$5</f>
        <v>1924284.49094345</v>
      </c>
      <c r="BI132" s="110" t="n">
        <f aca="false">BI131/(1+Premissas!$B$19)^BI$5</f>
        <v>1949784.17706237</v>
      </c>
      <c r="BJ132" s="111" t="n">
        <f aca="false">SUM(B132:BI132)</f>
        <v>40132400.4208919</v>
      </c>
    </row>
    <row r="133" customFormat="false" ht="15" hidden="false" customHeight="false" outlineLevel="0" collapsed="false">
      <c r="A133" s="27" t="s">
        <v>490</v>
      </c>
      <c r="B133" s="110" t="n">
        <f aca="false">B132</f>
        <v>0</v>
      </c>
      <c r="C133" s="110" t="n">
        <f aca="false">B133+C132</f>
        <v>0</v>
      </c>
      <c r="D133" s="110" t="n">
        <f aca="false">C133+D132</f>
        <v>0</v>
      </c>
      <c r="E133" s="110" t="n">
        <f aca="false">D133+E132</f>
        <v>-1392.47665008383</v>
      </c>
      <c r="F133" s="110" t="n">
        <f aca="false">E133+F132</f>
        <v>-8773.31759992921</v>
      </c>
      <c r="G133" s="110" t="n">
        <f aca="false">F133+G132</f>
        <v>-10651.614701029</v>
      </c>
      <c r="H133" s="110" t="n">
        <f aca="false">G133+H132</f>
        <v>-12495.3070515985</v>
      </c>
      <c r="I133" s="110" t="n">
        <f aca="false">H133+I132</f>
        <v>-22171.149012172</v>
      </c>
      <c r="J133" s="110" t="n">
        <f aca="false">I133+J132</f>
        <v>-32829.4513476529</v>
      </c>
      <c r="K133" s="110" t="n">
        <f aca="false">J133+K132</f>
        <v>-84799.1505322001</v>
      </c>
      <c r="L133" s="110" t="n">
        <f aca="false">K133+L132</f>
        <v>-95261.890529988</v>
      </c>
      <c r="M133" s="110" t="n">
        <f aca="false">L133+M132</f>
        <v>-87143.1643539881</v>
      </c>
      <c r="N133" s="110" t="n">
        <f aca="false">M133+N132</f>
        <v>-90780.1789375352</v>
      </c>
      <c r="O133" s="110" t="n">
        <f aca="false">N133+O132</f>
        <v>-42216.1078569666</v>
      </c>
      <c r="P133" s="110" t="n">
        <f aca="false">O133+P132</f>
        <v>55140.7047994063</v>
      </c>
      <c r="Q133" s="110" t="n">
        <f aca="false">P133+Q132</f>
        <v>189305.586856402</v>
      </c>
      <c r="R133" s="110" t="n">
        <f aca="false">Q133+R132</f>
        <v>348938.913505738</v>
      </c>
      <c r="S133" s="110" t="n">
        <f aca="false">R133+S132</f>
        <v>526849.434924461</v>
      </c>
      <c r="T133" s="110" t="n">
        <f aca="false">S133+T132</f>
        <v>710314.805860026</v>
      </c>
      <c r="U133" s="110" t="n">
        <f aca="false">T133+U132</f>
        <v>928604.483032381</v>
      </c>
      <c r="V133" s="110" t="n">
        <f aca="false">U133+V132</f>
        <v>1186636.10435642</v>
      </c>
      <c r="W133" s="110" t="n">
        <f aca="false">V133+W132</f>
        <v>1449075.31074506</v>
      </c>
      <c r="X133" s="110" t="n">
        <f aca="false">W133+X132</f>
        <v>1741482.29441531</v>
      </c>
      <c r="Y133" s="110" t="n">
        <f aca="false">X133+Y132</f>
        <v>2047090.2024394</v>
      </c>
      <c r="Z133" s="110" t="n">
        <f aca="false">Y133+Z132</f>
        <v>2385022.53568664</v>
      </c>
      <c r="AA133" s="110" t="n">
        <f aca="false">Z133+AA132</f>
        <v>2765714.14049594</v>
      </c>
      <c r="AB133" s="110" t="n">
        <f aca="false">AA133+AB132</f>
        <v>3184992.87211349</v>
      </c>
      <c r="AC133" s="110" t="n">
        <f aca="false">AB133+AC132</f>
        <v>3639059.26218339</v>
      </c>
      <c r="AD133" s="110" t="n">
        <f aca="false">AC133+AD132</f>
        <v>4124332.70730513</v>
      </c>
      <c r="AE133" s="110" t="n">
        <f aca="false">AD133+AE132</f>
        <v>4629006.07786995</v>
      </c>
      <c r="AF133" s="110" t="n">
        <f aca="false">AE133+AF132</f>
        <v>5167163.98703745</v>
      </c>
      <c r="AG133" s="110" t="n">
        <f aca="false">AF133+AG132</f>
        <v>5727437.48220741</v>
      </c>
      <c r="AH133" s="110" t="n">
        <f aca="false">AG133+AH132</f>
        <v>6307233.38895097</v>
      </c>
      <c r="AI133" s="110" t="n">
        <f aca="false">AH133+AI132</f>
        <v>6904147.80652189</v>
      </c>
      <c r="AJ133" s="110" t="n">
        <f aca="false">AI133+AJ132</f>
        <v>7515980.29569138</v>
      </c>
      <c r="AK133" s="110" t="n">
        <f aca="false">AJ133+AK132</f>
        <v>8140699.20925033</v>
      </c>
      <c r="AL133" s="110" t="n">
        <f aca="false">AK133+AL132</f>
        <v>8859895.97854481</v>
      </c>
      <c r="AM133" s="110" t="n">
        <f aca="false">AL133+AM132</f>
        <v>9638750.29932849</v>
      </c>
      <c r="AN133" s="110" t="n">
        <f aca="false">AM133+AN132</f>
        <v>10471451.0607162</v>
      </c>
      <c r="AO133" s="110" t="n">
        <f aca="false">AN133+AO132</f>
        <v>11352612.570357</v>
      </c>
      <c r="AP133" s="110" t="n">
        <f aca="false">AO133+AP132</f>
        <v>12277244.9226263</v>
      </c>
      <c r="AQ133" s="110" t="n">
        <f aca="false">AP133+AQ132</f>
        <v>13229278.5585239</v>
      </c>
      <c r="AR133" s="110" t="n">
        <f aca="false">AQ133+AR132</f>
        <v>14227296.871565</v>
      </c>
      <c r="AS133" s="110" t="n">
        <f aca="false">AR133+AS132</f>
        <v>15255837.9655406</v>
      </c>
      <c r="AT133" s="110" t="n">
        <f aca="false">AS133+AT132</f>
        <v>16311208.2955702</v>
      </c>
      <c r="AU133" s="110" t="n">
        <f aca="false">AT133+AU132</f>
        <v>17389978.0352472</v>
      </c>
      <c r="AV133" s="110" t="n">
        <f aca="false">AU133+AV132</f>
        <v>18488945.946948</v>
      </c>
      <c r="AW133" s="110" t="n">
        <f aca="false">AV133+AW132</f>
        <v>19605163.6781792</v>
      </c>
      <c r="AX133" s="110" t="n">
        <f aca="false">AW133+AX132</f>
        <v>20962829.823619</v>
      </c>
      <c r="AY133" s="110" t="n">
        <f aca="false">AX133+AY132</f>
        <v>22409395.6710763</v>
      </c>
      <c r="AZ133" s="110" t="n">
        <f aca="false">AY133+AZ132</f>
        <v>23936303.3697702</v>
      </c>
      <c r="BA133" s="110" t="n">
        <f aca="false">AZ133+BA132</f>
        <v>25535596.9014529</v>
      </c>
      <c r="BB133" s="110" t="n">
        <f aca="false">BA133+BB132</f>
        <v>27199866.8370841</v>
      </c>
      <c r="BC133" s="110" t="n">
        <f aca="false">BB133+BC132</f>
        <v>28911171.6036708</v>
      </c>
      <c r="BD133" s="110" t="n">
        <f aca="false">BC133+BD132</f>
        <v>30685065.1530329</v>
      </c>
      <c r="BE133" s="110" t="n">
        <f aca="false">BD133+BE132</f>
        <v>32504541.4580643</v>
      </c>
      <c r="BF133" s="110" t="n">
        <f aca="false">BE133+BF132</f>
        <v>34364020.9967208</v>
      </c>
      <c r="BG133" s="110" t="n">
        <f aca="false">BF133+BG132</f>
        <v>36258331.7528861</v>
      </c>
      <c r="BH133" s="110" t="n">
        <f aca="false">BG133+BH132</f>
        <v>38182616.2438295</v>
      </c>
      <c r="BI133" s="110" t="n">
        <f aca="false">BH133+BI132</f>
        <v>40132400.4208919</v>
      </c>
      <c r="BJ133" s="111" t="n">
        <f aca="false">BI133</f>
        <v>40132400.4208919</v>
      </c>
      <c r="BK133" s="29" t="s">
        <v>571</v>
      </c>
    </row>
    <row r="134" customFormat="false" ht="15" hidden="false" customHeight="false" outlineLevel="0" collapsed="false">
      <c r="A134" s="27" t="s">
        <v>491</v>
      </c>
      <c r="B134" s="110" t="n">
        <f aca="false">B131</f>
        <v>0</v>
      </c>
      <c r="C134" s="110" t="n">
        <f aca="false">B134+C131</f>
        <v>0</v>
      </c>
      <c r="D134" s="110" t="n">
        <f aca="false">C134+D131</f>
        <v>0</v>
      </c>
      <c r="E134" s="110" t="n">
        <f aca="false">D134+E131</f>
        <v>-1500</v>
      </c>
      <c r="F134" s="110" t="n">
        <f aca="false">E134+F131</f>
        <v>-9600</v>
      </c>
      <c r="G134" s="110" t="n">
        <f aca="false">F134+G131</f>
        <v>-11700</v>
      </c>
      <c r="H134" s="110" t="n">
        <f aca="false">G134+H131</f>
        <v>-13800</v>
      </c>
      <c r="I134" s="110" t="n">
        <f aca="false">H134+I131</f>
        <v>-25027.82</v>
      </c>
      <c r="J134" s="110" t="n">
        <f aca="false">I134+J131</f>
        <v>-37627.82</v>
      </c>
      <c r="K134" s="110" t="n">
        <f aca="false">J134+K131</f>
        <v>-100218.3382</v>
      </c>
      <c r="L134" s="110" t="n">
        <f aca="false">K134+L131</f>
        <v>-113055.813225</v>
      </c>
      <c r="M134" s="110" t="n">
        <f aca="false">L134+M131</f>
        <v>-102907.405505</v>
      </c>
      <c r="N134" s="110" t="n">
        <f aca="false">M134+N131</f>
        <v>-107539.003848146</v>
      </c>
      <c r="O134" s="110" t="n">
        <f aca="false">N134+O131</f>
        <v>-44533.7496724691</v>
      </c>
      <c r="P134" s="110" t="n">
        <f aca="false">O134+P131</f>
        <v>84144.1203313003</v>
      </c>
      <c r="Q134" s="110" t="n">
        <f aca="false">P134+Q131</f>
        <v>264800.042886068</v>
      </c>
      <c r="R134" s="110" t="n">
        <f aca="false">Q134+R131</f>
        <v>483784.226843912</v>
      </c>
      <c r="S134" s="110" t="n">
        <f aca="false">R134+S131</f>
        <v>732421.739221848</v>
      </c>
      <c r="T134" s="110" t="n">
        <f aca="false">S134+T131</f>
        <v>993634.841590636</v>
      </c>
      <c r="U134" s="110" t="n">
        <f aca="false">T134+U131</f>
        <v>1310263.25660818</v>
      </c>
      <c r="V134" s="110" t="n">
        <f aca="false">U134+V131</f>
        <v>1691562.07024051</v>
      </c>
      <c r="W134" s="110" t="n">
        <f aca="false">V134+W131</f>
        <v>2086653.01221258</v>
      </c>
      <c r="X134" s="110" t="n">
        <f aca="false">W134+X131</f>
        <v>2535121.50024678</v>
      </c>
      <c r="Y134" s="110" t="n">
        <f aca="false">X134+Y131</f>
        <v>3012633.85653443</v>
      </c>
      <c r="Z134" s="110" t="n">
        <f aca="false">Y134+Z131</f>
        <v>3550563.66091425</v>
      </c>
      <c r="AA134" s="110" t="n">
        <f aca="false">Z134+AA131</f>
        <v>4167932.91121257</v>
      </c>
      <c r="AB134" s="110" t="n">
        <f aca="false">AA134+AB131</f>
        <v>4860641.1646254</v>
      </c>
      <c r="AC134" s="110" t="n">
        <f aca="false">AB134+AC131</f>
        <v>5624903.96333177</v>
      </c>
      <c r="AD134" s="110" t="n">
        <f aca="false">AC134+AD131</f>
        <v>6457023.51197896</v>
      </c>
      <c r="AE134" s="110" t="n">
        <f aca="false">AD134+AE131</f>
        <v>7338651.60808589</v>
      </c>
      <c r="AF134" s="110" t="n">
        <f aca="false">AE134+AF131</f>
        <v>8296420.20701208</v>
      </c>
      <c r="AG134" s="110" t="n">
        <f aca="false">AF134+AG131</f>
        <v>9312263.64410195</v>
      </c>
      <c r="AH134" s="110" t="n">
        <f aca="false">AG134+AH131</f>
        <v>10383234.5693697</v>
      </c>
      <c r="AI134" s="110" t="n">
        <f aca="false">AH134+AI131</f>
        <v>11506520.8094483</v>
      </c>
      <c r="AJ134" s="110" t="n">
        <f aca="false">AI134+AJ131</f>
        <v>12679490.3633214</v>
      </c>
      <c r="AK134" s="110" t="n">
        <f aca="false">AJ134+AK131</f>
        <v>13899644.4913662</v>
      </c>
      <c r="AL134" s="110" t="n">
        <f aca="false">AK134+AL131</f>
        <v>15330690.5150613</v>
      </c>
      <c r="AM134" s="110" t="n">
        <f aca="false">AL134+AM131</f>
        <v>16909529.8631036</v>
      </c>
      <c r="AN134" s="110" t="n">
        <f aca="false">AM134+AN131</f>
        <v>18629205.3633701</v>
      </c>
      <c r="AO134" s="110" t="n">
        <f aca="false">AN134+AO131</f>
        <v>20483116.4218573</v>
      </c>
      <c r="AP134" s="110" t="n">
        <f aca="false">AO134+AP131</f>
        <v>22465000.7166027</v>
      </c>
      <c r="AQ134" s="110" t="n">
        <f aca="false">AP134+AQ131</f>
        <v>24543918.6138031</v>
      </c>
      <c r="AR134" s="110" t="n">
        <f aca="false">AQ134+AR131</f>
        <v>26764155.8924457</v>
      </c>
      <c r="AS134" s="110" t="n">
        <f aca="false">AR134+AS131</f>
        <v>29095242.2482608</v>
      </c>
      <c r="AT134" s="110" t="n">
        <f aca="false">AS134+AT131</f>
        <v>31532028.464121</v>
      </c>
      <c r="AU134" s="110" t="n">
        <f aca="false">AT134+AU131</f>
        <v>34069593.2496298</v>
      </c>
      <c r="AV134" s="110" t="n">
        <f aca="false">AU134+AV131</f>
        <v>36703189.7076617</v>
      </c>
      <c r="AW134" s="110" t="n">
        <f aca="false">AV134+AW131</f>
        <v>39428330.6530503</v>
      </c>
      <c r="AX134" s="110" t="n">
        <f aca="false">AW134+AX131</f>
        <v>42805158.1463855</v>
      </c>
      <c r="AY134" s="110" t="n">
        <f aca="false">AX134+AY131</f>
        <v>46470630.3318669</v>
      </c>
      <c r="AZ134" s="110" t="n">
        <f aca="false">AY134+AZ131</f>
        <v>50412301.0411567</v>
      </c>
      <c r="BA134" s="110" t="n">
        <f aca="false">AZ134+BA131</f>
        <v>54618323.3363238</v>
      </c>
      <c r="BB134" s="110" t="n">
        <f aca="false">BA134+BB131</f>
        <v>59077380.0083472</v>
      </c>
      <c r="BC134" s="110" t="n">
        <f aca="false">BB134+BC131</f>
        <v>63748515.0038395</v>
      </c>
      <c r="BD134" s="110" t="n">
        <f aca="false">BC134+BD131</f>
        <v>68681371.1137594</v>
      </c>
      <c r="BE134" s="110" t="n">
        <f aca="false">BD134+BE131</f>
        <v>73835949.3000733</v>
      </c>
      <c r="BF134" s="110" t="n">
        <f aca="false">BE134+BF131</f>
        <v>79202731.4375167</v>
      </c>
      <c r="BG134" s="110" t="n">
        <f aca="false">BF134+BG131</f>
        <v>84772659.9529091</v>
      </c>
      <c r="BH134" s="110" t="n">
        <f aca="false">BG134+BH131</f>
        <v>90536919.2702618</v>
      </c>
      <c r="BI134" s="110" t="n">
        <f aca="false">BH134+BI131</f>
        <v>96487188.3653008</v>
      </c>
      <c r="BJ134" s="111" t="n">
        <f aca="false">BI134</f>
        <v>96487188.3653008</v>
      </c>
      <c r="BK134" s="29" t="s">
        <v>571</v>
      </c>
    </row>
    <row r="135" customFormat="false" ht="15" hidden="false" customHeight="false" outlineLevel="0" collapsed="false">
      <c r="A135" s="114" t="s">
        <v>584</v>
      </c>
      <c r="B135" s="147" t="n">
        <f aca="false">IF(B129&gt;0,1,0)</f>
        <v>0</v>
      </c>
      <c r="C135" s="147" t="n">
        <f aca="false">IF(B135=1,1,IF(C129&gt;0,1,0))</f>
        <v>0</v>
      </c>
      <c r="D135" s="147" t="n">
        <f aca="false">IF(C135=1,1,IF(D129&gt;0,1,0))</f>
        <v>0</v>
      </c>
      <c r="E135" s="147" t="n">
        <f aca="false">IF(D135=1,1,IF(E129&gt;0,1,0))</f>
        <v>0</v>
      </c>
      <c r="F135" s="147" t="n">
        <f aca="false">IF(E135=1,1,IF(F129&gt;0,1,0))</f>
        <v>0</v>
      </c>
      <c r="G135" s="147" t="n">
        <f aca="false">IF(F135=1,1,IF(G129&gt;0,1,0))</f>
        <v>0</v>
      </c>
      <c r="H135" s="147" t="n">
        <f aca="false">IF(G135=1,1,IF(H129&gt;0,1,0))</f>
        <v>0</v>
      </c>
      <c r="I135" s="147" t="n">
        <f aca="false">IF(H135=1,1,IF(I129&gt;0,1,0))</f>
        <v>0</v>
      </c>
      <c r="J135" s="147" t="n">
        <f aca="false">IF(I135=1,1,IF(J129&gt;0,1,0))</f>
        <v>0</v>
      </c>
      <c r="K135" s="147" t="n">
        <f aca="false">IF(J135=1,1,IF(K129&gt;0,1,0))</f>
        <v>0</v>
      </c>
      <c r="L135" s="147" t="n">
        <f aca="false">IF(K135=1,1,IF(L129&gt;0,1,0))</f>
        <v>0</v>
      </c>
      <c r="M135" s="147" t="n">
        <f aca="false">IF(L135=1,1,IF(M129&gt;0,1,0))</f>
        <v>1</v>
      </c>
      <c r="N135" s="147" t="n">
        <f aca="false">IF(M135=1,1,IF(N129&gt;0,1,0))</f>
        <v>1</v>
      </c>
      <c r="O135" s="147" t="n">
        <f aca="false">IF(N135=1,1,IF(O129&gt;0,1,0))</f>
        <v>1</v>
      </c>
      <c r="P135" s="147" t="n">
        <f aca="false">IF(O135=1,1,IF(P129&gt;0,1,0))</f>
        <v>1</v>
      </c>
      <c r="Q135" s="147" t="n">
        <f aca="false">IF(P135=1,1,IF(Q129&gt;0,1,0))</f>
        <v>1</v>
      </c>
      <c r="R135" s="147" t="n">
        <f aca="false">IF(Q135=1,1,IF(R129&gt;0,1,0))</f>
        <v>1</v>
      </c>
      <c r="S135" s="147" t="n">
        <f aca="false">IF(R135=1,1,IF(S129&gt;0,1,0))</f>
        <v>1</v>
      </c>
      <c r="T135" s="147" t="n">
        <f aca="false">IF(S135=1,1,IF(T129&gt;0,1,0))</f>
        <v>1</v>
      </c>
      <c r="U135" s="147" t="n">
        <f aca="false">IF(T135=1,1,IF(U129&gt;0,1,0))</f>
        <v>1</v>
      </c>
      <c r="V135" s="147" t="n">
        <f aca="false">IF(U135=1,1,IF(V129&gt;0,1,0))</f>
        <v>1</v>
      </c>
      <c r="W135" s="147" t="n">
        <f aca="false">IF(V135=1,1,IF(W129&gt;0,1,0))</f>
        <v>1</v>
      </c>
      <c r="X135" s="147" t="n">
        <f aca="false">IF(W135=1,1,IF(X129&gt;0,1,0))</f>
        <v>1</v>
      </c>
      <c r="Y135" s="147" t="n">
        <f aca="false">IF(X135=1,1,IF(Y129&gt;0,1,0))</f>
        <v>1</v>
      </c>
      <c r="Z135" s="147" t="n">
        <f aca="false">IF(Y135=1,1,IF(Z129&gt;0,1,0))</f>
        <v>1</v>
      </c>
      <c r="AA135" s="147" t="n">
        <f aca="false">IF(Z135=1,1,IF(AA129&gt;0,1,0))</f>
        <v>1</v>
      </c>
      <c r="AB135" s="147" t="n">
        <f aca="false">IF(AA135=1,1,IF(AB129&gt;0,1,0))</f>
        <v>1</v>
      </c>
      <c r="AC135" s="147" t="n">
        <f aca="false">IF(AB135=1,1,IF(AC129&gt;0,1,0))</f>
        <v>1</v>
      </c>
      <c r="AD135" s="147" t="n">
        <f aca="false">IF(AC135=1,1,IF(AD129&gt;0,1,0))</f>
        <v>1</v>
      </c>
      <c r="AE135" s="147" t="n">
        <f aca="false">IF(AD135=1,1,IF(AE129&gt;0,1,0))</f>
        <v>1</v>
      </c>
      <c r="AF135" s="147" t="n">
        <f aca="false">IF(AE135=1,1,IF(AF129&gt;0,1,0))</f>
        <v>1</v>
      </c>
      <c r="AG135" s="147" t="n">
        <f aca="false">IF(AF135=1,1,IF(AG129&gt;0,1,0))</f>
        <v>1</v>
      </c>
      <c r="AH135" s="147" t="n">
        <f aca="false">IF(AG135=1,1,IF(AH129&gt;0,1,0))</f>
        <v>1</v>
      </c>
      <c r="AI135" s="147" t="n">
        <f aca="false">IF(AH135=1,1,IF(AI129&gt;0,1,0))</f>
        <v>1</v>
      </c>
      <c r="AJ135" s="147" t="n">
        <f aca="false">IF(AI135=1,1,IF(AJ129&gt;0,1,0))</f>
        <v>1</v>
      </c>
      <c r="AK135" s="147" t="n">
        <f aca="false">IF(AJ135=1,1,IF(AK129&gt;0,1,0))</f>
        <v>1</v>
      </c>
      <c r="AL135" s="147" t="n">
        <f aca="false">IF(AK135=1,1,IF(AL129&gt;0,1,0))</f>
        <v>1</v>
      </c>
      <c r="AM135" s="147" t="n">
        <f aca="false">IF(AL135=1,1,IF(AM129&gt;0,1,0))</f>
        <v>1</v>
      </c>
      <c r="AN135" s="147" t="n">
        <f aca="false">IF(AM135=1,1,IF(AN129&gt;0,1,0))</f>
        <v>1</v>
      </c>
      <c r="AO135" s="147" t="n">
        <f aca="false">IF(AN135=1,1,IF(AO129&gt;0,1,0))</f>
        <v>1</v>
      </c>
      <c r="AP135" s="147" t="n">
        <f aca="false">IF(AO135=1,1,IF(AP129&gt;0,1,0))</f>
        <v>1</v>
      </c>
      <c r="AQ135" s="147" t="n">
        <f aca="false">IF(AP135=1,1,IF(AQ129&gt;0,1,0))</f>
        <v>1</v>
      </c>
      <c r="AR135" s="147" t="n">
        <f aca="false">IF(AQ135=1,1,IF(AR129&gt;0,1,0))</f>
        <v>1</v>
      </c>
      <c r="AS135" s="147" t="n">
        <f aca="false">IF(AR135=1,1,IF(AS129&gt;0,1,0))</f>
        <v>1</v>
      </c>
      <c r="AT135" s="147" t="n">
        <f aca="false">IF(AS135=1,1,IF(AT129&gt;0,1,0))</f>
        <v>1</v>
      </c>
      <c r="AU135" s="147" t="n">
        <f aca="false">IF(AT135=1,1,IF(AU129&gt;0,1,0))</f>
        <v>1</v>
      </c>
      <c r="AV135" s="147" t="n">
        <f aca="false">IF(AU135=1,1,IF(AV129&gt;0,1,0))</f>
        <v>1</v>
      </c>
      <c r="AW135" s="147" t="n">
        <f aca="false">IF(AV135=1,1,IF(AW129&gt;0,1,0))</f>
        <v>1</v>
      </c>
      <c r="AX135" s="147" t="n">
        <f aca="false">IF(AW135=1,1,IF(AX129&gt;0,1,0))</f>
        <v>1</v>
      </c>
      <c r="AY135" s="147" t="n">
        <f aca="false">IF(AX135=1,1,IF(AY129&gt;0,1,0))</f>
        <v>1</v>
      </c>
      <c r="AZ135" s="147" t="n">
        <f aca="false">IF(AY135=1,1,IF(AZ129&gt;0,1,0))</f>
        <v>1</v>
      </c>
      <c r="BA135" s="147" t="n">
        <f aca="false">IF(AZ135=1,1,IF(BA129&gt;0,1,0))</f>
        <v>1</v>
      </c>
      <c r="BB135" s="147" t="n">
        <f aca="false">IF(BA135=1,1,IF(BB129&gt;0,1,0))</f>
        <v>1</v>
      </c>
      <c r="BC135" s="147" t="n">
        <f aca="false">IF(BB135=1,1,IF(BC129&gt;0,1,0))</f>
        <v>1</v>
      </c>
      <c r="BD135" s="147" t="n">
        <f aca="false">IF(BC135=1,1,IF(BD129&gt;0,1,0))</f>
        <v>1</v>
      </c>
      <c r="BE135" s="147" t="n">
        <f aca="false">IF(BD135=1,1,IF(BE129&gt;0,1,0))</f>
        <v>1</v>
      </c>
      <c r="BF135" s="147" t="n">
        <f aca="false">IF(BE135=1,1,IF(BF129&gt;0,1,0))</f>
        <v>1</v>
      </c>
      <c r="BG135" s="147" t="n">
        <f aca="false">IF(BF135=1,1,IF(BG129&gt;0,1,0))</f>
        <v>1</v>
      </c>
      <c r="BH135" s="147" t="n">
        <f aca="false">IF(BG135=1,1,IF(BH129&gt;0,1,0))</f>
        <v>1</v>
      </c>
      <c r="BI135" s="147" t="n">
        <f aca="false">IF(BH135=1,1,IF(BI129&gt;0,1,0))</f>
        <v>1</v>
      </c>
      <c r="BJ135" s="109" t="n">
        <f aca="false">BI135</f>
        <v>1</v>
      </c>
    </row>
    <row r="136" customFormat="false" ht="15" hidden="false" customHeight="false" outlineLevel="0" collapsed="false">
      <c r="A136" s="27" t="s">
        <v>492</v>
      </c>
      <c r="B136" s="110" t="n">
        <f aca="false">Aportes!B98</f>
        <v>0</v>
      </c>
      <c r="C136" s="110" t="n">
        <f aca="false">Aportes!C98</f>
        <v>0</v>
      </c>
      <c r="D136" s="110" t="n">
        <f aca="false">Aportes!D98</f>
        <v>0</v>
      </c>
      <c r="E136" s="110" t="n">
        <f aca="false">Aportes!E98</f>
        <v>10000</v>
      </c>
      <c r="F136" s="110" t="n">
        <f aca="false">Aportes!F98</f>
        <v>0</v>
      </c>
      <c r="G136" s="110" t="n">
        <f aca="false">Aportes!G98</f>
        <v>0</v>
      </c>
      <c r="H136" s="110" t="n">
        <f aca="false">Aportes!H98</f>
        <v>5000</v>
      </c>
      <c r="I136" s="110" t="n">
        <f aca="false">Aportes!I98</f>
        <v>18000</v>
      </c>
      <c r="J136" s="110" t="n">
        <f aca="false">Aportes!J98</f>
        <v>0</v>
      </c>
      <c r="K136" s="110" t="n">
        <f aca="false">Aportes!K98</f>
        <v>80000</v>
      </c>
      <c r="L136" s="110" t="n">
        <f aca="false">Aportes!L98</f>
        <v>40000</v>
      </c>
      <c r="M136" s="110" t="n">
        <f aca="false">Aportes!M98</f>
        <v>17000</v>
      </c>
      <c r="N136" s="110" t="n">
        <f aca="false">Aportes!N98</f>
        <v>0</v>
      </c>
      <c r="O136" s="110" t="n">
        <f aca="false">Aportes!O98</f>
        <v>0</v>
      </c>
      <c r="P136" s="110" t="n">
        <f aca="false">Aportes!P98</f>
        <v>0</v>
      </c>
      <c r="Q136" s="110" t="n">
        <f aca="false">Aportes!Q98</f>
        <v>0</v>
      </c>
      <c r="R136" s="110" t="n">
        <f aca="false">Aportes!R98</f>
        <v>0</v>
      </c>
      <c r="S136" s="110" t="n">
        <f aca="false">Aportes!S98</f>
        <v>15000</v>
      </c>
      <c r="T136" s="110" t="n">
        <f aca="false">Aportes!T98</f>
        <v>0</v>
      </c>
      <c r="U136" s="110" t="n">
        <f aca="false">Aportes!U98</f>
        <v>0</v>
      </c>
      <c r="V136" s="110" t="n">
        <f aca="false">Aportes!V98</f>
        <v>0</v>
      </c>
      <c r="W136" s="110" t="n">
        <f aca="false">Aportes!W98</f>
        <v>0</v>
      </c>
      <c r="X136" s="110" t="n">
        <f aca="false">Aportes!X98</f>
        <v>0</v>
      </c>
      <c r="Y136" s="110" t="n">
        <f aca="false">Aportes!Y98</f>
        <v>15000</v>
      </c>
      <c r="Z136" s="110" t="n">
        <f aca="false">Aportes!Z98</f>
        <v>0</v>
      </c>
      <c r="AA136" s="110" t="n">
        <f aca="false">Aportes!AA98</f>
        <v>0</v>
      </c>
      <c r="AB136" s="110" t="n">
        <f aca="false">Aportes!AB98</f>
        <v>0</v>
      </c>
      <c r="AC136" s="110" t="n">
        <f aca="false">Aportes!AC98</f>
        <v>0</v>
      </c>
      <c r="AD136" s="110" t="n">
        <f aca="false">Aportes!AD98</f>
        <v>0</v>
      </c>
      <c r="AE136" s="110" t="n">
        <f aca="false">Aportes!AE98</f>
        <v>0</v>
      </c>
      <c r="AF136" s="110" t="n">
        <f aca="false">Aportes!AF98</f>
        <v>0</v>
      </c>
      <c r="AG136" s="110" t="n">
        <f aca="false">Aportes!AG98</f>
        <v>0</v>
      </c>
      <c r="AH136" s="110" t="n">
        <f aca="false">Aportes!AH98</f>
        <v>0</v>
      </c>
      <c r="AI136" s="110" t="n">
        <f aca="false">Aportes!AI98</f>
        <v>0</v>
      </c>
      <c r="AJ136" s="110" t="n">
        <f aca="false">Aportes!AJ98</f>
        <v>0</v>
      </c>
      <c r="AK136" s="110" t="n">
        <f aca="false">Aportes!AK98</f>
        <v>0</v>
      </c>
      <c r="AL136" s="110" t="n">
        <f aca="false">Aportes!AL98</f>
        <v>0</v>
      </c>
      <c r="AM136" s="110" t="n">
        <f aca="false">Aportes!AM98</f>
        <v>0</v>
      </c>
      <c r="AN136" s="110" t="n">
        <f aca="false">Aportes!AN98</f>
        <v>0</v>
      </c>
      <c r="AO136" s="110" t="n">
        <f aca="false">Aportes!AO98</f>
        <v>0</v>
      </c>
      <c r="AP136" s="110" t="n">
        <f aca="false">Aportes!AP98</f>
        <v>0</v>
      </c>
      <c r="AQ136" s="110" t="n">
        <f aca="false">Aportes!AQ98</f>
        <v>0</v>
      </c>
      <c r="AR136" s="110" t="n">
        <f aca="false">Aportes!AR98</f>
        <v>0</v>
      </c>
      <c r="AS136" s="110" t="n">
        <f aca="false">Aportes!AS98</f>
        <v>0</v>
      </c>
      <c r="AT136" s="110" t="n">
        <f aca="false">Aportes!AT98</f>
        <v>0</v>
      </c>
      <c r="AU136" s="110" t="n">
        <f aca="false">Aportes!AU98</f>
        <v>0</v>
      </c>
      <c r="AV136" s="110" t="n">
        <f aca="false">Aportes!AV98</f>
        <v>0</v>
      </c>
      <c r="AW136" s="110" t="n">
        <f aca="false">Aportes!AW98</f>
        <v>0</v>
      </c>
      <c r="AX136" s="110" t="n">
        <f aca="false">Aportes!AX98</f>
        <v>0</v>
      </c>
      <c r="AY136" s="110" t="n">
        <f aca="false">Aportes!AY98</f>
        <v>0</v>
      </c>
      <c r="AZ136" s="110" t="n">
        <f aca="false">Aportes!AZ98</f>
        <v>0</v>
      </c>
      <c r="BA136" s="110" t="n">
        <f aca="false">Aportes!BA98</f>
        <v>0</v>
      </c>
      <c r="BB136" s="110" t="n">
        <f aca="false">Aportes!BB98</f>
        <v>0</v>
      </c>
      <c r="BC136" s="110" t="n">
        <f aca="false">Aportes!BC98</f>
        <v>0</v>
      </c>
      <c r="BD136" s="110" t="n">
        <f aca="false">Aportes!BD98</f>
        <v>0</v>
      </c>
      <c r="BE136" s="110" t="n">
        <f aca="false">Aportes!BE98</f>
        <v>0</v>
      </c>
      <c r="BF136" s="110" t="n">
        <f aca="false">Aportes!BF98</f>
        <v>0</v>
      </c>
      <c r="BG136" s="110" t="n">
        <f aca="false">Aportes!BG98</f>
        <v>0</v>
      </c>
      <c r="BH136" s="110" t="n">
        <f aca="false">Aportes!BH98</f>
        <v>0</v>
      </c>
      <c r="BI136" s="110" t="n">
        <f aca="false">Aportes!BI98</f>
        <v>0</v>
      </c>
      <c r="BJ136" s="111" t="n">
        <f aca="false">SUM(B136:BI136)</f>
        <v>200000</v>
      </c>
    </row>
    <row r="137" customFormat="false" ht="15" hidden="false" customHeight="false" outlineLevel="0" collapsed="false">
      <c r="A137" s="27" t="s">
        <v>585</v>
      </c>
      <c r="B137" s="110" t="n">
        <f aca="false">B131+B136</f>
        <v>0</v>
      </c>
      <c r="C137" s="110" t="n">
        <f aca="false">C131+C136</f>
        <v>0</v>
      </c>
      <c r="D137" s="110" t="n">
        <f aca="false">D131+D136</f>
        <v>0</v>
      </c>
      <c r="E137" s="110" t="n">
        <f aca="false">E131+E136</f>
        <v>8500</v>
      </c>
      <c r="F137" s="110" t="n">
        <f aca="false">F131+F136</f>
        <v>-8100</v>
      </c>
      <c r="G137" s="110" t="n">
        <f aca="false">G131+G136</f>
        <v>-2100</v>
      </c>
      <c r="H137" s="110" t="n">
        <f aca="false">H131+H136</f>
        <v>2900</v>
      </c>
      <c r="I137" s="110" t="n">
        <f aca="false">I131+I136</f>
        <v>6772.18</v>
      </c>
      <c r="J137" s="110" t="n">
        <f aca="false">J131+J136</f>
        <v>-12600</v>
      </c>
      <c r="K137" s="110" t="n">
        <f aca="false">K131+K136</f>
        <v>17409.4818</v>
      </c>
      <c r="L137" s="110" t="n">
        <f aca="false">L131+L136</f>
        <v>27162.524975</v>
      </c>
      <c r="M137" s="110" t="n">
        <f aca="false">M131+M136</f>
        <v>27148.40772</v>
      </c>
      <c r="N137" s="110" t="n">
        <f aca="false">N131+N136</f>
        <v>-4631.59834314561</v>
      </c>
      <c r="O137" s="110" t="n">
        <f aca="false">O131+O136</f>
        <v>63005.2541756765</v>
      </c>
      <c r="P137" s="110" t="n">
        <f aca="false">P131+P136</f>
        <v>128677.870003769</v>
      </c>
      <c r="Q137" s="110" t="n">
        <f aca="false">Q131+Q136</f>
        <v>180655.922554768</v>
      </c>
      <c r="R137" s="110" t="n">
        <f aca="false">R131+R136</f>
        <v>218984.183957843</v>
      </c>
      <c r="S137" s="110" t="n">
        <f aca="false">S131+S136</f>
        <v>263637.512377936</v>
      </c>
      <c r="T137" s="110" t="n">
        <f aca="false">T131+T136</f>
        <v>261213.102368788</v>
      </c>
      <c r="U137" s="110" t="n">
        <f aca="false">U131+U136</f>
        <v>316628.415017544</v>
      </c>
      <c r="V137" s="110" t="n">
        <f aca="false">V131+V136</f>
        <v>381298.813632331</v>
      </c>
      <c r="W137" s="110" t="n">
        <f aca="false">W131+W136</f>
        <v>395090.941972066</v>
      </c>
      <c r="X137" s="110" t="n">
        <f aca="false">X131+X136</f>
        <v>448468.488034206</v>
      </c>
      <c r="Y137" s="110" t="n">
        <f aca="false">Y131+Y136</f>
        <v>492512.356287645</v>
      </c>
      <c r="Z137" s="110" t="n">
        <f aca="false">Z131+Z136</f>
        <v>537929.804379819</v>
      </c>
      <c r="AA137" s="110" t="n">
        <f aca="false">AA131+AA136</f>
        <v>617369.250298327</v>
      </c>
      <c r="AB137" s="110" t="n">
        <f aca="false">AB131+AB136</f>
        <v>692708.253412824</v>
      </c>
      <c r="AC137" s="110" t="n">
        <f aca="false">AC131+AC136</f>
        <v>764262.798706366</v>
      </c>
      <c r="AD137" s="110" t="n">
        <f aca="false">AD131+AD136</f>
        <v>832119.548647194</v>
      </c>
      <c r="AE137" s="110" t="n">
        <f aca="false">AE131+AE136</f>
        <v>881628.096106927</v>
      </c>
      <c r="AF137" s="110" t="n">
        <f aca="false">AF131+AF136</f>
        <v>957768.598926192</v>
      </c>
      <c r="AG137" s="110" t="n">
        <f aca="false">AG131+AG136</f>
        <v>1015843.43708988</v>
      </c>
      <c r="AH137" s="110" t="n">
        <f aca="false">AH131+AH136</f>
        <v>1070970.92526779</v>
      </c>
      <c r="AI137" s="110" t="n">
        <f aca="false">AI131+AI136</f>
        <v>1123286.24007857</v>
      </c>
      <c r="AJ137" s="110" t="n">
        <f aca="false">AJ131+AJ136</f>
        <v>1172969.55387307</v>
      </c>
      <c r="AK137" s="110" t="n">
        <f aca="false">AK131+AK136</f>
        <v>1220154.12804482</v>
      </c>
      <c r="AL137" s="110" t="n">
        <f aca="false">AL131+AL136</f>
        <v>1431046.02369511</v>
      </c>
      <c r="AM137" s="110" t="n">
        <f aca="false">AM131+AM136</f>
        <v>1578839.3480423</v>
      </c>
      <c r="AN137" s="110" t="n">
        <f aca="false">AN131+AN136</f>
        <v>1719675.50026645</v>
      </c>
      <c r="AO137" s="110" t="n">
        <f aca="false">AO131+AO136</f>
        <v>1853911.05848727</v>
      </c>
      <c r="AP137" s="110" t="n">
        <f aca="false">AP131+AP136</f>
        <v>1981884.29474531</v>
      </c>
      <c r="AQ137" s="110" t="n">
        <f aca="false">AQ131+AQ136</f>
        <v>2078917.89720045</v>
      </c>
      <c r="AR137" s="110" t="n">
        <f aca="false">AR131+AR136</f>
        <v>2220237.27864257</v>
      </c>
      <c r="AS137" s="110" t="n">
        <f aca="false">AS131+AS136</f>
        <v>2331086.35581509</v>
      </c>
      <c r="AT137" s="110" t="n">
        <f aca="false">AT131+AT136</f>
        <v>2436786.21586029</v>
      </c>
      <c r="AU137" s="110" t="n">
        <f aca="false">AU131+AU136</f>
        <v>2537564.78550875</v>
      </c>
      <c r="AV137" s="110" t="n">
        <f aca="false">AV131+AV136</f>
        <v>2633596.45803189</v>
      </c>
      <c r="AW137" s="110" t="n">
        <f aca="false">AW131+AW136</f>
        <v>2725140.9453886</v>
      </c>
      <c r="AX137" s="110" t="n">
        <f aca="false">AX131+AX136</f>
        <v>3376827.49333525</v>
      </c>
      <c r="AY137" s="110" t="n">
        <f aca="false">AY131+AY136</f>
        <v>3665472.18548138</v>
      </c>
      <c r="AZ137" s="110" t="n">
        <f aca="false">AZ131+AZ136</f>
        <v>3941670.70928982</v>
      </c>
      <c r="BA137" s="110" t="n">
        <f aca="false">BA131+BA136</f>
        <v>4206022.29516703</v>
      </c>
      <c r="BB137" s="110" t="n">
        <f aca="false">BB131+BB136</f>
        <v>4459056.67202338</v>
      </c>
      <c r="BC137" s="110" t="n">
        <f aca="false">BC131+BC136</f>
        <v>4671134.99549234</v>
      </c>
      <c r="BD137" s="110" t="n">
        <f aca="false">BD131+BD136</f>
        <v>4932856.10991989</v>
      </c>
      <c r="BE137" s="110" t="n">
        <f aca="false">BE131+BE136</f>
        <v>5154578.18631391</v>
      </c>
      <c r="BF137" s="110" t="n">
        <f aca="false">BF131+BF136</f>
        <v>5366782.13744342</v>
      </c>
      <c r="BG137" s="110" t="n">
        <f aca="false">BG131+BG136</f>
        <v>5569928.51539233</v>
      </c>
      <c r="BH137" s="110" t="n">
        <f aca="false">BH131+BH136</f>
        <v>5764259.31735277</v>
      </c>
      <c r="BI137" s="110" t="n">
        <f aca="false">BI131+BI136</f>
        <v>5950269.095039</v>
      </c>
      <c r="BJ137" s="111" t="n">
        <f aca="false">SUM(B137:BI137)</f>
        <v>96687188.3653008</v>
      </c>
    </row>
    <row r="138" customFormat="false" ht="15" hidden="false" customHeight="false" outlineLevel="0" collapsed="false">
      <c r="A138" s="51" t="s">
        <v>494</v>
      </c>
      <c r="B138" s="111" t="n">
        <f aca="false">B137</f>
        <v>0</v>
      </c>
      <c r="C138" s="111" t="n">
        <f aca="false">B138+C137</f>
        <v>0</v>
      </c>
      <c r="D138" s="111" t="n">
        <f aca="false">C138+D137</f>
        <v>0</v>
      </c>
      <c r="E138" s="111" t="n">
        <f aca="false">D138+E137</f>
        <v>8500</v>
      </c>
      <c r="F138" s="111" t="n">
        <f aca="false">E138+F137</f>
        <v>400</v>
      </c>
      <c r="G138" s="111" t="n">
        <f aca="false">F138+G137</f>
        <v>-1700</v>
      </c>
      <c r="H138" s="111" t="n">
        <f aca="false">G138+H137</f>
        <v>1200</v>
      </c>
      <c r="I138" s="111" t="n">
        <f aca="false">H138+I137</f>
        <v>7972.18</v>
      </c>
      <c r="J138" s="111" t="n">
        <f aca="false">I138+J137</f>
        <v>-4627.82</v>
      </c>
      <c r="K138" s="111" t="n">
        <f aca="false">J138+K137</f>
        <v>12781.6618</v>
      </c>
      <c r="L138" s="111" t="n">
        <f aca="false">K138+L137</f>
        <v>39944.186775</v>
      </c>
      <c r="M138" s="111" t="n">
        <f aca="false">L138+M137</f>
        <v>67092.594495</v>
      </c>
      <c r="N138" s="111" t="n">
        <f aca="false">M138+N137</f>
        <v>62460.9961518544</v>
      </c>
      <c r="O138" s="111" t="n">
        <f aca="false">N138+O137</f>
        <v>125466.250327531</v>
      </c>
      <c r="P138" s="111" t="n">
        <f aca="false">O138+P137</f>
        <v>254144.1203313</v>
      </c>
      <c r="Q138" s="111" t="n">
        <f aca="false">P138+Q137</f>
        <v>434800.042886068</v>
      </c>
      <c r="R138" s="111" t="n">
        <f aca="false">Q138+R137</f>
        <v>653784.226843912</v>
      </c>
      <c r="S138" s="111" t="n">
        <f aca="false">R138+S137</f>
        <v>917421.739221848</v>
      </c>
      <c r="T138" s="111" t="n">
        <f aca="false">S138+T137</f>
        <v>1178634.84159064</v>
      </c>
      <c r="U138" s="111" t="n">
        <f aca="false">T138+U137</f>
        <v>1495263.25660818</v>
      </c>
      <c r="V138" s="111" t="n">
        <f aca="false">U138+V137</f>
        <v>1876562.07024051</v>
      </c>
      <c r="W138" s="111" t="n">
        <f aca="false">V138+W137</f>
        <v>2271653.01221258</v>
      </c>
      <c r="X138" s="111" t="n">
        <f aca="false">W138+X137</f>
        <v>2720121.50024678</v>
      </c>
      <c r="Y138" s="111" t="n">
        <f aca="false">X138+Y137</f>
        <v>3212633.85653443</v>
      </c>
      <c r="Z138" s="111" t="n">
        <f aca="false">Y138+Z137</f>
        <v>3750563.66091425</v>
      </c>
      <c r="AA138" s="111" t="n">
        <f aca="false">Z138+AA137</f>
        <v>4367932.91121258</v>
      </c>
      <c r="AB138" s="111" t="n">
        <f aca="false">AA138+AB137</f>
        <v>5060641.1646254</v>
      </c>
      <c r="AC138" s="111" t="n">
        <f aca="false">AB138+AC137</f>
        <v>5824903.96333177</v>
      </c>
      <c r="AD138" s="111" t="n">
        <f aca="false">AC138+AD137</f>
        <v>6657023.51197896</v>
      </c>
      <c r="AE138" s="111" t="n">
        <f aca="false">AD138+AE137</f>
        <v>7538651.60808589</v>
      </c>
      <c r="AF138" s="111" t="n">
        <f aca="false">AE138+AF137</f>
        <v>8496420.20701208</v>
      </c>
      <c r="AG138" s="111" t="n">
        <f aca="false">AF138+AG137</f>
        <v>9512263.64410195</v>
      </c>
      <c r="AH138" s="111" t="n">
        <f aca="false">AG138+AH137</f>
        <v>10583234.5693697</v>
      </c>
      <c r="AI138" s="111" t="n">
        <f aca="false">AH138+AI137</f>
        <v>11706520.8094483</v>
      </c>
      <c r="AJ138" s="111" t="n">
        <f aca="false">AI138+AJ137</f>
        <v>12879490.3633214</v>
      </c>
      <c r="AK138" s="111" t="n">
        <f aca="false">AJ138+AK137</f>
        <v>14099644.4913662</v>
      </c>
      <c r="AL138" s="111" t="n">
        <f aca="false">AK138+AL137</f>
        <v>15530690.5150613</v>
      </c>
      <c r="AM138" s="111" t="n">
        <f aca="false">AL138+AM137</f>
        <v>17109529.8631036</v>
      </c>
      <c r="AN138" s="111" t="n">
        <f aca="false">AM138+AN137</f>
        <v>18829205.3633701</v>
      </c>
      <c r="AO138" s="111" t="n">
        <f aca="false">AN138+AO137</f>
        <v>20683116.4218573</v>
      </c>
      <c r="AP138" s="111" t="n">
        <f aca="false">AO138+AP137</f>
        <v>22665000.7166027</v>
      </c>
      <c r="AQ138" s="111" t="n">
        <f aca="false">AP138+AQ137</f>
        <v>24743918.6138031</v>
      </c>
      <c r="AR138" s="111" t="n">
        <f aca="false">AQ138+AR137</f>
        <v>26964155.8924457</v>
      </c>
      <c r="AS138" s="111" t="n">
        <f aca="false">AR138+AS137</f>
        <v>29295242.2482608</v>
      </c>
      <c r="AT138" s="111" t="n">
        <f aca="false">AS138+AT137</f>
        <v>31732028.464121</v>
      </c>
      <c r="AU138" s="111" t="n">
        <f aca="false">AT138+AU137</f>
        <v>34269593.2496298</v>
      </c>
      <c r="AV138" s="111" t="n">
        <f aca="false">AU138+AV137</f>
        <v>36903189.7076617</v>
      </c>
      <c r="AW138" s="111" t="n">
        <f aca="false">AV138+AW137</f>
        <v>39628330.6530503</v>
      </c>
      <c r="AX138" s="111" t="n">
        <f aca="false">AW138+AX137</f>
        <v>43005158.1463855</v>
      </c>
      <c r="AY138" s="111" t="n">
        <f aca="false">AX138+AY137</f>
        <v>46670630.3318669</v>
      </c>
      <c r="AZ138" s="111" t="n">
        <f aca="false">AY138+AZ137</f>
        <v>50612301.0411567</v>
      </c>
      <c r="BA138" s="111" t="n">
        <f aca="false">AZ138+BA137</f>
        <v>54818323.3363238</v>
      </c>
      <c r="BB138" s="111" t="n">
        <f aca="false">BA138+BB137</f>
        <v>59277380.0083472</v>
      </c>
      <c r="BC138" s="111" t="n">
        <f aca="false">BB138+BC137</f>
        <v>63948515.0038395</v>
      </c>
      <c r="BD138" s="111" t="n">
        <f aca="false">BC138+BD137</f>
        <v>68881371.1137594</v>
      </c>
      <c r="BE138" s="111" t="n">
        <f aca="false">BD138+BE137</f>
        <v>74035949.3000733</v>
      </c>
      <c r="BF138" s="111" t="n">
        <f aca="false">BE138+BF137</f>
        <v>79402731.4375167</v>
      </c>
      <c r="BG138" s="111" t="n">
        <f aca="false">BF138+BG137</f>
        <v>84972659.9529091</v>
      </c>
      <c r="BH138" s="111" t="n">
        <f aca="false">BG138+BH137</f>
        <v>90736919.2702618</v>
      </c>
      <c r="BI138" s="111" t="n">
        <f aca="false">BH138+BI137</f>
        <v>96687188.3653008</v>
      </c>
      <c r="BJ138" s="111" t="n">
        <f aca="false">BI138</f>
        <v>96687188.3653008</v>
      </c>
      <c r="BK138" s="29" t="s">
        <v>571</v>
      </c>
    </row>
    <row r="139" customFormat="false" ht="15" hidden="false" customHeight="false" outlineLevel="0" collapsed="false">
      <c r="A139" s="27" t="s">
        <v>586</v>
      </c>
      <c r="B139" s="108" t="n">
        <f aca="false">IF(B134&lt;0,B$5,0)</f>
        <v>0</v>
      </c>
      <c r="C139" s="108" t="n">
        <f aca="false">IF(C134&lt;0,C$5,0)</f>
        <v>0</v>
      </c>
      <c r="D139" s="108" t="n">
        <f aca="false">IF(D134&lt;0,D$5,0)</f>
        <v>0</v>
      </c>
      <c r="E139" s="108" t="n">
        <f aca="false">IF(E134&lt;0,E$5,0)</f>
        <v>4</v>
      </c>
      <c r="F139" s="108" t="n">
        <f aca="false">IF(F134&lt;0,F$5,0)</f>
        <v>5</v>
      </c>
      <c r="G139" s="108" t="n">
        <f aca="false">IF(G134&lt;0,G$5,0)</f>
        <v>6</v>
      </c>
      <c r="H139" s="108" t="n">
        <f aca="false">IF(H134&lt;0,H$5,0)</f>
        <v>7</v>
      </c>
      <c r="I139" s="108" t="n">
        <f aca="false">IF(I134&lt;0,I$5,0)</f>
        <v>8</v>
      </c>
      <c r="J139" s="108" t="n">
        <f aca="false">IF(J134&lt;0,J$5,0)</f>
        <v>9</v>
      </c>
      <c r="K139" s="108" t="n">
        <f aca="false">IF(K134&lt;0,K$5,0)</f>
        <v>10</v>
      </c>
      <c r="L139" s="108" t="n">
        <f aca="false">IF(L134&lt;0,L$5,0)</f>
        <v>11</v>
      </c>
      <c r="M139" s="108" t="n">
        <f aca="false">IF(M134&lt;0,M$5,0)</f>
        <v>12</v>
      </c>
      <c r="N139" s="108" t="n">
        <f aca="false">IF(N134&lt;0,N$5,0)</f>
        <v>13</v>
      </c>
      <c r="O139" s="108" t="n">
        <f aca="false">IF(O134&lt;0,O$5,0)</f>
        <v>14</v>
      </c>
      <c r="P139" s="108" t="n">
        <f aca="false">IF(P134&lt;0,P$5,0)</f>
        <v>0</v>
      </c>
      <c r="Q139" s="108" t="n">
        <f aca="false">IF(Q134&lt;0,Q$5,0)</f>
        <v>0</v>
      </c>
      <c r="R139" s="108" t="n">
        <f aca="false">IF(R134&lt;0,R$5,0)</f>
        <v>0</v>
      </c>
      <c r="S139" s="108" t="n">
        <f aca="false">IF(S134&lt;0,S$5,0)</f>
        <v>0</v>
      </c>
      <c r="T139" s="108" t="n">
        <f aca="false">IF(T134&lt;0,T$5,0)</f>
        <v>0</v>
      </c>
      <c r="U139" s="108" t="n">
        <f aca="false">IF(U134&lt;0,U$5,0)</f>
        <v>0</v>
      </c>
      <c r="V139" s="108" t="n">
        <f aca="false">IF(V134&lt;0,V$5,0)</f>
        <v>0</v>
      </c>
      <c r="W139" s="108" t="n">
        <f aca="false">IF(W134&lt;0,W$5,0)</f>
        <v>0</v>
      </c>
      <c r="X139" s="108" t="n">
        <f aca="false">IF(X134&lt;0,X$5,0)</f>
        <v>0</v>
      </c>
      <c r="Y139" s="108" t="n">
        <f aca="false">IF(Y134&lt;0,Y$5,0)</f>
        <v>0</v>
      </c>
      <c r="Z139" s="108" t="n">
        <f aca="false">IF(Z134&lt;0,Z$5,0)</f>
        <v>0</v>
      </c>
      <c r="AA139" s="108" t="n">
        <f aca="false">IF(AA134&lt;0,AA$5,0)</f>
        <v>0</v>
      </c>
      <c r="AB139" s="108" t="n">
        <f aca="false">IF(AB134&lt;0,AB$5,0)</f>
        <v>0</v>
      </c>
      <c r="AC139" s="108" t="n">
        <f aca="false">IF(AC134&lt;0,AC$5,0)</f>
        <v>0</v>
      </c>
      <c r="AD139" s="108" t="n">
        <f aca="false">IF(AD134&lt;0,AD$5,0)</f>
        <v>0</v>
      </c>
      <c r="AE139" s="108" t="n">
        <f aca="false">IF(AE134&lt;0,AE$5,0)</f>
        <v>0</v>
      </c>
      <c r="AF139" s="108" t="n">
        <f aca="false">IF(AF134&lt;0,AF$5,0)</f>
        <v>0</v>
      </c>
      <c r="AG139" s="108" t="n">
        <f aca="false">IF(AG134&lt;0,AG$5,0)</f>
        <v>0</v>
      </c>
      <c r="AH139" s="108" t="n">
        <f aca="false">IF(AH134&lt;0,AH$5,0)</f>
        <v>0</v>
      </c>
      <c r="AI139" s="108" t="n">
        <f aca="false">IF(AI134&lt;0,AI$5,0)</f>
        <v>0</v>
      </c>
      <c r="AJ139" s="108" t="n">
        <f aca="false">IF(AJ134&lt;0,AJ$5,0)</f>
        <v>0</v>
      </c>
      <c r="AK139" s="108" t="n">
        <f aca="false">IF(AK134&lt;0,AK$5,0)</f>
        <v>0</v>
      </c>
      <c r="AL139" s="108" t="n">
        <f aca="false">IF(AL134&lt;0,AL$5,0)</f>
        <v>0</v>
      </c>
      <c r="AM139" s="108" t="n">
        <f aca="false">IF(AM134&lt;0,AM$5,0)</f>
        <v>0</v>
      </c>
      <c r="AN139" s="108" t="n">
        <f aca="false">IF(AN134&lt;0,AN$5,0)</f>
        <v>0</v>
      </c>
      <c r="AO139" s="108" t="n">
        <f aca="false">IF(AO134&lt;0,AO$5,0)</f>
        <v>0</v>
      </c>
      <c r="AP139" s="108" t="n">
        <f aca="false">IF(AP134&lt;0,AP$5,0)</f>
        <v>0</v>
      </c>
      <c r="AQ139" s="108" t="n">
        <f aca="false">IF(AQ134&lt;0,AQ$5,0)</f>
        <v>0</v>
      </c>
      <c r="AR139" s="108" t="n">
        <f aca="false">IF(AR134&lt;0,AR$5,0)</f>
        <v>0</v>
      </c>
      <c r="AS139" s="108" t="n">
        <f aca="false">IF(AS134&lt;0,AS$5,0)</f>
        <v>0</v>
      </c>
      <c r="AT139" s="108" t="n">
        <f aca="false">IF(AT134&lt;0,AT$5,0)</f>
        <v>0</v>
      </c>
      <c r="AU139" s="108" t="n">
        <f aca="false">IF(AU134&lt;0,AU$5,0)</f>
        <v>0</v>
      </c>
      <c r="AV139" s="108" t="n">
        <f aca="false">IF(AV134&lt;0,AV$5,0)</f>
        <v>0</v>
      </c>
      <c r="AW139" s="108" t="n">
        <f aca="false">IF(AW134&lt;0,AW$5,0)</f>
        <v>0</v>
      </c>
      <c r="AX139" s="108" t="n">
        <f aca="false">IF(AX134&lt;0,AX$5,0)</f>
        <v>0</v>
      </c>
      <c r="AY139" s="108" t="n">
        <f aca="false">IF(AY134&lt;0,AY$5,0)</f>
        <v>0</v>
      </c>
      <c r="AZ139" s="108" t="n">
        <f aca="false">IF(AZ134&lt;0,AZ$5,0)</f>
        <v>0</v>
      </c>
      <c r="BA139" s="108" t="n">
        <f aca="false">IF(BA134&lt;0,BA$5,0)</f>
        <v>0</v>
      </c>
      <c r="BB139" s="108" t="n">
        <f aca="false">IF(BB134&lt;0,BB$5,0)</f>
        <v>0</v>
      </c>
      <c r="BC139" s="108" t="n">
        <f aca="false">IF(BC134&lt;0,BC$5,0)</f>
        <v>0</v>
      </c>
      <c r="BD139" s="108" t="n">
        <f aca="false">IF(BD134&lt;0,BD$5,0)</f>
        <v>0</v>
      </c>
      <c r="BE139" s="108" t="n">
        <f aca="false">IF(BE134&lt;0,BE$5,0)</f>
        <v>0</v>
      </c>
      <c r="BF139" s="108" t="n">
        <f aca="false">IF(BF134&lt;0,BF$5,0)</f>
        <v>0</v>
      </c>
      <c r="BG139" s="108" t="n">
        <f aca="false">IF(BG134&lt;0,BG$5,0)</f>
        <v>0</v>
      </c>
      <c r="BH139" s="108" t="n">
        <f aca="false">IF(BH134&lt;0,BH$5,0)</f>
        <v>0</v>
      </c>
      <c r="BI139" s="108" t="n">
        <f aca="false">IF(BI134&lt;0,BI$5,0)</f>
        <v>0</v>
      </c>
      <c r="BJ139" s="109" t="n">
        <f aca="false">BI139</f>
        <v>0</v>
      </c>
      <c r="BK139" s="29" t="s">
        <v>587</v>
      </c>
    </row>
    <row r="140" customFormat="false" ht="15" hidden="false" customHeight="false" outlineLevel="0" collapsed="false">
      <c r="A140" s="27" t="s">
        <v>588</v>
      </c>
      <c r="B140" s="108" t="n">
        <f aca="false">IF(B133&lt;0,B$5,0)</f>
        <v>0</v>
      </c>
      <c r="C140" s="108" t="n">
        <f aca="false">IF(C133&lt;0,C$5,0)</f>
        <v>0</v>
      </c>
      <c r="D140" s="108" t="n">
        <f aca="false">IF(D133&lt;0,D$5,0)</f>
        <v>0</v>
      </c>
      <c r="E140" s="108" t="n">
        <f aca="false">IF(E133&lt;0,E$5,0)</f>
        <v>4</v>
      </c>
      <c r="F140" s="108" t="n">
        <f aca="false">IF(F133&lt;0,F$5,0)</f>
        <v>5</v>
      </c>
      <c r="G140" s="108" t="n">
        <f aca="false">IF(G133&lt;0,G$5,0)</f>
        <v>6</v>
      </c>
      <c r="H140" s="108" t="n">
        <f aca="false">IF(H133&lt;0,H$5,0)</f>
        <v>7</v>
      </c>
      <c r="I140" s="108" t="n">
        <f aca="false">IF(I133&lt;0,I$5,0)</f>
        <v>8</v>
      </c>
      <c r="J140" s="108" t="n">
        <f aca="false">IF(J133&lt;0,J$5,0)</f>
        <v>9</v>
      </c>
      <c r="K140" s="108" t="n">
        <f aca="false">IF(K133&lt;0,K$5,0)</f>
        <v>10</v>
      </c>
      <c r="L140" s="108" t="n">
        <f aca="false">IF(L133&lt;0,L$5,0)</f>
        <v>11</v>
      </c>
      <c r="M140" s="108" t="n">
        <f aca="false">IF(M133&lt;0,M$5,0)</f>
        <v>12</v>
      </c>
      <c r="N140" s="108" t="n">
        <f aca="false">IF(N133&lt;0,N$5,0)</f>
        <v>13</v>
      </c>
      <c r="O140" s="108" t="n">
        <f aca="false">IF(O133&lt;0,O$5,0)</f>
        <v>14</v>
      </c>
      <c r="P140" s="108" t="n">
        <f aca="false">IF(P133&lt;0,P$5,0)</f>
        <v>0</v>
      </c>
      <c r="Q140" s="108" t="n">
        <f aca="false">IF(Q133&lt;0,Q$5,0)</f>
        <v>0</v>
      </c>
      <c r="R140" s="108" t="n">
        <f aca="false">IF(R133&lt;0,R$5,0)</f>
        <v>0</v>
      </c>
      <c r="S140" s="108" t="n">
        <f aca="false">IF(S133&lt;0,S$5,0)</f>
        <v>0</v>
      </c>
      <c r="T140" s="108" t="n">
        <f aca="false">IF(T133&lt;0,T$5,0)</f>
        <v>0</v>
      </c>
      <c r="U140" s="108" t="n">
        <f aca="false">IF(U133&lt;0,U$5,0)</f>
        <v>0</v>
      </c>
      <c r="V140" s="108" t="n">
        <f aca="false">IF(V133&lt;0,V$5,0)</f>
        <v>0</v>
      </c>
      <c r="W140" s="108" t="n">
        <f aca="false">IF(W133&lt;0,W$5,0)</f>
        <v>0</v>
      </c>
      <c r="X140" s="108" t="n">
        <f aca="false">IF(X133&lt;0,X$5,0)</f>
        <v>0</v>
      </c>
      <c r="Y140" s="108" t="n">
        <f aca="false">IF(Y133&lt;0,Y$5,0)</f>
        <v>0</v>
      </c>
      <c r="Z140" s="108" t="n">
        <f aca="false">IF(Z133&lt;0,Z$5,0)</f>
        <v>0</v>
      </c>
      <c r="AA140" s="108" t="n">
        <f aca="false">IF(AA133&lt;0,AA$5,0)</f>
        <v>0</v>
      </c>
      <c r="AB140" s="108" t="n">
        <f aca="false">IF(AB133&lt;0,AB$5,0)</f>
        <v>0</v>
      </c>
      <c r="AC140" s="108" t="n">
        <f aca="false">IF(AC133&lt;0,AC$5,0)</f>
        <v>0</v>
      </c>
      <c r="AD140" s="108" t="n">
        <f aca="false">IF(AD133&lt;0,AD$5,0)</f>
        <v>0</v>
      </c>
      <c r="AE140" s="108" t="n">
        <f aca="false">IF(AE133&lt;0,AE$5,0)</f>
        <v>0</v>
      </c>
      <c r="AF140" s="108" t="n">
        <f aca="false">IF(AF133&lt;0,AF$5,0)</f>
        <v>0</v>
      </c>
      <c r="AG140" s="108" t="n">
        <f aca="false">IF(AG133&lt;0,AG$5,0)</f>
        <v>0</v>
      </c>
      <c r="AH140" s="108" t="n">
        <f aca="false">IF(AH133&lt;0,AH$5,0)</f>
        <v>0</v>
      </c>
      <c r="AI140" s="108" t="n">
        <f aca="false">IF(AI133&lt;0,AI$5,0)</f>
        <v>0</v>
      </c>
      <c r="AJ140" s="108" t="n">
        <f aca="false">IF(AJ133&lt;0,AJ$5,0)</f>
        <v>0</v>
      </c>
      <c r="AK140" s="108" t="n">
        <f aca="false">IF(AK133&lt;0,AK$5,0)</f>
        <v>0</v>
      </c>
      <c r="AL140" s="108" t="n">
        <f aca="false">IF(AL133&lt;0,AL$5,0)</f>
        <v>0</v>
      </c>
      <c r="AM140" s="108" t="n">
        <f aca="false">IF(AM133&lt;0,AM$5,0)</f>
        <v>0</v>
      </c>
      <c r="AN140" s="108" t="n">
        <f aca="false">IF(AN133&lt;0,AN$5,0)</f>
        <v>0</v>
      </c>
      <c r="AO140" s="108" t="n">
        <f aca="false">IF(AO133&lt;0,AO$5,0)</f>
        <v>0</v>
      </c>
      <c r="AP140" s="108" t="n">
        <f aca="false">IF(AP133&lt;0,AP$5,0)</f>
        <v>0</v>
      </c>
      <c r="AQ140" s="108" t="n">
        <f aca="false">IF(AQ133&lt;0,AQ$5,0)</f>
        <v>0</v>
      </c>
      <c r="AR140" s="108" t="n">
        <f aca="false">IF(AR133&lt;0,AR$5,0)</f>
        <v>0</v>
      </c>
      <c r="AS140" s="108" t="n">
        <f aca="false">IF(AS133&lt;0,AS$5,0)</f>
        <v>0</v>
      </c>
      <c r="AT140" s="108" t="n">
        <f aca="false">IF(AT133&lt;0,AT$5,0)</f>
        <v>0</v>
      </c>
      <c r="AU140" s="108" t="n">
        <f aca="false">IF(AU133&lt;0,AU$5,0)</f>
        <v>0</v>
      </c>
      <c r="AV140" s="108" t="n">
        <f aca="false">IF(AV133&lt;0,AV$5,0)</f>
        <v>0</v>
      </c>
      <c r="AW140" s="108" t="n">
        <f aca="false">IF(AW133&lt;0,AW$5,0)</f>
        <v>0</v>
      </c>
      <c r="AX140" s="108" t="n">
        <f aca="false">IF(AX133&lt;0,AX$5,0)</f>
        <v>0</v>
      </c>
      <c r="AY140" s="108" t="n">
        <f aca="false">IF(AY133&lt;0,AY$5,0)</f>
        <v>0</v>
      </c>
      <c r="AZ140" s="108" t="n">
        <f aca="false">IF(AZ133&lt;0,AZ$5,0)</f>
        <v>0</v>
      </c>
      <c r="BA140" s="108" t="n">
        <f aca="false">IF(BA133&lt;0,BA$5,0)</f>
        <v>0</v>
      </c>
      <c r="BB140" s="108" t="n">
        <f aca="false">IF(BB133&lt;0,BB$5,0)</f>
        <v>0</v>
      </c>
      <c r="BC140" s="108" t="n">
        <f aca="false">IF(BC133&lt;0,BC$5,0)</f>
        <v>0</v>
      </c>
      <c r="BD140" s="108" t="n">
        <f aca="false">IF(BD133&lt;0,BD$5,0)</f>
        <v>0</v>
      </c>
      <c r="BE140" s="108" t="n">
        <f aca="false">IF(BE133&lt;0,BE$5,0)</f>
        <v>0</v>
      </c>
      <c r="BF140" s="108" t="n">
        <f aca="false">IF(BF133&lt;0,BF$5,0)</f>
        <v>0</v>
      </c>
      <c r="BG140" s="108" t="n">
        <f aca="false">IF(BG133&lt;0,BG$5,0)</f>
        <v>0</v>
      </c>
      <c r="BH140" s="108" t="n">
        <f aca="false">IF(BH133&lt;0,BH$5,0)</f>
        <v>0</v>
      </c>
      <c r="BI140" s="108" t="n">
        <f aca="false">IF(BI133&lt;0,BI$5,0)</f>
        <v>0</v>
      </c>
      <c r="BJ140" s="109" t="n">
        <f aca="false">BI140</f>
        <v>0</v>
      </c>
      <c r="BK140" s="29" t="s">
        <v>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BK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0" topLeftCell="B21" activePane="bottomRight" state="frozen"/>
      <selection pane="topLeft" activeCell="A1" activeCellId="0" sqref="A1"/>
      <selection pane="topRight" activeCell="B1" activeCellId="0" sqref="B1"/>
      <selection pane="bottomLeft" activeCell="A21" activeCellId="0" sqref="A2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20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1" min="6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591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3" t="s">
        <v>592</v>
      </c>
    </row>
    <row r="4" customFormat="false" ht="18" hidden="false" customHeight="true" outlineLevel="0" collapsed="false">
      <c r="A4" s="25" t="s">
        <v>593</v>
      </c>
      <c r="B4" s="26"/>
      <c r="C4" s="26"/>
      <c r="D4" s="26"/>
      <c r="E4" s="26"/>
      <c r="F4" s="26"/>
    </row>
    <row r="5" customFormat="false" ht="15" hidden="false" customHeight="false" outlineLevel="0" collapsed="false">
      <c r="A5" s="52" t="s">
        <v>594</v>
      </c>
      <c r="B5" s="52" t="s">
        <v>595</v>
      </c>
      <c r="C5" s="52" t="s">
        <v>596</v>
      </c>
      <c r="D5" s="52" t="s">
        <v>597</v>
      </c>
      <c r="E5" s="52" t="s">
        <v>289</v>
      </c>
    </row>
    <row r="6" customFormat="false" ht="15" hidden="false" customHeight="false" outlineLevel="0" collapsed="false">
      <c r="A6" s="173" t="n">
        <v>46146</v>
      </c>
      <c r="B6" s="138" t="s">
        <v>598</v>
      </c>
      <c r="C6" s="174" t="s">
        <v>599</v>
      </c>
      <c r="D6" s="175" t="n">
        <v>6000</v>
      </c>
      <c r="E6" s="174" t="s">
        <v>600</v>
      </c>
    </row>
    <row r="7" customFormat="false" ht="15" hidden="false" customHeight="false" outlineLevel="0" collapsed="false">
      <c r="A7" s="176" t="n">
        <v>46254</v>
      </c>
      <c r="B7" s="77" t="s">
        <v>601</v>
      </c>
      <c r="C7" s="177" t="s">
        <v>467</v>
      </c>
      <c r="D7" s="178" t="n">
        <v>9127.82</v>
      </c>
      <c r="E7" s="177" t="s">
        <v>602</v>
      </c>
      <c r="F7" s="29" t="s">
        <v>603</v>
      </c>
    </row>
    <row r="8" customFormat="false" ht="15" hidden="false" customHeight="false" outlineLevel="0" collapsed="false">
      <c r="A8" s="173" t="n">
        <v>46477</v>
      </c>
      <c r="B8" s="138" t="s">
        <v>604</v>
      </c>
      <c r="C8" s="174" t="s">
        <v>605</v>
      </c>
      <c r="D8" s="175" t="n">
        <v>12000</v>
      </c>
      <c r="E8" s="174" t="s">
        <v>600</v>
      </c>
    </row>
    <row r="9" customFormat="false" ht="15" hidden="false" customHeight="false" outlineLevel="0" collapsed="false">
      <c r="A9" s="173" t="n">
        <v>46568</v>
      </c>
      <c r="B9" s="138" t="s">
        <v>606</v>
      </c>
      <c r="C9" s="174" t="s">
        <v>467</v>
      </c>
      <c r="D9" s="175" t="n">
        <v>6000</v>
      </c>
      <c r="E9" s="174" t="s">
        <v>600</v>
      </c>
    </row>
    <row r="10" customFormat="false" ht="15" hidden="false" customHeight="false" outlineLevel="0" collapsed="false">
      <c r="A10" s="173" t="n">
        <v>46599</v>
      </c>
      <c r="B10" s="138" t="s">
        <v>607</v>
      </c>
      <c r="C10" s="174" t="s">
        <v>605</v>
      </c>
      <c r="D10" s="175" t="n">
        <v>25000</v>
      </c>
      <c r="E10" s="174" t="s">
        <v>600</v>
      </c>
    </row>
    <row r="11" customFormat="false" ht="15" hidden="false" customHeight="false" outlineLevel="0" collapsed="false">
      <c r="A11" s="173" t="n">
        <v>46934</v>
      </c>
      <c r="B11" s="138" t="s">
        <v>467</v>
      </c>
      <c r="C11" s="174" t="s">
        <v>467</v>
      </c>
      <c r="D11" s="175" t="n">
        <v>15000</v>
      </c>
      <c r="E11" s="174" t="s">
        <v>600</v>
      </c>
    </row>
    <row r="12" customFormat="false" ht="15" hidden="false" customHeight="false" outlineLevel="0" collapsed="false">
      <c r="A12" s="173" t="n">
        <v>47299</v>
      </c>
      <c r="B12" s="138" t="s">
        <v>467</v>
      </c>
      <c r="C12" s="174" t="s">
        <v>467</v>
      </c>
      <c r="D12" s="175" t="n">
        <v>25000</v>
      </c>
      <c r="E12" s="174" t="s">
        <v>600</v>
      </c>
    </row>
    <row r="13" customFormat="false" ht="15" hidden="false" customHeight="false" outlineLevel="0" collapsed="false">
      <c r="A13" s="173" t="n">
        <v>47664</v>
      </c>
      <c r="B13" s="138" t="s">
        <v>467</v>
      </c>
      <c r="C13" s="174" t="s">
        <v>467</v>
      </c>
      <c r="D13" s="175" t="n">
        <v>30000</v>
      </c>
      <c r="E13" s="174" t="s">
        <v>600</v>
      </c>
    </row>
    <row r="14" customFormat="false" ht="15" hidden="false" customHeight="false" outlineLevel="0" collapsed="false">
      <c r="C14" s="98" t="s">
        <v>326</v>
      </c>
      <c r="D14" s="179" t="n">
        <f aca="false">SUM(D6:D13)</f>
        <v>128127.82</v>
      </c>
    </row>
    <row r="16" customFormat="false" ht="15" hidden="false" customHeight="false" outlineLevel="0" collapsed="false">
      <c r="A16" s="100" t="s">
        <v>325</v>
      </c>
      <c r="B16" s="101" t="n">
        <v>46023</v>
      </c>
      <c r="C16" s="101" t="n">
        <v>46054</v>
      </c>
      <c r="D16" s="101" t="n">
        <v>46082</v>
      </c>
      <c r="E16" s="101" t="n">
        <v>46113</v>
      </c>
      <c r="F16" s="101" t="n">
        <v>46143</v>
      </c>
      <c r="G16" s="101" t="n">
        <v>46174</v>
      </c>
      <c r="H16" s="101" t="n">
        <v>46204</v>
      </c>
      <c r="I16" s="101" t="n">
        <v>46235</v>
      </c>
      <c r="J16" s="101" t="n">
        <v>46266</v>
      </c>
      <c r="K16" s="101" t="n">
        <v>46296</v>
      </c>
      <c r="L16" s="101" t="n">
        <v>46327</v>
      </c>
      <c r="M16" s="101" t="n">
        <v>46357</v>
      </c>
      <c r="N16" s="101" t="n">
        <v>46388</v>
      </c>
      <c r="O16" s="101" t="n">
        <v>46419</v>
      </c>
      <c r="P16" s="101" t="n">
        <v>46447</v>
      </c>
      <c r="Q16" s="101" t="n">
        <v>46478</v>
      </c>
      <c r="R16" s="101" t="n">
        <v>46508</v>
      </c>
      <c r="S16" s="101" t="n">
        <v>46539</v>
      </c>
      <c r="T16" s="101" t="n">
        <v>46569</v>
      </c>
      <c r="U16" s="101" t="n">
        <v>46600</v>
      </c>
      <c r="V16" s="101" t="n">
        <v>46631</v>
      </c>
      <c r="W16" s="101" t="n">
        <v>46661</v>
      </c>
      <c r="X16" s="101" t="n">
        <v>46692</v>
      </c>
      <c r="Y16" s="101" t="n">
        <v>46722</v>
      </c>
      <c r="Z16" s="101" t="n">
        <v>46753</v>
      </c>
      <c r="AA16" s="101" t="n">
        <v>46784</v>
      </c>
      <c r="AB16" s="101" t="n">
        <v>46813</v>
      </c>
      <c r="AC16" s="101" t="n">
        <v>46844</v>
      </c>
      <c r="AD16" s="101" t="n">
        <v>46874</v>
      </c>
      <c r="AE16" s="101" t="n">
        <v>46905</v>
      </c>
      <c r="AF16" s="101" t="n">
        <v>46935</v>
      </c>
      <c r="AG16" s="101" t="n">
        <v>46966</v>
      </c>
      <c r="AH16" s="101" t="n">
        <v>46997</v>
      </c>
      <c r="AI16" s="101" t="n">
        <v>47027</v>
      </c>
      <c r="AJ16" s="101" t="n">
        <v>47058</v>
      </c>
      <c r="AK16" s="101" t="n">
        <v>47088</v>
      </c>
      <c r="AL16" s="101" t="n">
        <v>47119</v>
      </c>
      <c r="AM16" s="101" t="n">
        <v>47150</v>
      </c>
      <c r="AN16" s="101" t="n">
        <v>47178</v>
      </c>
      <c r="AO16" s="101" t="n">
        <v>47209</v>
      </c>
      <c r="AP16" s="101" t="n">
        <v>47239</v>
      </c>
      <c r="AQ16" s="101" t="n">
        <v>47270</v>
      </c>
      <c r="AR16" s="101" t="n">
        <v>47300</v>
      </c>
      <c r="AS16" s="101" t="n">
        <v>47331</v>
      </c>
      <c r="AT16" s="101" t="n">
        <v>47362</v>
      </c>
      <c r="AU16" s="101" t="n">
        <v>47392</v>
      </c>
      <c r="AV16" s="101" t="n">
        <v>47423</v>
      </c>
      <c r="AW16" s="101" t="n">
        <v>47453</v>
      </c>
      <c r="AX16" s="101" t="n">
        <v>47484</v>
      </c>
      <c r="AY16" s="101" t="n">
        <v>47515</v>
      </c>
      <c r="AZ16" s="101" t="n">
        <v>47543</v>
      </c>
      <c r="BA16" s="101" t="n">
        <v>47574</v>
      </c>
      <c r="BB16" s="101" t="n">
        <v>47604</v>
      </c>
      <c r="BC16" s="101" t="n">
        <v>47635</v>
      </c>
      <c r="BD16" s="101" t="n">
        <v>47665</v>
      </c>
      <c r="BE16" s="101" t="n">
        <v>47696</v>
      </c>
      <c r="BF16" s="101" t="n">
        <v>47727</v>
      </c>
      <c r="BG16" s="101" t="n">
        <v>47757</v>
      </c>
      <c r="BH16" s="101" t="n">
        <v>47788</v>
      </c>
      <c r="BI16" s="101" t="n">
        <v>47818</v>
      </c>
      <c r="BJ16" s="102" t="s">
        <v>326</v>
      </c>
      <c r="BK16" s="102" t="s">
        <v>327</v>
      </c>
    </row>
    <row r="17" customFormat="false" ht="15" hidden="false" customHeight="false" outlineLevel="0" collapsed="false">
      <c r="A17" s="103" t="s">
        <v>328</v>
      </c>
      <c r="B17" s="104" t="n">
        <v>1</v>
      </c>
      <c r="C17" s="104" t="n">
        <v>2</v>
      </c>
      <c r="D17" s="104" t="n">
        <v>3</v>
      </c>
      <c r="E17" s="104" t="n">
        <v>4</v>
      </c>
      <c r="F17" s="104" t="n">
        <v>5</v>
      </c>
      <c r="G17" s="104" t="n">
        <v>6</v>
      </c>
      <c r="H17" s="104" t="n">
        <v>7</v>
      </c>
      <c r="I17" s="104" t="n">
        <v>8</v>
      </c>
      <c r="J17" s="104" t="n">
        <v>9</v>
      </c>
      <c r="K17" s="104" t="n">
        <v>10</v>
      </c>
      <c r="L17" s="104" t="n">
        <v>11</v>
      </c>
      <c r="M17" s="104" t="n">
        <v>12</v>
      </c>
      <c r="N17" s="104" t="n">
        <v>13</v>
      </c>
      <c r="O17" s="104" t="n">
        <v>14</v>
      </c>
      <c r="P17" s="104" t="n">
        <v>15</v>
      </c>
      <c r="Q17" s="104" t="n">
        <v>16</v>
      </c>
      <c r="R17" s="104" t="n">
        <v>17</v>
      </c>
      <c r="S17" s="104" t="n">
        <v>18</v>
      </c>
      <c r="T17" s="104" t="n">
        <v>19</v>
      </c>
      <c r="U17" s="104" t="n">
        <v>20</v>
      </c>
      <c r="V17" s="104" t="n">
        <v>21</v>
      </c>
      <c r="W17" s="104" t="n">
        <v>22</v>
      </c>
      <c r="X17" s="104" t="n">
        <v>23</v>
      </c>
      <c r="Y17" s="104" t="n">
        <v>24</v>
      </c>
      <c r="Z17" s="104" t="n">
        <v>25</v>
      </c>
      <c r="AA17" s="104" t="n">
        <v>26</v>
      </c>
      <c r="AB17" s="104" t="n">
        <v>27</v>
      </c>
      <c r="AC17" s="104" t="n">
        <v>28</v>
      </c>
      <c r="AD17" s="104" t="n">
        <v>29</v>
      </c>
      <c r="AE17" s="104" t="n">
        <v>30</v>
      </c>
      <c r="AF17" s="104" t="n">
        <v>31</v>
      </c>
      <c r="AG17" s="104" t="n">
        <v>32</v>
      </c>
      <c r="AH17" s="104" t="n">
        <v>33</v>
      </c>
      <c r="AI17" s="104" t="n">
        <v>34</v>
      </c>
      <c r="AJ17" s="104" t="n">
        <v>35</v>
      </c>
      <c r="AK17" s="104" t="n">
        <v>36</v>
      </c>
      <c r="AL17" s="104" t="n">
        <v>37</v>
      </c>
      <c r="AM17" s="104" t="n">
        <v>38</v>
      </c>
      <c r="AN17" s="104" t="n">
        <v>39</v>
      </c>
      <c r="AO17" s="104" t="n">
        <v>40</v>
      </c>
      <c r="AP17" s="104" t="n">
        <v>41</v>
      </c>
      <c r="AQ17" s="104" t="n">
        <v>42</v>
      </c>
      <c r="AR17" s="104" t="n">
        <v>43</v>
      </c>
      <c r="AS17" s="104" t="n">
        <v>44</v>
      </c>
      <c r="AT17" s="104" t="n">
        <v>45</v>
      </c>
      <c r="AU17" s="104" t="n">
        <v>46</v>
      </c>
      <c r="AV17" s="104" t="n">
        <v>47</v>
      </c>
      <c r="AW17" s="104" t="n">
        <v>48</v>
      </c>
      <c r="AX17" s="104" t="n">
        <v>49</v>
      </c>
      <c r="AY17" s="104" t="n">
        <v>50</v>
      </c>
      <c r="AZ17" s="104" t="n">
        <v>51</v>
      </c>
      <c r="BA17" s="104" t="n">
        <v>52</v>
      </c>
      <c r="BB17" s="104" t="n">
        <v>53</v>
      </c>
      <c r="BC17" s="104" t="n">
        <v>54</v>
      </c>
      <c r="BD17" s="104" t="n">
        <v>55</v>
      </c>
      <c r="BE17" s="104" t="n">
        <v>56</v>
      </c>
      <c r="BF17" s="104" t="n">
        <v>57</v>
      </c>
      <c r="BG17" s="104" t="n">
        <v>58</v>
      </c>
      <c r="BH17" s="104" t="n">
        <v>59</v>
      </c>
      <c r="BI17" s="104" t="n">
        <v>60</v>
      </c>
    </row>
    <row r="18" customFormat="false" ht="15" hidden="false" customHeight="false" outlineLevel="0" collapsed="false">
      <c r="A18" s="103" t="s">
        <v>329</v>
      </c>
      <c r="B18" s="105" t="n">
        <f aca="false">YEAR(B16)</f>
        <v>2026</v>
      </c>
      <c r="C18" s="105" t="n">
        <f aca="false">YEAR(C16)</f>
        <v>2026</v>
      </c>
      <c r="D18" s="105" t="n">
        <f aca="false">YEAR(D16)</f>
        <v>2026</v>
      </c>
      <c r="E18" s="105" t="n">
        <f aca="false">YEAR(E16)</f>
        <v>2026</v>
      </c>
      <c r="F18" s="105" t="n">
        <f aca="false">YEAR(F16)</f>
        <v>2026</v>
      </c>
      <c r="G18" s="105" t="n">
        <f aca="false">YEAR(G16)</f>
        <v>2026</v>
      </c>
      <c r="H18" s="105" t="n">
        <f aca="false">YEAR(H16)</f>
        <v>2026</v>
      </c>
      <c r="I18" s="105" t="n">
        <f aca="false">YEAR(I16)</f>
        <v>2026</v>
      </c>
      <c r="J18" s="105" t="n">
        <f aca="false">YEAR(J16)</f>
        <v>2026</v>
      </c>
      <c r="K18" s="105" t="n">
        <f aca="false">YEAR(K16)</f>
        <v>2026</v>
      </c>
      <c r="L18" s="105" t="n">
        <f aca="false">YEAR(L16)</f>
        <v>2026</v>
      </c>
      <c r="M18" s="105" t="n">
        <f aca="false">YEAR(M16)</f>
        <v>2026</v>
      </c>
      <c r="N18" s="105" t="n">
        <f aca="false">YEAR(N16)</f>
        <v>2027</v>
      </c>
      <c r="O18" s="105" t="n">
        <f aca="false">YEAR(O16)</f>
        <v>2027</v>
      </c>
      <c r="P18" s="105" t="n">
        <f aca="false">YEAR(P16)</f>
        <v>2027</v>
      </c>
      <c r="Q18" s="105" t="n">
        <f aca="false">YEAR(Q16)</f>
        <v>2027</v>
      </c>
      <c r="R18" s="105" t="n">
        <f aca="false">YEAR(R16)</f>
        <v>2027</v>
      </c>
      <c r="S18" s="105" t="n">
        <f aca="false">YEAR(S16)</f>
        <v>2027</v>
      </c>
      <c r="T18" s="105" t="n">
        <f aca="false">YEAR(T16)</f>
        <v>2027</v>
      </c>
      <c r="U18" s="105" t="n">
        <f aca="false">YEAR(U16)</f>
        <v>2027</v>
      </c>
      <c r="V18" s="105" t="n">
        <f aca="false">YEAR(V16)</f>
        <v>2027</v>
      </c>
      <c r="W18" s="105" t="n">
        <f aca="false">YEAR(W16)</f>
        <v>2027</v>
      </c>
      <c r="X18" s="105" t="n">
        <f aca="false">YEAR(X16)</f>
        <v>2027</v>
      </c>
      <c r="Y18" s="105" t="n">
        <f aca="false">YEAR(Y16)</f>
        <v>2027</v>
      </c>
      <c r="Z18" s="105" t="n">
        <f aca="false">YEAR(Z16)</f>
        <v>2028</v>
      </c>
      <c r="AA18" s="105" t="n">
        <f aca="false">YEAR(AA16)</f>
        <v>2028</v>
      </c>
      <c r="AB18" s="105" t="n">
        <f aca="false">YEAR(AB16)</f>
        <v>2028</v>
      </c>
      <c r="AC18" s="105" t="n">
        <f aca="false">YEAR(AC16)</f>
        <v>2028</v>
      </c>
      <c r="AD18" s="105" t="n">
        <f aca="false">YEAR(AD16)</f>
        <v>2028</v>
      </c>
      <c r="AE18" s="105" t="n">
        <f aca="false">YEAR(AE16)</f>
        <v>2028</v>
      </c>
      <c r="AF18" s="105" t="n">
        <f aca="false">YEAR(AF16)</f>
        <v>2028</v>
      </c>
      <c r="AG18" s="105" t="n">
        <f aca="false">YEAR(AG16)</f>
        <v>2028</v>
      </c>
      <c r="AH18" s="105" t="n">
        <f aca="false">YEAR(AH16)</f>
        <v>2028</v>
      </c>
      <c r="AI18" s="105" t="n">
        <f aca="false">YEAR(AI16)</f>
        <v>2028</v>
      </c>
      <c r="AJ18" s="105" t="n">
        <f aca="false">YEAR(AJ16)</f>
        <v>2028</v>
      </c>
      <c r="AK18" s="105" t="n">
        <f aca="false">YEAR(AK16)</f>
        <v>2028</v>
      </c>
      <c r="AL18" s="105" t="n">
        <f aca="false">YEAR(AL16)</f>
        <v>2029</v>
      </c>
      <c r="AM18" s="105" t="n">
        <f aca="false">YEAR(AM16)</f>
        <v>2029</v>
      </c>
      <c r="AN18" s="105" t="n">
        <f aca="false">YEAR(AN16)</f>
        <v>2029</v>
      </c>
      <c r="AO18" s="105" t="n">
        <f aca="false">YEAR(AO16)</f>
        <v>2029</v>
      </c>
      <c r="AP18" s="105" t="n">
        <f aca="false">YEAR(AP16)</f>
        <v>2029</v>
      </c>
      <c r="AQ18" s="105" t="n">
        <f aca="false">YEAR(AQ16)</f>
        <v>2029</v>
      </c>
      <c r="AR18" s="105" t="n">
        <f aca="false">YEAR(AR16)</f>
        <v>2029</v>
      </c>
      <c r="AS18" s="105" t="n">
        <f aca="false">YEAR(AS16)</f>
        <v>2029</v>
      </c>
      <c r="AT18" s="105" t="n">
        <f aca="false">YEAR(AT16)</f>
        <v>2029</v>
      </c>
      <c r="AU18" s="105" t="n">
        <f aca="false">YEAR(AU16)</f>
        <v>2029</v>
      </c>
      <c r="AV18" s="105" t="n">
        <f aca="false">YEAR(AV16)</f>
        <v>2029</v>
      </c>
      <c r="AW18" s="105" t="n">
        <f aca="false">YEAR(AW16)</f>
        <v>2029</v>
      </c>
      <c r="AX18" s="105" t="n">
        <f aca="false">YEAR(AX16)</f>
        <v>2030</v>
      </c>
      <c r="AY18" s="105" t="n">
        <f aca="false">YEAR(AY16)</f>
        <v>2030</v>
      </c>
      <c r="AZ18" s="105" t="n">
        <f aca="false">YEAR(AZ16)</f>
        <v>2030</v>
      </c>
      <c r="BA18" s="105" t="n">
        <f aca="false">YEAR(BA16)</f>
        <v>2030</v>
      </c>
      <c r="BB18" s="105" t="n">
        <f aca="false">YEAR(BB16)</f>
        <v>2030</v>
      </c>
      <c r="BC18" s="105" t="n">
        <f aca="false">YEAR(BC16)</f>
        <v>2030</v>
      </c>
      <c r="BD18" s="105" t="n">
        <f aca="false">YEAR(BD16)</f>
        <v>2030</v>
      </c>
      <c r="BE18" s="105" t="n">
        <f aca="false">YEAR(BE16)</f>
        <v>2030</v>
      </c>
      <c r="BF18" s="105" t="n">
        <f aca="false">YEAR(BF16)</f>
        <v>2030</v>
      </c>
      <c r="BG18" s="105" t="n">
        <f aca="false">YEAR(BG16)</f>
        <v>2030</v>
      </c>
      <c r="BH18" s="105" t="n">
        <f aca="false">YEAR(BH16)</f>
        <v>2030</v>
      </c>
      <c r="BI18" s="105" t="n">
        <f aca="false">YEAR(BI16)</f>
        <v>2030</v>
      </c>
    </row>
    <row r="20" customFormat="false" ht="18" hidden="false" customHeight="true" outlineLevel="0" collapsed="false">
      <c r="A20" s="25" t="s">
        <v>608</v>
      </c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</row>
    <row r="21" customFormat="false" ht="15" hidden="false" customHeight="false" outlineLevel="0" collapsed="false">
      <c r="A21" s="27" t="s">
        <v>467</v>
      </c>
      <c r="B21" s="110" t="n">
        <f aca="false">SUMIFS($D$6:$D$13,$C$6:$C$13,"Equipamentos",$A$6:$A$13,"&gt;="&amp;B$16,$A$6:$A$13,"&lt;="&amp;EOMONTH(B$16,0))</f>
        <v>0</v>
      </c>
      <c r="C21" s="110" t="n">
        <f aca="false">SUMIFS($D$6:$D$13,$C$6:$C$13,"Equipamentos",$A$6:$A$13,"&gt;="&amp;C$16,$A$6:$A$13,"&lt;="&amp;EOMONTH(C$16,0))</f>
        <v>0</v>
      </c>
      <c r="D21" s="110" t="n">
        <f aca="false">SUMIFS($D$6:$D$13,$C$6:$C$13,"Equipamentos",$A$6:$A$13,"&gt;="&amp;D$16,$A$6:$A$13,"&lt;="&amp;EOMONTH(D$16,0))</f>
        <v>0</v>
      </c>
      <c r="E21" s="110" t="n">
        <f aca="false">SUMIFS($D$6:$D$13,$C$6:$C$13,"Equipamentos",$A$6:$A$13,"&gt;="&amp;E$16,$A$6:$A$13,"&lt;="&amp;EOMONTH(E$16,0))</f>
        <v>0</v>
      </c>
      <c r="F21" s="110" t="n">
        <f aca="false">SUMIFS($D$6:$D$13,$C$6:$C$13,"Equipamentos",$A$6:$A$13,"&gt;="&amp;F$16,$A$6:$A$13,"&lt;="&amp;EOMONTH(F$16,0))</f>
        <v>0</v>
      </c>
      <c r="G21" s="110" t="n">
        <f aca="false">SUMIFS($D$6:$D$13,$C$6:$C$13,"Equipamentos",$A$6:$A$13,"&gt;="&amp;G$16,$A$6:$A$13,"&lt;="&amp;EOMONTH(G$16,0))</f>
        <v>0</v>
      </c>
      <c r="H21" s="110" t="n">
        <f aca="false">SUMIFS($D$6:$D$13,$C$6:$C$13,"Equipamentos",$A$6:$A$13,"&gt;="&amp;H$16,$A$6:$A$13,"&lt;="&amp;EOMONTH(H$16,0))</f>
        <v>0</v>
      </c>
      <c r="I21" s="110" t="n">
        <f aca="false">SUMIFS($D$6:$D$13,$C$6:$C$13,"Equipamentos",$A$6:$A$13,"&gt;="&amp;I$16,$A$6:$A$13,"&lt;="&amp;EOMONTH(I$16,0))</f>
        <v>9127.82</v>
      </c>
      <c r="J21" s="110" t="n">
        <f aca="false">SUMIFS($D$6:$D$13,$C$6:$C$13,"Equipamentos",$A$6:$A$13,"&gt;="&amp;J$16,$A$6:$A$13,"&lt;="&amp;EOMONTH(J$16,0))</f>
        <v>0</v>
      </c>
      <c r="K21" s="110" t="n">
        <f aca="false">SUMIFS($D$6:$D$13,$C$6:$C$13,"Equipamentos",$A$6:$A$13,"&gt;="&amp;K$16,$A$6:$A$13,"&lt;="&amp;EOMONTH(K$16,0))</f>
        <v>0</v>
      </c>
      <c r="L21" s="110" t="n">
        <f aca="false">SUMIFS($D$6:$D$13,$C$6:$C$13,"Equipamentos",$A$6:$A$13,"&gt;="&amp;L$16,$A$6:$A$13,"&lt;="&amp;EOMONTH(L$16,0))</f>
        <v>0</v>
      </c>
      <c r="M21" s="110" t="n">
        <f aca="false">SUMIFS($D$6:$D$13,$C$6:$C$13,"Equipamentos",$A$6:$A$13,"&gt;="&amp;M$16,$A$6:$A$13,"&lt;="&amp;EOMONTH(M$16,0))</f>
        <v>0</v>
      </c>
      <c r="N21" s="110" t="n">
        <f aca="false">SUMIFS($D$6:$D$13,$C$6:$C$13,"Equipamentos",$A$6:$A$13,"&gt;="&amp;N$16,$A$6:$A$13,"&lt;="&amp;EOMONTH(N$16,0))</f>
        <v>0</v>
      </c>
      <c r="O21" s="110" t="n">
        <f aca="false">SUMIFS($D$6:$D$13,$C$6:$C$13,"Equipamentos",$A$6:$A$13,"&gt;="&amp;O$16,$A$6:$A$13,"&lt;="&amp;EOMONTH(O$16,0))</f>
        <v>0</v>
      </c>
      <c r="P21" s="110" t="n">
        <f aca="false">SUMIFS($D$6:$D$13,$C$6:$C$13,"Equipamentos",$A$6:$A$13,"&gt;="&amp;P$16,$A$6:$A$13,"&lt;="&amp;EOMONTH(P$16,0))</f>
        <v>0</v>
      </c>
      <c r="Q21" s="110" t="n">
        <f aca="false">SUMIFS($D$6:$D$13,$C$6:$C$13,"Equipamentos",$A$6:$A$13,"&gt;="&amp;Q$16,$A$6:$A$13,"&lt;="&amp;EOMONTH(Q$16,0))</f>
        <v>0</v>
      </c>
      <c r="R21" s="110" t="n">
        <f aca="false">SUMIFS($D$6:$D$13,$C$6:$C$13,"Equipamentos",$A$6:$A$13,"&gt;="&amp;R$16,$A$6:$A$13,"&lt;="&amp;EOMONTH(R$16,0))</f>
        <v>0</v>
      </c>
      <c r="S21" s="110" t="n">
        <f aca="false">SUMIFS($D$6:$D$13,$C$6:$C$13,"Equipamentos",$A$6:$A$13,"&gt;="&amp;S$16,$A$6:$A$13,"&lt;="&amp;EOMONTH(S$16,0))</f>
        <v>6000</v>
      </c>
      <c r="T21" s="110" t="n">
        <f aca="false">SUMIFS($D$6:$D$13,$C$6:$C$13,"Equipamentos",$A$6:$A$13,"&gt;="&amp;T$16,$A$6:$A$13,"&lt;="&amp;EOMONTH(T$16,0))</f>
        <v>0</v>
      </c>
      <c r="U21" s="110" t="n">
        <f aca="false">SUMIFS($D$6:$D$13,$C$6:$C$13,"Equipamentos",$A$6:$A$13,"&gt;="&amp;U$16,$A$6:$A$13,"&lt;="&amp;EOMONTH(U$16,0))</f>
        <v>0</v>
      </c>
      <c r="V21" s="110" t="n">
        <f aca="false">SUMIFS($D$6:$D$13,$C$6:$C$13,"Equipamentos",$A$6:$A$13,"&gt;="&amp;V$16,$A$6:$A$13,"&lt;="&amp;EOMONTH(V$16,0))</f>
        <v>0</v>
      </c>
      <c r="W21" s="110" t="n">
        <f aca="false">SUMIFS($D$6:$D$13,$C$6:$C$13,"Equipamentos",$A$6:$A$13,"&gt;="&amp;W$16,$A$6:$A$13,"&lt;="&amp;EOMONTH(W$16,0))</f>
        <v>0</v>
      </c>
      <c r="X21" s="110" t="n">
        <f aca="false">SUMIFS($D$6:$D$13,$C$6:$C$13,"Equipamentos",$A$6:$A$13,"&gt;="&amp;X$16,$A$6:$A$13,"&lt;="&amp;EOMONTH(X$16,0))</f>
        <v>0</v>
      </c>
      <c r="Y21" s="110" t="n">
        <f aca="false">SUMIFS($D$6:$D$13,$C$6:$C$13,"Equipamentos",$A$6:$A$13,"&gt;="&amp;Y$16,$A$6:$A$13,"&lt;="&amp;EOMONTH(Y$16,0))</f>
        <v>0</v>
      </c>
      <c r="Z21" s="110" t="n">
        <f aca="false">SUMIFS($D$6:$D$13,$C$6:$C$13,"Equipamentos",$A$6:$A$13,"&gt;="&amp;Z$16,$A$6:$A$13,"&lt;="&amp;EOMONTH(Z$16,0))</f>
        <v>0</v>
      </c>
      <c r="AA21" s="110" t="n">
        <f aca="false">SUMIFS($D$6:$D$13,$C$6:$C$13,"Equipamentos",$A$6:$A$13,"&gt;="&amp;AA$16,$A$6:$A$13,"&lt;="&amp;EOMONTH(AA$16,0))</f>
        <v>0</v>
      </c>
      <c r="AB21" s="110" t="n">
        <f aca="false">SUMIFS($D$6:$D$13,$C$6:$C$13,"Equipamentos",$A$6:$A$13,"&gt;="&amp;AB$16,$A$6:$A$13,"&lt;="&amp;EOMONTH(AB$16,0))</f>
        <v>0</v>
      </c>
      <c r="AC21" s="110" t="n">
        <f aca="false">SUMIFS($D$6:$D$13,$C$6:$C$13,"Equipamentos",$A$6:$A$13,"&gt;="&amp;AC$16,$A$6:$A$13,"&lt;="&amp;EOMONTH(AC$16,0))</f>
        <v>0</v>
      </c>
      <c r="AD21" s="110" t="n">
        <f aca="false">SUMIFS($D$6:$D$13,$C$6:$C$13,"Equipamentos",$A$6:$A$13,"&gt;="&amp;AD$16,$A$6:$A$13,"&lt;="&amp;EOMONTH(AD$16,0))</f>
        <v>0</v>
      </c>
      <c r="AE21" s="110" t="n">
        <f aca="false">SUMIFS($D$6:$D$13,$C$6:$C$13,"Equipamentos",$A$6:$A$13,"&gt;="&amp;AE$16,$A$6:$A$13,"&lt;="&amp;EOMONTH(AE$16,0))</f>
        <v>15000</v>
      </c>
      <c r="AF21" s="110" t="n">
        <f aca="false">SUMIFS($D$6:$D$13,$C$6:$C$13,"Equipamentos",$A$6:$A$13,"&gt;="&amp;AF$16,$A$6:$A$13,"&lt;="&amp;EOMONTH(AF$16,0))</f>
        <v>0</v>
      </c>
      <c r="AG21" s="110" t="n">
        <f aca="false">SUMIFS($D$6:$D$13,$C$6:$C$13,"Equipamentos",$A$6:$A$13,"&gt;="&amp;AG$16,$A$6:$A$13,"&lt;="&amp;EOMONTH(AG$16,0))</f>
        <v>0</v>
      </c>
      <c r="AH21" s="110" t="n">
        <f aca="false">SUMIFS($D$6:$D$13,$C$6:$C$13,"Equipamentos",$A$6:$A$13,"&gt;="&amp;AH$16,$A$6:$A$13,"&lt;="&amp;EOMONTH(AH$16,0))</f>
        <v>0</v>
      </c>
      <c r="AI21" s="110" t="n">
        <f aca="false">SUMIFS($D$6:$D$13,$C$6:$C$13,"Equipamentos",$A$6:$A$13,"&gt;="&amp;AI$16,$A$6:$A$13,"&lt;="&amp;EOMONTH(AI$16,0))</f>
        <v>0</v>
      </c>
      <c r="AJ21" s="110" t="n">
        <f aca="false">SUMIFS($D$6:$D$13,$C$6:$C$13,"Equipamentos",$A$6:$A$13,"&gt;="&amp;AJ$16,$A$6:$A$13,"&lt;="&amp;EOMONTH(AJ$16,0))</f>
        <v>0</v>
      </c>
      <c r="AK21" s="110" t="n">
        <f aca="false">SUMIFS($D$6:$D$13,$C$6:$C$13,"Equipamentos",$A$6:$A$13,"&gt;="&amp;AK$16,$A$6:$A$13,"&lt;="&amp;EOMONTH(AK$16,0))</f>
        <v>0</v>
      </c>
      <c r="AL21" s="110" t="n">
        <f aca="false">SUMIFS($D$6:$D$13,$C$6:$C$13,"Equipamentos",$A$6:$A$13,"&gt;="&amp;AL$16,$A$6:$A$13,"&lt;="&amp;EOMONTH(AL$16,0))</f>
        <v>0</v>
      </c>
      <c r="AM21" s="110" t="n">
        <f aca="false">SUMIFS($D$6:$D$13,$C$6:$C$13,"Equipamentos",$A$6:$A$13,"&gt;="&amp;AM$16,$A$6:$A$13,"&lt;="&amp;EOMONTH(AM$16,0))</f>
        <v>0</v>
      </c>
      <c r="AN21" s="110" t="n">
        <f aca="false">SUMIFS($D$6:$D$13,$C$6:$C$13,"Equipamentos",$A$6:$A$13,"&gt;="&amp;AN$16,$A$6:$A$13,"&lt;="&amp;EOMONTH(AN$16,0))</f>
        <v>0</v>
      </c>
      <c r="AO21" s="110" t="n">
        <f aca="false">SUMIFS($D$6:$D$13,$C$6:$C$13,"Equipamentos",$A$6:$A$13,"&gt;="&amp;AO$16,$A$6:$A$13,"&lt;="&amp;EOMONTH(AO$16,0))</f>
        <v>0</v>
      </c>
      <c r="AP21" s="110" t="n">
        <f aca="false">SUMIFS($D$6:$D$13,$C$6:$C$13,"Equipamentos",$A$6:$A$13,"&gt;="&amp;AP$16,$A$6:$A$13,"&lt;="&amp;EOMONTH(AP$16,0))</f>
        <v>0</v>
      </c>
      <c r="AQ21" s="110" t="n">
        <f aca="false">SUMIFS($D$6:$D$13,$C$6:$C$13,"Equipamentos",$A$6:$A$13,"&gt;="&amp;AQ$16,$A$6:$A$13,"&lt;="&amp;EOMONTH(AQ$16,0))</f>
        <v>25000</v>
      </c>
      <c r="AR21" s="110" t="n">
        <f aca="false">SUMIFS($D$6:$D$13,$C$6:$C$13,"Equipamentos",$A$6:$A$13,"&gt;="&amp;AR$16,$A$6:$A$13,"&lt;="&amp;EOMONTH(AR$16,0))</f>
        <v>0</v>
      </c>
      <c r="AS21" s="110" t="n">
        <f aca="false">SUMIFS($D$6:$D$13,$C$6:$C$13,"Equipamentos",$A$6:$A$13,"&gt;="&amp;AS$16,$A$6:$A$13,"&lt;="&amp;EOMONTH(AS$16,0))</f>
        <v>0</v>
      </c>
      <c r="AT21" s="110" t="n">
        <f aca="false">SUMIFS($D$6:$D$13,$C$6:$C$13,"Equipamentos",$A$6:$A$13,"&gt;="&amp;AT$16,$A$6:$A$13,"&lt;="&amp;EOMONTH(AT$16,0))</f>
        <v>0</v>
      </c>
      <c r="AU21" s="110" t="n">
        <f aca="false">SUMIFS($D$6:$D$13,$C$6:$C$13,"Equipamentos",$A$6:$A$13,"&gt;="&amp;AU$16,$A$6:$A$13,"&lt;="&amp;EOMONTH(AU$16,0))</f>
        <v>0</v>
      </c>
      <c r="AV21" s="110" t="n">
        <f aca="false">SUMIFS($D$6:$D$13,$C$6:$C$13,"Equipamentos",$A$6:$A$13,"&gt;="&amp;AV$16,$A$6:$A$13,"&lt;="&amp;EOMONTH(AV$16,0))</f>
        <v>0</v>
      </c>
      <c r="AW21" s="110" t="n">
        <f aca="false">SUMIFS($D$6:$D$13,$C$6:$C$13,"Equipamentos",$A$6:$A$13,"&gt;="&amp;AW$16,$A$6:$A$13,"&lt;="&amp;EOMONTH(AW$16,0))</f>
        <v>0</v>
      </c>
      <c r="AX21" s="110" t="n">
        <f aca="false">SUMIFS($D$6:$D$13,$C$6:$C$13,"Equipamentos",$A$6:$A$13,"&gt;="&amp;AX$16,$A$6:$A$13,"&lt;="&amp;EOMONTH(AX$16,0))</f>
        <v>0</v>
      </c>
      <c r="AY21" s="110" t="n">
        <f aca="false">SUMIFS($D$6:$D$13,$C$6:$C$13,"Equipamentos",$A$6:$A$13,"&gt;="&amp;AY$16,$A$6:$A$13,"&lt;="&amp;EOMONTH(AY$16,0))</f>
        <v>0</v>
      </c>
      <c r="AZ21" s="110" t="n">
        <f aca="false">SUMIFS($D$6:$D$13,$C$6:$C$13,"Equipamentos",$A$6:$A$13,"&gt;="&amp;AZ$16,$A$6:$A$13,"&lt;="&amp;EOMONTH(AZ$16,0))</f>
        <v>0</v>
      </c>
      <c r="BA21" s="110" t="n">
        <f aca="false">SUMIFS($D$6:$D$13,$C$6:$C$13,"Equipamentos",$A$6:$A$13,"&gt;="&amp;BA$16,$A$6:$A$13,"&lt;="&amp;EOMONTH(BA$16,0))</f>
        <v>0</v>
      </c>
      <c r="BB21" s="110" t="n">
        <f aca="false">SUMIFS($D$6:$D$13,$C$6:$C$13,"Equipamentos",$A$6:$A$13,"&gt;="&amp;BB$16,$A$6:$A$13,"&lt;="&amp;EOMONTH(BB$16,0))</f>
        <v>0</v>
      </c>
      <c r="BC21" s="110" t="n">
        <f aca="false">SUMIFS($D$6:$D$13,$C$6:$C$13,"Equipamentos",$A$6:$A$13,"&gt;="&amp;BC$16,$A$6:$A$13,"&lt;="&amp;EOMONTH(BC$16,0))</f>
        <v>30000</v>
      </c>
      <c r="BD21" s="110" t="n">
        <f aca="false">SUMIFS($D$6:$D$13,$C$6:$C$13,"Equipamentos",$A$6:$A$13,"&gt;="&amp;BD$16,$A$6:$A$13,"&lt;="&amp;EOMONTH(BD$16,0))</f>
        <v>0</v>
      </c>
      <c r="BE21" s="110" t="n">
        <f aca="false">SUMIFS($D$6:$D$13,$C$6:$C$13,"Equipamentos",$A$6:$A$13,"&gt;="&amp;BE$16,$A$6:$A$13,"&lt;="&amp;EOMONTH(BE$16,0))</f>
        <v>0</v>
      </c>
      <c r="BF21" s="110" t="n">
        <f aca="false">SUMIFS($D$6:$D$13,$C$6:$C$13,"Equipamentos",$A$6:$A$13,"&gt;="&amp;BF$16,$A$6:$A$13,"&lt;="&amp;EOMONTH(BF$16,0))</f>
        <v>0</v>
      </c>
      <c r="BG21" s="110" t="n">
        <f aca="false">SUMIFS($D$6:$D$13,$C$6:$C$13,"Equipamentos",$A$6:$A$13,"&gt;="&amp;BG$16,$A$6:$A$13,"&lt;="&amp;EOMONTH(BG$16,0))</f>
        <v>0</v>
      </c>
      <c r="BH21" s="110" t="n">
        <f aca="false">SUMIFS($D$6:$D$13,$C$6:$C$13,"Equipamentos",$A$6:$A$13,"&gt;="&amp;BH$16,$A$6:$A$13,"&lt;="&amp;EOMONTH(BH$16,0))</f>
        <v>0</v>
      </c>
      <c r="BI21" s="110" t="n">
        <f aca="false">SUMIFS($D$6:$D$13,$C$6:$C$13,"Equipamentos",$A$6:$A$13,"&gt;="&amp;BI$16,$A$6:$A$13,"&lt;="&amp;EOMONTH(BI$16,0))</f>
        <v>0</v>
      </c>
      <c r="BJ21" s="111" t="n">
        <f aca="false">SUM(B21:BI21)</f>
        <v>85127.82</v>
      </c>
      <c r="BK21" s="141" t="n">
        <f aca="false">IFERROR(BJ21/BJ$25,0)</f>
        <v>0.570837956324984</v>
      </c>
    </row>
    <row r="22" customFormat="false" ht="15" hidden="false" customHeight="false" outlineLevel="0" collapsed="false">
      <c r="A22" s="27" t="s">
        <v>599</v>
      </c>
      <c r="B22" s="110" t="n">
        <f aca="false">SUMIFS($D$6:$D$13,$C$6:$C$13,"Marca e jurídico",$A$6:$A$13,"&gt;="&amp;B$16,$A$6:$A$13,"&lt;="&amp;EOMONTH(B$16,0))</f>
        <v>0</v>
      </c>
      <c r="C22" s="110" t="n">
        <f aca="false">SUMIFS($D$6:$D$13,$C$6:$C$13,"Marca e jurídico",$A$6:$A$13,"&gt;="&amp;C$16,$A$6:$A$13,"&lt;="&amp;EOMONTH(C$16,0))</f>
        <v>0</v>
      </c>
      <c r="D22" s="110" t="n">
        <f aca="false">SUMIFS($D$6:$D$13,$C$6:$C$13,"Marca e jurídico",$A$6:$A$13,"&gt;="&amp;D$16,$A$6:$A$13,"&lt;="&amp;EOMONTH(D$16,0))</f>
        <v>0</v>
      </c>
      <c r="E22" s="110" t="n">
        <f aca="false">SUMIFS($D$6:$D$13,$C$6:$C$13,"Marca e jurídico",$A$6:$A$13,"&gt;="&amp;E$16,$A$6:$A$13,"&lt;="&amp;EOMONTH(E$16,0))</f>
        <v>0</v>
      </c>
      <c r="F22" s="110" t="n">
        <f aca="false">SUMIFS($D$6:$D$13,$C$6:$C$13,"Marca e jurídico",$A$6:$A$13,"&gt;="&amp;F$16,$A$6:$A$13,"&lt;="&amp;EOMONTH(F$16,0))</f>
        <v>6000</v>
      </c>
      <c r="G22" s="110" t="n">
        <f aca="false">SUMIFS($D$6:$D$13,$C$6:$C$13,"Marca e jurídico",$A$6:$A$13,"&gt;="&amp;G$16,$A$6:$A$13,"&lt;="&amp;EOMONTH(G$16,0))</f>
        <v>0</v>
      </c>
      <c r="H22" s="110" t="n">
        <f aca="false">SUMIFS($D$6:$D$13,$C$6:$C$13,"Marca e jurídico",$A$6:$A$13,"&gt;="&amp;H$16,$A$6:$A$13,"&lt;="&amp;EOMONTH(H$16,0))</f>
        <v>0</v>
      </c>
      <c r="I22" s="110" t="n">
        <f aca="false">SUMIFS($D$6:$D$13,$C$6:$C$13,"Marca e jurídico",$A$6:$A$13,"&gt;="&amp;I$16,$A$6:$A$13,"&lt;="&amp;EOMONTH(I$16,0))</f>
        <v>0</v>
      </c>
      <c r="J22" s="110" t="n">
        <f aca="false">SUMIFS($D$6:$D$13,$C$6:$C$13,"Marca e jurídico",$A$6:$A$13,"&gt;="&amp;J$16,$A$6:$A$13,"&lt;="&amp;EOMONTH(J$16,0))</f>
        <v>0</v>
      </c>
      <c r="K22" s="110" t="n">
        <f aca="false">SUMIFS($D$6:$D$13,$C$6:$C$13,"Marca e jurídico",$A$6:$A$13,"&gt;="&amp;K$16,$A$6:$A$13,"&lt;="&amp;EOMONTH(K$16,0))</f>
        <v>0</v>
      </c>
      <c r="L22" s="110" t="n">
        <f aca="false">SUMIFS($D$6:$D$13,$C$6:$C$13,"Marca e jurídico",$A$6:$A$13,"&gt;="&amp;L$16,$A$6:$A$13,"&lt;="&amp;EOMONTH(L$16,0))</f>
        <v>0</v>
      </c>
      <c r="M22" s="110" t="n">
        <f aca="false">SUMIFS($D$6:$D$13,$C$6:$C$13,"Marca e jurídico",$A$6:$A$13,"&gt;="&amp;M$16,$A$6:$A$13,"&lt;="&amp;EOMONTH(M$16,0))</f>
        <v>0</v>
      </c>
      <c r="N22" s="110" t="n">
        <f aca="false">SUMIFS($D$6:$D$13,$C$6:$C$13,"Marca e jurídico",$A$6:$A$13,"&gt;="&amp;N$16,$A$6:$A$13,"&lt;="&amp;EOMONTH(N$16,0))</f>
        <v>0</v>
      </c>
      <c r="O22" s="110" t="n">
        <f aca="false">SUMIFS($D$6:$D$13,$C$6:$C$13,"Marca e jurídico",$A$6:$A$13,"&gt;="&amp;O$16,$A$6:$A$13,"&lt;="&amp;EOMONTH(O$16,0))</f>
        <v>0</v>
      </c>
      <c r="P22" s="110" t="n">
        <f aca="false">SUMIFS($D$6:$D$13,$C$6:$C$13,"Marca e jurídico",$A$6:$A$13,"&gt;="&amp;P$16,$A$6:$A$13,"&lt;="&amp;EOMONTH(P$16,0))</f>
        <v>0</v>
      </c>
      <c r="Q22" s="110" t="n">
        <f aca="false">SUMIFS($D$6:$D$13,$C$6:$C$13,"Marca e jurídico",$A$6:$A$13,"&gt;="&amp;Q$16,$A$6:$A$13,"&lt;="&amp;EOMONTH(Q$16,0))</f>
        <v>0</v>
      </c>
      <c r="R22" s="110" t="n">
        <f aca="false">SUMIFS($D$6:$D$13,$C$6:$C$13,"Marca e jurídico",$A$6:$A$13,"&gt;="&amp;R$16,$A$6:$A$13,"&lt;="&amp;EOMONTH(R$16,0))</f>
        <v>0</v>
      </c>
      <c r="S22" s="110" t="n">
        <f aca="false">SUMIFS($D$6:$D$13,$C$6:$C$13,"Marca e jurídico",$A$6:$A$13,"&gt;="&amp;S$16,$A$6:$A$13,"&lt;="&amp;EOMONTH(S$16,0))</f>
        <v>0</v>
      </c>
      <c r="T22" s="110" t="n">
        <f aca="false">SUMIFS($D$6:$D$13,$C$6:$C$13,"Marca e jurídico",$A$6:$A$13,"&gt;="&amp;T$16,$A$6:$A$13,"&lt;="&amp;EOMONTH(T$16,0))</f>
        <v>0</v>
      </c>
      <c r="U22" s="110" t="n">
        <f aca="false">SUMIFS($D$6:$D$13,$C$6:$C$13,"Marca e jurídico",$A$6:$A$13,"&gt;="&amp;U$16,$A$6:$A$13,"&lt;="&amp;EOMONTH(U$16,0))</f>
        <v>0</v>
      </c>
      <c r="V22" s="110" t="n">
        <f aca="false">SUMIFS($D$6:$D$13,$C$6:$C$13,"Marca e jurídico",$A$6:$A$13,"&gt;="&amp;V$16,$A$6:$A$13,"&lt;="&amp;EOMONTH(V$16,0))</f>
        <v>0</v>
      </c>
      <c r="W22" s="110" t="n">
        <f aca="false">SUMIFS($D$6:$D$13,$C$6:$C$13,"Marca e jurídico",$A$6:$A$13,"&gt;="&amp;W$16,$A$6:$A$13,"&lt;="&amp;EOMONTH(W$16,0))</f>
        <v>0</v>
      </c>
      <c r="X22" s="110" t="n">
        <f aca="false">SUMIFS($D$6:$D$13,$C$6:$C$13,"Marca e jurídico",$A$6:$A$13,"&gt;="&amp;X$16,$A$6:$A$13,"&lt;="&amp;EOMONTH(X$16,0))</f>
        <v>0</v>
      </c>
      <c r="Y22" s="110" t="n">
        <f aca="false">SUMIFS($D$6:$D$13,$C$6:$C$13,"Marca e jurídico",$A$6:$A$13,"&gt;="&amp;Y$16,$A$6:$A$13,"&lt;="&amp;EOMONTH(Y$16,0))</f>
        <v>0</v>
      </c>
      <c r="Z22" s="110" t="n">
        <f aca="false">SUMIFS($D$6:$D$13,$C$6:$C$13,"Marca e jurídico",$A$6:$A$13,"&gt;="&amp;Z$16,$A$6:$A$13,"&lt;="&amp;EOMONTH(Z$16,0))</f>
        <v>0</v>
      </c>
      <c r="AA22" s="110" t="n">
        <f aca="false">SUMIFS($D$6:$D$13,$C$6:$C$13,"Marca e jurídico",$A$6:$A$13,"&gt;="&amp;AA$16,$A$6:$A$13,"&lt;="&amp;EOMONTH(AA$16,0))</f>
        <v>0</v>
      </c>
      <c r="AB22" s="110" t="n">
        <f aca="false">SUMIFS($D$6:$D$13,$C$6:$C$13,"Marca e jurídico",$A$6:$A$13,"&gt;="&amp;AB$16,$A$6:$A$13,"&lt;="&amp;EOMONTH(AB$16,0))</f>
        <v>0</v>
      </c>
      <c r="AC22" s="110" t="n">
        <f aca="false">SUMIFS($D$6:$D$13,$C$6:$C$13,"Marca e jurídico",$A$6:$A$13,"&gt;="&amp;AC$16,$A$6:$A$13,"&lt;="&amp;EOMONTH(AC$16,0))</f>
        <v>0</v>
      </c>
      <c r="AD22" s="110" t="n">
        <f aca="false">SUMIFS($D$6:$D$13,$C$6:$C$13,"Marca e jurídico",$A$6:$A$13,"&gt;="&amp;AD$16,$A$6:$A$13,"&lt;="&amp;EOMONTH(AD$16,0))</f>
        <v>0</v>
      </c>
      <c r="AE22" s="110" t="n">
        <f aca="false">SUMIFS($D$6:$D$13,$C$6:$C$13,"Marca e jurídico",$A$6:$A$13,"&gt;="&amp;AE$16,$A$6:$A$13,"&lt;="&amp;EOMONTH(AE$16,0))</f>
        <v>0</v>
      </c>
      <c r="AF22" s="110" t="n">
        <f aca="false">SUMIFS($D$6:$D$13,$C$6:$C$13,"Marca e jurídico",$A$6:$A$13,"&gt;="&amp;AF$16,$A$6:$A$13,"&lt;="&amp;EOMONTH(AF$16,0))</f>
        <v>0</v>
      </c>
      <c r="AG22" s="110" t="n">
        <f aca="false">SUMIFS($D$6:$D$13,$C$6:$C$13,"Marca e jurídico",$A$6:$A$13,"&gt;="&amp;AG$16,$A$6:$A$13,"&lt;="&amp;EOMONTH(AG$16,0))</f>
        <v>0</v>
      </c>
      <c r="AH22" s="110" t="n">
        <f aca="false">SUMIFS($D$6:$D$13,$C$6:$C$13,"Marca e jurídico",$A$6:$A$13,"&gt;="&amp;AH$16,$A$6:$A$13,"&lt;="&amp;EOMONTH(AH$16,0))</f>
        <v>0</v>
      </c>
      <c r="AI22" s="110" t="n">
        <f aca="false">SUMIFS($D$6:$D$13,$C$6:$C$13,"Marca e jurídico",$A$6:$A$13,"&gt;="&amp;AI$16,$A$6:$A$13,"&lt;="&amp;EOMONTH(AI$16,0))</f>
        <v>0</v>
      </c>
      <c r="AJ22" s="110" t="n">
        <f aca="false">SUMIFS($D$6:$D$13,$C$6:$C$13,"Marca e jurídico",$A$6:$A$13,"&gt;="&amp;AJ$16,$A$6:$A$13,"&lt;="&amp;EOMONTH(AJ$16,0))</f>
        <v>0</v>
      </c>
      <c r="AK22" s="110" t="n">
        <f aca="false">SUMIFS($D$6:$D$13,$C$6:$C$13,"Marca e jurídico",$A$6:$A$13,"&gt;="&amp;AK$16,$A$6:$A$13,"&lt;="&amp;EOMONTH(AK$16,0))</f>
        <v>0</v>
      </c>
      <c r="AL22" s="110" t="n">
        <f aca="false">SUMIFS($D$6:$D$13,$C$6:$C$13,"Marca e jurídico",$A$6:$A$13,"&gt;="&amp;AL$16,$A$6:$A$13,"&lt;="&amp;EOMONTH(AL$16,0))</f>
        <v>0</v>
      </c>
      <c r="AM22" s="110" t="n">
        <f aca="false">SUMIFS($D$6:$D$13,$C$6:$C$13,"Marca e jurídico",$A$6:$A$13,"&gt;="&amp;AM$16,$A$6:$A$13,"&lt;="&amp;EOMONTH(AM$16,0))</f>
        <v>0</v>
      </c>
      <c r="AN22" s="110" t="n">
        <f aca="false">SUMIFS($D$6:$D$13,$C$6:$C$13,"Marca e jurídico",$A$6:$A$13,"&gt;="&amp;AN$16,$A$6:$A$13,"&lt;="&amp;EOMONTH(AN$16,0))</f>
        <v>0</v>
      </c>
      <c r="AO22" s="110" t="n">
        <f aca="false">SUMIFS($D$6:$D$13,$C$6:$C$13,"Marca e jurídico",$A$6:$A$13,"&gt;="&amp;AO$16,$A$6:$A$13,"&lt;="&amp;EOMONTH(AO$16,0))</f>
        <v>0</v>
      </c>
      <c r="AP22" s="110" t="n">
        <f aca="false">SUMIFS($D$6:$D$13,$C$6:$C$13,"Marca e jurídico",$A$6:$A$13,"&gt;="&amp;AP$16,$A$6:$A$13,"&lt;="&amp;EOMONTH(AP$16,0))</f>
        <v>0</v>
      </c>
      <c r="AQ22" s="110" t="n">
        <f aca="false">SUMIFS($D$6:$D$13,$C$6:$C$13,"Marca e jurídico",$A$6:$A$13,"&gt;="&amp;AQ$16,$A$6:$A$13,"&lt;="&amp;EOMONTH(AQ$16,0))</f>
        <v>0</v>
      </c>
      <c r="AR22" s="110" t="n">
        <f aca="false">SUMIFS($D$6:$D$13,$C$6:$C$13,"Marca e jurídico",$A$6:$A$13,"&gt;="&amp;AR$16,$A$6:$A$13,"&lt;="&amp;EOMONTH(AR$16,0))</f>
        <v>0</v>
      </c>
      <c r="AS22" s="110" t="n">
        <f aca="false">SUMIFS($D$6:$D$13,$C$6:$C$13,"Marca e jurídico",$A$6:$A$13,"&gt;="&amp;AS$16,$A$6:$A$13,"&lt;="&amp;EOMONTH(AS$16,0))</f>
        <v>0</v>
      </c>
      <c r="AT22" s="110" t="n">
        <f aca="false">SUMIFS($D$6:$D$13,$C$6:$C$13,"Marca e jurídico",$A$6:$A$13,"&gt;="&amp;AT$16,$A$6:$A$13,"&lt;="&amp;EOMONTH(AT$16,0))</f>
        <v>0</v>
      </c>
      <c r="AU22" s="110" t="n">
        <f aca="false">SUMIFS($D$6:$D$13,$C$6:$C$13,"Marca e jurídico",$A$6:$A$13,"&gt;="&amp;AU$16,$A$6:$A$13,"&lt;="&amp;EOMONTH(AU$16,0))</f>
        <v>0</v>
      </c>
      <c r="AV22" s="110" t="n">
        <f aca="false">SUMIFS($D$6:$D$13,$C$6:$C$13,"Marca e jurídico",$A$6:$A$13,"&gt;="&amp;AV$16,$A$6:$A$13,"&lt;="&amp;EOMONTH(AV$16,0))</f>
        <v>0</v>
      </c>
      <c r="AW22" s="110" t="n">
        <f aca="false">SUMIFS($D$6:$D$13,$C$6:$C$13,"Marca e jurídico",$A$6:$A$13,"&gt;="&amp;AW$16,$A$6:$A$13,"&lt;="&amp;EOMONTH(AW$16,0))</f>
        <v>0</v>
      </c>
      <c r="AX22" s="110" t="n">
        <f aca="false">SUMIFS($D$6:$D$13,$C$6:$C$13,"Marca e jurídico",$A$6:$A$13,"&gt;="&amp;AX$16,$A$6:$A$13,"&lt;="&amp;EOMONTH(AX$16,0))</f>
        <v>0</v>
      </c>
      <c r="AY22" s="110" t="n">
        <f aca="false">SUMIFS($D$6:$D$13,$C$6:$C$13,"Marca e jurídico",$A$6:$A$13,"&gt;="&amp;AY$16,$A$6:$A$13,"&lt;="&amp;EOMONTH(AY$16,0))</f>
        <v>0</v>
      </c>
      <c r="AZ22" s="110" t="n">
        <f aca="false">SUMIFS($D$6:$D$13,$C$6:$C$13,"Marca e jurídico",$A$6:$A$13,"&gt;="&amp;AZ$16,$A$6:$A$13,"&lt;="&amp;EOMONTH(AZ$16,0))</f>
        <v>0</v>
      </c>
      <c r="BA22" s="110" t="n">
        <f aca="false">SUMIFS($D$6:$D$13,$C$6:$C$13,"Marca e jurídico",$A$6:$A$13,"&gt;="&amp;BA$16,$A$6:$A$13,"&lt;="&amp;EOMONTH(BA$16,0))</f>
        <v>0</v>
      </c>
      <c r="BB22" s="110" t="n">
        <f aca="false">SUMIFS($D$6:$D$13,$C$6:$C$13,"Marca e jurídico",$A$6:$A$13,"&gt;="&amp;BB$16,$A$6:$A$13,"&lt;="&amp;EOMONTH(BB$16,0))</f>
        <v>0</v>
      </c>
      <c r="BC22" s="110" t="n">
        <f aca="false">SUMIFS($D$6:$D$13,$C$6:$C$13,"Marca e jurídico",$A$6:$A$13,"&gt;="&amp;BC$16,$A$6:$A$13,"&lt;="&amp;EOMONTH(BC$16,0))</f>
        <v>0</v>
      </c>
      <c r="BD22" s="110" t="n">
        <f aca="false">SUMIFS($D$6:$D$13,$C$6:$C$13,"Marca e jurídico",$A$6:$A$13,"&gt;="&amp;BD$16,$A$6:$A$13,"&lt;="&amp;EOMONTH(BD$16,0))</f>
        <v>0</v>
      </c>
      <c r="BE22" s="110" t="n">
        <f aca="false">SUMIFS($D$6:$D$13,$C$6:$C$13,"Marca e jurídico",$A$6:$A$13,"&gt;="&amp;BE$16,$A$6:$A$13,"&lt;="&amp;EOMONTH(BE$16,0))</f>
        <v>0</v>
      </c>
      <c r="BF22" s="110" t="n">
        <f aca="false">SUMIFS($D$6:$D$13,$C$6:$C$13,"Marca e jurídico",$A$6:$A$13,"&gt;="&amp;BF$16,$A$6:$A$13,"&lt;="&amp;EOMONTH(BF$16,0))</f>
        <v>0</v>
      </c>
      <c r="BG22" s="110" t="n">
        <f aca="false">SUMIFS($D$6:$D$13,$C$6:$C$13,"Marca e jurídico",$A$6:$A$13,"&gt;="&amp;BG$16,$A$6:$A$13,"&lt;="&amp;EOMONTH(BG$16,0))</f>
        <v>0</v>
      </c>
      <c r="BH22" s="110" t="n">
        <f aca="false">SUMIFS($D$6:$D$13,$C$6:$C$13,"Marca e jurídico",$A$6:$A$13,"&gt;="&amp;BH$16,$A$6:$A$13,"&lt;="&amp;EOMONTH(BH$16,0))</f>
        <v>0</v>
      </c>
      <c r="BI22" s="110" t="n">
        <f aca="false">SUMIFS($D$6:$D$13,$C$6:$C$13,"Marca e jurídico",$A$6:$A$13,"&gt;="&amp;BI$16,$A$6:$A$13,"&lt;="&amp;EOMONTH(BI$16,0))</f>
        <v>0</v>
      </c>
      <c r="BJ22" s="111" t="n">
        <f aca="false">SUM(B22:BI22)</f>
        <v>6000</v>
      </c>
      <c r="BK22" s="141" t="n">
        <f aca="false">IFERROR(BJ22/BJ$25,0)</f>
        <v>0.0402339415945328</v>
      </c>
    </row>
    <row r="23" customFormat="false" ht="15" hidden="false" customHeight="false" outlineLevel="0" collapsed="false">
      <c r="A23" s="27" t="s">
        <v>605</v>
      </c>
      <c r="B23" s="110" t="n">
        <f aca="false">SUMIFS($D$6:$D$13,$C$6:$C$13,"Certificações",$A$6:$A$13,"&gt;="&amp;B$16,$A$6:$A$13,"&lt;="&amp;EOMONTH(B$16,0))</f>
        <v>0</v>
      </c>
      <c r="C23" s="110" t="n">
        <f aca="false">SUMIFS($D$6:$D$13,$C$6:$C$13,"Certificações",$A$6:$A$13,"&gt;="&amp;C$16,$A$6:$A$13,"&lt;="&amp;EOMONTH(C$16,0))</f>
        <v>0</v>
      </c>
      <c r="D23" s="110" t="n">
        <f aca="false">SUMIFS($D$6:$D$13,$C$6:$C$13,"Certificações",$A$6:$A$13,"&gt;="&amp;D$16,$A$6:$A$13,"&lt;="&amp;EOMONTH(D$16,0))</f>
        <v>0</v>
      </c>
      <c r="E23" s="110" t="n">
        <f aca="false">SUMIFS($D$6:$D$13,$C$6:$C$13,"Certificações",$A$6:$A$13,"&gt;="&amp;E$16,$A$6:$A$13,"&lt;="&amp;EOMONTH(E$16,0))</f>
        <v>0</v>
      </c>
      <c r="F23" s="110" t="n">
        <f aca="false">SUMIFS($D$6:$D$13,$C$6:$C$13,"Certificações",$A$6:$A$13,"&gt;="&amp;F$16,$A$6:$A$13,"&lt;="&amp;EOMONTH(F$16,0))</f>
        <v>0</v>
      </c>
      <c r="G23" s="110" t="n">
        <f aca="false">SUMIFS($D$6:$D$13,$C$6:$C$13,"Certificações",$A$6:$A$13,"&gt;="&amp;G$16,$A$6:$A$13,"&lt;="&amp;EOMONTH(G$16,0))</f>
        <v>0</v>
      </c>
      <c r="H23" s="110" t="n">
        <f aca="false">SUMIFS($D$6:$D$13,$C$6:$C$13,"Certificações",$A$6:$A$13,"&gt;="&amp;H$16,$A$6:$A$13,"&lt;="&amp;EOMONTH(H$16,0))</f>
        <v>0</v>
      </c>
      <c r="I23" s="110" t="n">
        <f aca="false">SUMIFS($D$6:$D$13,$C$6:$C$13,"Certificações",$A$6:$A$13,"&gt;="&amp;I$16,$A$6:$A$13,"&lt;="&amp;EOMONTH(I$16,0))</f>
        <v>0</v>
      </c>
      <c r="J23" s="110" t="n">
        <f aca="false">SUMIFS($D$6:$D$13,$C$6:$C$13,"Certificações",$A$6:$A$13,"&gt;="&amp;J$16,$A$6:$A$13,"&lt;="&amp;EOMONTH(J$16,0))</f>
        <v>0</v>
      </c>
      <c r="K23" s="110" t="n">
        <f aca="false">SUMIFS($D$6:$D$13,$C$6:$C$13,"Certificações",$A$6:$A$13,"&gt;="&amp;K$16,$A$6:$A$13,"&lt;="&amp;EOMONTH(K$16,0))</f>
        <v>0</v>
      </c>
      <c r="L23" s="110" t="n">
        <f aca="false">SUMIFS($D$6:$D$13,$C$6:$C$13,"Certificações",$A$6:$A$13,"&gt;="&amp;L$16,$A$6:$A$13,"&lt;="&amp;EOMONTH(L$16,0))</f>
        <v>0</v>
      </c>
      <c r="M23" s="110" t="n">
        <f aca="false">SUMIFS($D$6:$D$13,$C$6:$C$13,"Certificações",$A$6:$A$13,"&gt;="&amp;M$16,$A$6:$A$13,"&lt;="&amp;EOMONTH(M$16,0))</f>
        <v>0</v>
      </c>
      <c r="N23" s="110" t="n">
        <f aca="false">SUMIFS($D$6:$D$13,$C$6:$C$13,"Certificações",$A$6:$A$13,"&gt;="&amp;N$16,$A$6:$A$13,"&lt;="&amp;EOMONTH(N$16,0))</f>
        <v>0</v>
      </c>
      <c r="O23" s="110" t="n">
        <f aca="false">SUMIFS($D$6:$D$13,$C$6:$C$13,"Certificações",$A$6:$A$13,"&gt;="&amp;O$16,$A$6:$A$13,"&lt;="&amp;EOMONTH(O$16,0))</f>
        <v>0</v>
      </c>
      <c r="P23" s="110" t="n">
        <f aca="false">SUMIFS($D$6:$D$13,$C$6:$C$13,"Certificações",$A$6:$A$13,"&gt;="&amp;P$16,$A$6:$A$13,"&lt;="&amp;EOMONTH(P$16,0))</f>
        <v>12000</v>
      </c>
      <c r="Q23" s="110" t="n">
        <f aca="false">SUMIFS($D$6:$D$13,$C$6:$C$13,"Certificações",$A$6:$A$13,"&gt;="&amp;Q$16,$A$6:$A$13,"&lt;="&amp;EOMONTH(Q$16,0))</f>
        <v>0</v>
      </c>
      <c r="R23" s="110" t="n">
        <f aca="false">SUMIFS($D$6:$D$13,$C$6:$C$13,"Certificações",$A$6:$A$13,"&gt;="&amp;R$16,$A$6:$A$13,"&lt;="&amp;EOMONTH(R$16,0))</f>
        <v>0</v>
      </c>
      <c r="S23" s="110" t="n">
        <f aca="false">SUMIFS($D$6:$D$13,$C$6:$C$13,"Certificações",$A$6:$A$13,"&gt;="&amp;S$16,$A$6:$A$13,"&lt;="&amp;EOMONTH(S$16,0))</f>
        <v>0</v>
      </c>
      <c r="T23" s="110" t="n">
        <f aca="false">SUMIFS($D$6:$D$13,$C$6:$C$13,"Certificações",$A$6:$A$13,"&gt;="&amp;T$16,$A$6:$A$13,"&lt;="&amp;EOMONTH(T$16,0))</f>
        <v>25000</v>
      </c>
      <c r="U23" s="110" t="n">
        <f aca="false">SUMIFS($D$6:$D$13,$C$6:$C$13,"Certificações",$A$6:$A$13,"&gt;="&amp;U$16,$A$6:$A$13,"&lt;="&amp;EOMONTH(U$16,0))</f>
        <v>0</v>
      </c>
      <c r="V23" s="110" t="n">
        <f aca="false">SUMIFS($D$6:$D$13,$C$6:$C$13,"Certificações",$A$6:$A$13,"&gt;="&amp;V$16,$A$6:$A$13,"&lt;="&amp;EOMONTH(V$16,0))</f>
        <v>0</v>
      </c>
      <c r="W23" s="110" t="n">
        <f aca="false">SUMIFS($D$6:$D$13,$C$6:$C$13,"Certificações",$A$6:$A$13,"&gt;="&amp;W$16,$A$6:$A$13,"&lt;="&amp;EOMONTH(W$16,0))</f>
        <v>0</v>
      </c>
      <c r="X23" s="110" t="n">
        <f aca="false">SUMIFS($D$6:$D$13,$C$6:$C$13,"Certificações",$A$6:$A$13,"&gt;="&amp;X$16,$A$6:$A$13,"&lt;="&amp;EOMONTH(X$16,0))</f>
        <v>0</v>
      </c>
      <c r="Y23" s="110" t="n">
        <f aca="false">SUMIFS($D$6:$D$13,$C$6:$C$13,"Certificações",$A$6:$A$13,"&gt;="&amp;Y$16,$A$6:$A$13,"&lt;="&amp;EOMONTH(Y$16,0))</f>
        <v>0</v>
      </c>
      <c r="Z23" s="110" t="n">
        <f aca="false">SUMIFS($D$6:$D$13,$C$6:$C$13,"Certificações",$A$6:$A$13,"&gt;="&amp;Z$16,$A$6:$A$13,"&lt;="&amp;EOMONTH(Z$16,0))</f>
        <v>0</v>
      </c>
      <c r="AA23" s="110" t="n">
        <f aca="false">SUMIFS($D$6:$D$13,$C$6:$C$13,"Certificações",$A$6:$A$13,"&gt;="&amp;AA$16,$A$6:$A$13,"&lt;="&amp;EOMONTH(AA$16,0))</f>
        <v>0</v>
      </c>
      <c r="AB23" s="110" t="n">
        <f aca="false">SUMIFS($D$6:$D$13,$C$6:$C$13,"Certificações",$A$6:$A$13,"&gt;="&amp;AB$16,$A$6:$A$13,"&lt;="&amp;EOMONTH(AB$16,0))</f>
        <v>0</v>
      </c>
      <c r="AC23" s="110" t="n">
        <f aca="false">SUMIFS($D$6:$D$13,$C$6:$C$13,"Certificações",$A$6:$A$13,"&gt;="&amp;AC$16,$A$6:$A$13,"&lt;="&amp;EOMONTH(AC$16,0))</f>
        <v>0</v>
      </c>
      <c r="AD23" s="110" t="n">
        <f aca="false">SUMIFS($D$6:$D$13,$C$6:$C$13,"Certificações",$A$6:$A$13,"&gt;="&amp;AD$16,$A$6:$A$13,"&lt;="&amp;EOMONTH(AD$16,0))</f>
        <v>0</v>
      </c>
      <c r="AE23" s="110" t="n">
        <f aca="false">SUMIFS($D$6:$D$13,$C$6:$C$13,"Certificações",$A$6:$A$13,"&gt;="&amp;AE$16,$A$6:$A$13,"&lt;="&amp;EOMONTH(AE$16,0))</f>
        <v>0</v>
      </c>
      <c r="AF23" s="110" t="n">
        <f aca="false">SUMIFS($D$6:$D$13,$C$6:$C$13,"Certificações",$A$6:$A$13,"&gt;="&amp;AF$16,$A$6:$A$13,"&lt;="&amp;EOMONTH(AF$16,0))</f>
        <v>0</v>
      </c>
      <c r="AG23" s="110" t="n">
        <f aca="false">SUMIFS($D$6:$D$13,$C$6:$C$13,"Certificações",$A$6:$A$13,"&gt;="&amp;AG$16,$A$6:$A$13,"&lt;="&amp;EOMONTH(AG$16,0))</f>
        <v>0</v>
      </c>
      <c r="AH23" s="110" t="n">
        <f aca="false">SUMIFS($D$6:$D$13,$C$6:$C$13,"Certificações",$A$6:$A$13,"&gt;="&amp;AH$16,$A$6:$A$13,"&lt;="&amp;EOMONTH(AH$16,0))</f>
        <v>0</v>
      </c>
      <c r="AI23" s="110" t="n">
        <f aca="false">SUMIFS($D$6:$D$13,$C$6:$C$13,"Certificações",$A$6:$A$13,"&gt;="&amp;AI$16,$A$6:$A$13,"&lt;="&amp;EOMONTH(AI$16,0))</f>
        <v>0</v>
      </c>
      <c r="AJ23" s="110" t="n">
        <f aca="false">SUMIFS($D$6:$D$13,$C$6:$C$13,"Certificações",$A$6:$A$13,"&gt;="&amp;AJ$16,$A$6:$A$13,"&lt;="&amp;EOMONTH(AJ$16,0))</f>
        <v>0</v>
      </c>
      <c r="AK23" s="110" t="n">
        <f aca="false">SUMIFS($D$6:$D$13,$C$6:$C$13,"Certificações",$A$6:$A$13,"&gt;="&amp;AK$16,$A$6:$A$13,"&lt;="&amp;EOMONTH(AK$16,0))</f>
        <v>0</v>
      </c>
      <c r="AL23" s="110" t="n">
        <f aca="false">SUMIFS($D$6:$D$13,$C$6:$C$13,"Certificações",$A$6:$A$13,"&gt;="&amp;AL$16,$A$6:$A$13,"&lt;="&amp;EOMONTH(AL$16,0))</f>
        <v>0</v>
      </c>
      <c r="AM23" s="110" t="n">
        <f aca="false">SUMIFS($D$6:$D$13,$C$6:$C$13,"Certificações",$A$6:$A$13,"&gt;="&amp;AM$16,$A$6:$A$13,"&lt;="&amp;EOMONTH(AM$16,0))</f>
        <v>0</v>
      </c>
      <c r="AN23" s="110" t="n">
        <f aca="false">SUMIFS($D$6:$D$13,$C$6:$C$13,"Certificações",$A$6:$A$13,"&gt;="&amp;AN$16,$A$6:$A$13,"&lt;="&amp;EOMONTH(AN$16,0))</f>
        <v>0</v>
      </c>
      <c r="AO23" s="110" t="n">
        <f aca="false">SUMIFS($D$6:$D$13,$C$6:$C$13,"Certificações",$A$6:$A$13,"&gt;="&amp;AO$16,$A$6:$A$13,"&lt;="&amp;EOMONTH(AO$16,0))</f>
        <v>0</v>
      </c>
      <c r="AP23" s="110" t="n">
        <f aca="false">SUMIFS($D$6:$D$13,$C$6:$C$13,"Certificações",$A$6:$A$13,"&gt;="&amp;AP$16,$A$6:$A$13,"&lt;="&amp;EOMONTH(AP$16,0))</f>
        <v>0</v>
      </c>
      <c r="AQ23" s="110" t="n">
        <f aca="false">SUMIFS($D$6:$D$13,$C$6:$C$13,"Certificações",$A$6:$A$13,"&gt;="&amp;AQ$16,$A$6:$A$13,"&lt;="&amp;EOMONTH(AQ$16,0))</f>
        <v>0</v>
      </c>
      <c r="AR23" s="110" t="n">
        <f aca="false">SUMIFS($D$6:$D$13,$C$6:$C$13,"Certificações",$A$6:$A$13,"&gt;="&amp;AR$16,$A$6:$A$13,"&lt;="&amp;EOMONTH(AR$16,0))</f>
        <v>0</v>
      </c>
      <c r="AS23" s="110" t="n">
        <f aca="false">SUMIFS($D$6:$D$13,$C$6:$C$13,"Certificações",$A$6:$A$13,"&gt;="&amp;AS$16,$A$6:$A$13,"&lt;="&amp;EOMONTH(AS$16,0))</f>
        <v>0</v>
      </c>
      <c r="AT23" s="110" t="n">
        <f aca="false">SUMIFS($D$6:$D$13,$C$6:$C$13,"Certificações",$A$6:$A$13,"&gt;="&amp;AT$16,$A$6:$A$13,"&lt;="&amp;EOMONTH(AT$16,0))</f>
        <v>0</v>
      </c>
      <c r="AU23" s="110" t="n">
        <f aca="false">SUMIFS($D$6:$D$13,$C$6:$C$13,"Certificações",$A$6:$A$13,"&gt;="&amp;AU$16,$A$6:$A$13,"&lt;="&amp;EOMONTH(AU$16,0))</f>
        <v>0</v>
      </c>
      <c r="AV23" s="110" t="n">
        <f aca="false">SUMIFS($D$6:$D$13,$C$6:$C$13,"Certificações",$A$6:$A$13,"&gt;="&amp;AV$16,$A$6:$A$13,"&lt;="&amp;EOMONTH(AV$16,0))</f>
        <v>0</v>
      </c>
      <c r="AW23" s="110" t="n">
        <f aca="false">SUMIFS($D$6:$D$13,$C$6:$C$13,"Certificações",$A$6:$A$13,"&gt;="&amp;AW$16,$A$6:$A$13,"&lt;="&amp;EOMONTH(AW$16,0))</f>
        <v>0</v>
      </c>
      <c r="AX23" s="110" t="n">
        <f aca="false">SUMIFS($D$6:$D$13,$C$6:$C$13,"Certificações",$A$6:$A$13,"&gt;="&amp;AX$16,$A$6:$A$13,"&lt;="&amp;EOMONTH(AX$16,0))</f>
        <v>0</v>
      </c>
      <c r="AY23" s="110" t="n">
        <f aca="false">SUMIFS($D$6:$D$13,$C$6:$C$13,"Certificações",$A$6:$A$13,"&gt;="&amp;AY$16,$A$6:$A$13,"&lt;="&amp;EOMONTH(AY$16,0))</f>
        <v>0</v>
      </c>
      <c r="AZ23" s="110" t="n">
        <f aca="false">SUMIFS($D$6:$D$13,$C$6:$C$13,"Certificações",$A$6:$A$13,"&gt;="&amp;AZ$16,$A$6:$A$13,"&lt;="&amp;EOMONTH(AZ$16,0))</f>
        <v>0</v>
      </c>
      <c r="BA23" s="110" t="n">
        <f aca="false">SUMIFS($D$6:$D$13,$C$6:$C$13,"Certificações",$A$6:$A$13,"&gt;="&amp;BA$16,$A$6:$A$13,"&lt;="&amp;EOMONTH(BA$16,0))</f>
        <v>0</v>
      </c>
      <c r="BB23" s="110" t="n">
        <f aca="false">SUMIFS($D$6:$D$13,$C$6:$C$13,"Certificações",$A$6:$A$13,"&gt;="&amp;BB$16,$A$6:$A$13,"&lt;="&amp;EOMONTH(BB$16,0))</f>
        <v>0</v>
      </c>
      <c r="BC23" s="110" t="n">
        <f aca="false">SUMIFS($D$6:$D$13,$C$6:$C$13,"Certificações",$A$6:$A$13,"&gt;="&amp;BC$16,$A$6:$A$13,"&lt;="&amp;EOMONTH(BC$16,0))</f>
        <v>0</v>
      </c>
      <c r="BD23" s="110" t="n">
        <f aca="false">SUMIFS($D$6:$D$13,$C$6:$C$13,"Certificações",$A$6:$A$13,"&gt;="&amp;BD$16,$A$6:$A$13,"&lt;="&amp;EOMONTH(BD$16,0))</f>
        <v>0</v>
      </c>
      <c r="BE23" s="110" t="n">
        <f aca="false">SUMIFS($D$6:$D$13,$C$6:$C$13,"Certificações",$A$6:$A$13,"&gt;="&amp;BE$16,$A$6:$A$13,"&lt;="&amp;EOMONTH(BE$16,0))</f>
        <v>0</v>
      </c>
      <c r="BF23" s="110" t="n">
        <f aca="false">SUMIFS($D$6:$D$13,$C$6:$C$13,"Certificações",$A$6:$A$13,"&gt;="&amp;BF$16,$A$6:$A$13,"&lt;="&amp;EOMONTH(BF$16,0))</f>
        <v>0</v>
      </c>
      <c r="BG23" s="110" t="n">
        <f aca="false">SUMIFS($D$6:$D$13,$C$6:$C$13,"Certificações",$A$6:$A$13,"&gt;="&amp;BG$16,$A$6:$A$13,"&lt;="&amp;EOMONTH(BG$16,0))</f>
        <v>0</v>
      </c>
      <c r="BH23" s="110" t="n">
        <f aca="false">SUMIFS($D$6:$D$13,$C$6:$C$13,"Certificações",$A$6:$A$13,"&gt;="&amp;BH$16,$A$6:$A$13,"&lt;="&amp;EOMONTH(BH$16,0))</f>
        <v>0</v>
      </c>
      <c r="BI23" s="110" t="n">
        <f aca="false">SUMIFS($D$6:$D$13,$C$6:$C$13,"Certificações",$A$6:$A$13,"&gt;="&amp;BI$16,$A$6:$A$13,"&lt;="&amp;EOMONTH(BI$16,0))</f>
        <v>0</v>
      </c>
      <c r="BJ23" s="111" t="n">
        <f aca="false">SUM(B23:BI23)</f>
        <v>37000</v>
      </c>
      <c r="BK23" s="141" t="n">
        <f aca="false">IFERROR(BJ23/BJ$25,0)</f>
        <v>0.248109306499619</v>
      </c>
    </row>
    <row r="24" customFormat="false" ht="15" hidden="false" customHeight="false" outlineLevel="0" collapsed="false">
      <c r="A24" s="27" t="s">
        <v>466</v>
      </c>
      <c r="B24" s="113" t="n">
        <f aca="false">Pessoas!B46</f>
        <v>0</v>
      </c>
      <c r="C24" s="113" t="n">
        <f aca="false">Pessoas!C46</f>
        <v>0</v>
      </c>
      <c r="D24" s="113" t="n">
        <f aca="false">Pessoas!D46</f>
        <v>0</v>
      </c>
      <c r="E24" s="113" t="n">
        <f aca="false">Pessoas!E46</f>
        <v>0</v>
      </c>
      <c r="F24" s="113" t="n">
        <f aca="false">Pessoas!F46</f>
        <v>0</v>
      </c>
      <c r="G24" s="113" t="n">
        <f aca="false">Pessoas!G46</f>
        <v>0</v>
      </c>
      <c r="H24" s="113" t="n">
        <f aca="false">Pessoas!H46</f>
        <v>0</v>
      </c>
      <c r="I24" s="113" t="n">
        <f aca="false">Pessoas!I46</f>
        <v>0</v>
      </c>
      <c r="J24" s="113" t="n">
        <f aca="false">Pessoas!J46</f>
        <v>10500</v>
      </c>
      <c r="K24" s="113" t="n">
        <f aca="false">Pessoas!K46</f>
        <v>10500</v>
      </c>
      <c r="L24" s="113" t="n">
        <f aca="false">Pessoas!L46</f>
        <v>0</v>
      </c>
      <c r="M24" s="113" t="n">
        <f aca="false">Pessoas!M46</f>
        <v>0</v>
      </c>
      <c r="N24" s="113" t="n">
        <f aca="false">Pessoas!N46</f>
        <v>0</v>
      </c>
      <c r="O24" s="113" t="n">
        <f aca="false">Pessoas!O46</f>
        <v>0</v>
      </c>
      <c r="P24" s="113" t="n">
        <f aca="false">Pessoas!P46</f>
        <v>0</v>
      </c>
      <c r="Q24" s="113" t="n">
        <f aca="false">Pessoas!Q46</f>
        <v>0</v>
      </c>
      <c r="R24" s="113" t="n">
        <f aca="false">Pessoas!R46</f>
        <v>0</v>
      </c>
      <c r="S24" s="113" t="n">
        <f aca="false">Pessoas!S46</f>
        <v>0</v>
      </c>
      <c r="T24" s="113" t="n">
        <f aca="false">Pessoas!T46</f>
        <v>0</v>
      </c>
      <c r="U24" s="113" t="n">
        <f aca="false">Pessoas!U46</f>
        <v>0</v>
      </c>
      <c r="V24" s="113" t="n">
        <f aca="false">Pessoas!V46</f>
        <v>0</v>
      </c>
      <c r="W24" s="113" t="n">
        <f aca="false">Pessoas!W46</f>
        <v>0</v>
      </c>
      <c r="X24" s="113" t="n">
        <f aca="false">Pessoas!X46</f>
        <v>0</v>
      </c>
      <c r="Y24" s="113" t="n">
        <f aca="false">Pessoas!Y46</f>
        <v>0</v>
      </c>
      <c r="Z24" s="113" t="n">
        <f aca="false">Pessoas!Z46</f>
        <v>0</v>
      </c>
      <c r="AA24" s="113" t="n">
        <f aca="false">Pessoas!AA46</f>
        <v>0</v>
      </c>
      <c r="AB24" s="113" t="n">
        <f aca="false">Pessoas!AB46</f>
        <v>0</v>
      </c>
      <c r="AC24" s="113" t="n">
        <f aca="false">Pessoas!AC46</f>
        <v>0</v>
      </c>
      <c r="AD24" s="113" t="n">
        <f aca="false">Pessoas!AD46</f>
        <v>0</v>
      </c>
      <c r="AE24" s="113" t="n">
        <f aca="false">Pessoas!AE46</f>
        <v>0</v>
      </c>
      <c r="AF24" s="113" t="n">
        <f aca="false">Pessoas!AF46</f>
        <v>0</v>
      </c>
      <c r="AG24" s="113" t="n">
        <f aca="false">Pessoas!AG46</f>
        <v>0</v>
      </c>
      <c r="AH24" s="113" t="n">
        <f aca="false">Pessoas!AH46</f>
        <v>0</v>
      </c>
      <c r="AI24" s="113" t="n">
        <f aca="false">Pessoas!AI46</f>
        <v>0</v>
      </c>
      <c r="AJ24" s="113" t="n">
        <f aca="false">Pessoas!AJ46</f>
        <v>0</v>
      </c>
      <c r="AK24" s="113" t="n">
        <f aca="false">Pessoas!AK46</f>
        <v>0</v>
      </c>
      <c r="AL24" s="113" t="n">
        <f aca="false">Pessoas!AL46</f>
        <v>0</v>
      </c>
      <c r="AM24" s="113" t="n">
        <f aca="false">Pessoas!AM46</f>
        <v>0</v>
      </c>
      <c r="AN24" s="113" t="n">
        <f aca="false">Pessoas!AN46</f>
        <v>0</v>
      </c>
      <c r="AO24" s="113" t="n">
        <f aca="false">Pessoas!AO46</f>
        <v>0</v>
      </c>
      <c r="AP24" s="113" t="n">
        <f aca="false">Pessoas!AP46</f>
        <v>0</v>
      </c>
      <c r="AQ24" s="113" t="n">
        <f aca="false">Pessoas!AQ46</f>
        <v>0</v>
      </c>
      <c r="AR24" s="113" t="n">
        <f aca="false">Pessoas!AR46</f>
        <v>0</v>
      </c>
      <c r="AS24" s="113" t="n">
        <f aca="false">Pessoas!AS46</f>
        <v>0</v>
      </c>
      <c r="AT24" s="113" t="n">
        <f aca="false">Pessoas!AT46</f>
        <v>0</v>
      </c>
      <c r="AU24" s="113" t="n">
        <f aca="false">Pessoas!AU46</f>
        <v>0</v>
      </c>
      <c r="AV24" s="113" t="n">
        <f aca="false">Pessoas!AV46</f>
        <v>0</v>
      </c>
      <c r="AW24" s="113" t="n">
        <f aca="false">Pessoas!AW46</f>
        <v>0</v>
      </c>
      <c r="AX24" s="113" t="n">
        <f aca="false">Pessoas!AX46</f>
        <v>0</v>
      </c>
      <c r="AY24" s="113" t="n">
        <f aca="false">Pessoas!AY46</f>
        <v>0</v>
      </c>
      <c r="AZ24" s="113" t="n">
        <f aca="false">Pessoas!AZ46</f>
        <v>0</v>
      </c>
      <c r="BA24" s="113" t="n">
        <f aca="false">Pessoas!BA46</f>
        <v>0</v>
      </c>
      <c r="BB24" s="113" t="n">
        <f aca="false">Pessoas!BB46</f>
        <v>0</v>
      </c>
      <c r="BC24" s="113" t="n">
        <f aca="false">Pessoas!BC46</f>
        <v>0</v>
      </c>
      <c r="BD24" s="113" t="n">
        <f aca="false">Pessoas!BD46</f>
        <v>0</v>
      </c>
      <c r="BE24" s="113" t="n">
        <f aca="false">Pessoas!BE46</f>
        <v>0</v>
      </c>
      <c r="BF24" s="113" t="n">
        <f aca="false">Pessoas!BF46</f>
        <v>0</v>
      </c>
      <c r="BG24" s="113" t="n">
        <f aca="false">Pessoas!BG46</f>
        <v>0</v>
      </c>
      <c r="BH24" s="113" t="n">
        <f aca="false">Pessoas!BH46</f>
        <v>0</v>
      </c>
      <c r="BI24" s="113" t="n">
        <f aca="false">Pessoas!BI46</f>
        <v>0</v>
      </c>
      <c r="BJ24" s="111" t="n">
        <f aca="false">SUM(B24:BI24)</f>
        <v>21000</v>
      </c>
      <c r="BK24" s="180" t="n">
        <f aca="false">IFERROR(BJ24/BJ$25,0)</f>
        <v>0.140818795580865</v>
      </c>
    </row>
    <row r="25" customFormat="false" ht="15" hidden="false" customHeight="false" outlineLevel="0" collapsed="false">
      <c r="A25" s="51" t="s">
        <v>609</v>
      </c>
      <c r="B25" s="111" t="n">
        <f aca="false">SUM(B21:B24)</f>
        <v>0</v>
      </c>
      <c r="C25" s="111" t="n">
        <f aca="false">SUM(C21:C24)</f>
        <v>0</v>
      </c>
      <c r="D25" s="111" t="n">
        <f aca="false">SUM(D21:D24)</f>
        <v>0</v>
      </c>
      <c r="E25" s="111" t="n">
        <f aca="false">SUM(E21:E24)</f>
        <v>0</v>
      </c>
      <c r="F25" s="111" t="n">
        <f aca="false">SUM(F21:F24)</f>
        <v>6000</v>
      </c>
      <c r="G25" s="111" t="n">
        <f aca="false">SUM(G21:G24)</f>
        <v>0</v>
      </c>
      <c r="H25" s="111" t="n">
        <f aca="false">SUM(H21:H24)</f>
        <v>0</v>
      </c>
      <c r="I25" s="111" t="n">
        <f aca="false">SUM(I21:I24)</f>
        <v>9127.82</v>
      </c>
      <c r="J25" s="111" t="n">
        <f aca="false">SUM(J21:J24)</f>
        <v>10500</v>
      </c>
      <c r="K25" s="111" t="n">
        <f aca="false">SUM(K21:K24)</f>
        <v>10500</v>
      </c>
      <c r="L25" s="111" t="n">
        <f aca="false">SUM(L21:L24)</f>
        <v>0</v>
      </c>
      <c r="M25" s="111" t="n">
        <f aca="false">SUM(M21:M24)</f>
        <v>0</v>
      </c>
      <c r="N25" s="111" t="n">
        <f aca="false">SUM(N21:N24)</f>
        <v>0</v>
      </c>
      <c r="O25" s="111" t="n">
        <f aca="false">SUM(O21:O24)</f>
        <v>0</v>
      </c>
      <c r="P25" s="111" t="n">
        <f aca="false">SUM(P21:P24)</f>
        <v>12000</v>
      </c>
      <c r="Q25" s="111" t="n">
        <f aca="false">SUM(Q21:Q24)</f>
        <v>0</v>
      </c>
      <c r="R25" s="111" t="n">
        <f aca="false">SUM(R21:R24)</f>
        <v>0</v>
      </c>
      <c r="S25" s="111" t="n">
        <f aca="false">SUM(S21:S24)</f>
        <v>6000</v>
      </c>
      <c r="T25" s="111" t="n">
        <f aca="false">SUM(T21:T24)</f>
        <v>25000</v>
      </c>
      <c r="U25" s="111" t="n">
        <f aca="false">SUM(U21:U24)</f>
        <v>0</v>
      </c>
      <c r="V25" s="111" t="n">
        <f aca="false">SUM(V21:V24)</f>
        <v>0</v>
      </c>
      <c r="W25" s="111" t="n">
        <f aca="false">SUM(W21:W24)</f>
        <v>0</v>
      </c>
      <c r="X25" s="111" t="n">
        <f aca="false">SUM(X21:X24)</f>
        <v>0</v>
      </c>
      <c r="Y25" s="111" t="n">
        <f aca="false">SUM(Y21:Y24)</f>
        <v>0</v>
      </c>
      <c r="Z25" s="111" t="n">
        <f aca="false">SUM(Z21:Z24)</f>
        <v>0</v>
      </c>
      <c r="AA25" s="111" t="n">
        <f aca="false">SUM(AA21:AA24)</f>
        <v>0</v>
      </c>
      <c r="AB25" s="111" t="n">
        <f aca="false">SUM(AB21:AB24)</f>
        <v>0</v>
      </c>
      <c r="AC25" s="111" t="n">
        <f aca="false">SUM(AC21:AC24)</f>
        <v>0</v>
      </c>
      <c r="AD25" s="111" t="n">
        <f aca="false">SUM(AD21:AD24)</f>
        <v>0</v>
      </c>
      <c r="AE25" s="111" t="n">
        <f aca="false">SUM(AE21:AE24)</f>
        <v>15000</v>
      </c>
      <c r="AF25" s="111" t="n">
        <f aca="false">SUM(AF21:AF24)</f>
        <v>0</v>
      </c>
      <c r="AG25" s="111" t="n">
        <f aca="false">SUM(AG21:AG24)</f>
        <v>0</v>
      </c>
      <c r="AH25" s="111" t="n">
        <f aca="false">SUM(AH21:AH24)</f>
        <v>0</v>
      </c>
      <c r="AI25" s="111" t="n">
        <f aca="false">SUM(AI21:AI24)</f>
        <v>0</v>
      </c>
      <c r="AJ25" s="111" t="n">
        <f aca="false">SUM(AJ21:AJ24)</f>
        <v>0</v>
      </c>
      <c r="AK25" s="111" t="n">
        <f aca="false">SUM(AK21:AK24)</f>
        <v>0</v>
      </c>
      <c r="AL25" s="111" t="n">
        <f aca="false">SUM(AL21:AL24)</f>
        <v>0</v>
      </c>
      <c r="AM25" s="111" t="n">
        <f aca="false">SUM(AM21:AM24)</f>
        <v>0</v>
      </c>
      <c r="AN25" s="111" t="n">
        <f aca="false">SUM(AN21:AN24)</f>
        <v>0</v>
      </c>
      <c r="AO25" s="111" t="n">
        <f aca="false">SUM(AO21:AO24)</f>
        <v>0</v>
      </c>
      <c r="AP25" s="111" t="n">
        <f aca="false">SUM(AP21:AP24)</f>
        <v>0</v>
      </c>
      <c r="AQ25" s="111" t="n">
        <f aca="false">SUM(AQ21:AQ24)</f>
        <v>25000</v>
      </c>
      <c r="AR25" s="111" t="n">
        <f aca="false">SUM(AR21:AR24)</f>
        <v>0</v>
      </c>
      <c r="AS25" s="111" t="n">
        <f aca="false">SUM(AS21:AS24)</f>
        <v>0</v>
      </c>
      <c r="AT25" s="111" t="n">
        <f aca="false">SUM(AT21:AT24)</f>
        <v>0</v>
      </c>
      <c r="AU25" s="111" t="n">
        <f aca="false">SUM(AU21:AU24)</f>
        <v>0</v>
      </c>
      <c r="AV25" s="111" t="n">
        <f aca="false">SUM(AV21:AV24)</f>
        <v>0</v>
      </c>
      <c r="AW25" s="111" t="n">
        <f aca="false">SUM(AW21:AW24)</f>
        <v>0</v>
      </c>
      <c r="AX25" s="111" t="n">
        <f aca="false">SUM(AX21:AX24)</f>
        <v>0</v>
      </c>
      <c r="AY25" s="111" t="n">
        <f aca="false">SUM(AY21:AY24)</f>
        <v>0</v>
      </c>
      <c r="AZ25" s="111" t="n">
        <f aca="false">SUM(AZ21:AZ24)</f>
        <v>0</v>
      </c>
      <c r="BA25" s="111" t="n">
        <f aca="false">SUM(BA21:BA24)</f>
        <v>0</v>
      </c>
      <c r="BB25" s="111" t="n">
        <f aca="false">SUM(BB21:BB24)</f>
        <v>0</v>
      </c>
      <c r="BC25" s="111" t="n">
        <f aca="false">SUM(BC21:BC24)</f>
        <v>30000</v>
      </c>
      <c r="BD25" s="111" t="n">
        <f aca="false">SUM(BD21:BD24)</f>
        <v>0</v>
      </c>
      <c r="BE25" s="111" t="n">
        <f aca="false">SUM(BE21:BE24)</f>
        <v>0</v>
      </c>
      <c r="BF25" s="111" t="n">
        <f aca="false">SUM(BF21:BF24)</f>
        <v>0</v>
      </c>
      <c r="BG25" s="111" t="n">
        <f aca="false">SUM(BG21:BG24)</f>
        <v>0</v>
      </c>
      <c r="BH25" s="111" t="n">
        <f aca="false">SUM(BH21:BH24)</f>
        <v>0</v>
      </c>
      <c r="BI25" s="111" t="n">
        <f aca="false">SUM(BI21:BI24)</f>
        <v>0</v>
      </c>
      <c r="BJ25" s="111" t="n">
        <f aca="false">SUM(B25:BI25)</f>
        <v>149127.82</v>
      </c>
    </row>
    <row r="27" customFormat="false" ht="18" hidden="false" customHeight="true" outlineLevel="0" collapsed="false">
      <c r="A27" s="25" t="s">
        <v>610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</row>
    <row r="28" customFormat="false" ht="15" hidden="false" customHeight="false" outlineLevel="0" collapsed="false">
      <c r="A28" s="27" t="s">
        <v>611</v>
      </c>
      <c r="B28" s="62" t="n">
        <v>60</v>
      </c>
      <c r="D28" s="29" t="s">
        <v>612</v>
      </c>
    </row>
    <row r="29" customFormat="false" ht="15" hidden="false" customHeight="false" outlineLevel="0" collapsed="false">
      <c r="A29" s="27" t="s">
        <v>613</v>
      </c>
      <c r="B29" s="115" t="n">
        <f aca="false">SUM($B25:B25)</f>
        <v>0</v>
      </c>
      <c r="C29" s="115" t="n">
        <f aca="false">SUM($B25:C25)</f>
        <v>0</v>
      </c>
      <c r="D29" s="115" t="n">
        <f aca="false">SUM($B25:D25)</f>
        <v>0</v>
      </c>
      <c r="E29" s="115" t="n">
        <f aca="false">SUM($B25:E25)</f>
        <v>0</v>
      </c>
      <c r="F29" s="115" t="n">
        <f aca="false">SUM($B25:F25)</f>
        <v>6000</v>
      </c>
      <c r="G29" s="115" t="n">
        <f aca="false">SUM($B25:G25)</f>
        <v>6000</v>
      </c>
      <c r="H29" s="115" t="n">
        <f aca="false">SUM($B25:H25)</f>
        <v>6000</v>
      </c>
      <c r="I29" s="115" t="n">
        <f aca="false">SUM($B25:I25)</f>
        <v>15127.82</v>
      </c>
      <c r="J29" s="115" t="n">
        <f aca="false">SUM($B25:J25)</f>
        <v>25627.82</v>
      </c>
      <c r="K29" s="115" t="n">
        <f aca="false">SUM($B25:K25)</f>
        <v>36127.82</v>
      </c>
      <c r="L29" s="115" t="n">
        <f aca="false">SUM($B25:L25)</f>
        <v>36127.82</v>
      </c>
      <c r="M29" s="115" t="n">
        <f aca="false">SUM($B25:M25)</f>
        <v>36127.82</v>
      </c>
      <c r="N29" s="115" t="n">
        <f aca="false">SUM($B25:N25)</f>
        <v>36127.82</v>
      </c>
      <c r="O29" s="115" t="n">
        <f aca="false">SUM($B25:O25)</f>
        <v>36127.82</v>
      </c>
      <c r="P29" s="115" t="n">
        <f aca="false">SUM($B25:P25)</f>
        <v>48127.82</v>
      </c>
      <c r="Q29" s="115" t="n">
        <f aca="false">SUM($B25:Q25)</f>
        <v>48127.82</v>
      </c>
      <c r="R29" s="115" t="n">
        <f aca="false">SUM($B25:R25)</f>
        <v>48127.82</v>
      </c>
      <c r="S29" s="115" t="n">
        <f aca="false">SUM($B25:S25)</f>
        <v>54127.82</v>
      </c>
      <c r="T29" s="115" t="n">
        <f aca="false">SUM($B25:T25)</f>
        <v>79127.82</v>
      </c>
      <c r="U29" s="115" t="n">
        <f aca="false">SUM($B25:U25)</f>
        <v>79127.82</v>
      </c>
      <c r="V29" s="115" t="n">
        <f aca="false">SUM($B25:V25)</f>
        <v>79127.82</v>
      </c>
      <c r="W29" s="115" t="n">
        <f aca="false">SUM($B25:W25)</f>
        <v>79127.82</v>
      </c>
      <c r="X29" s="115" t="n">
        <f aca="false">SUM($B25:X25)</f>
        <v>79127.82</v>
      </c>
      <c r="Y29" s="115" t="n">
        <f aca="false">SUM($B25:Y25)</f>
        <v>79127.82</v>
      </c>
      <c r="Z29" s="115" t="n">
        <f aca="false">SUM($B25:Z25)</f>
        <v>79127.82</v>
      </c>
      <c r="AA29" s="115" t="n">
        <f aca="false">SUM($B25:AA25)</f>
        <v>79127.82</v>
      </c>
      <c r="AB29" s="115" t="n">
        <f aca="false">SUM($B25:AB25)</f>
        <v>79127.82</v>
      </c>
      <c r="AC29" s="115" t="n">
        <f aca="false">SUM($B25:AC25)</f>
        <v>79127.82</v>
      </c>
      <c r="AD29" s="115" t="n">
        <f aca="false">SUM($B25:AD25)</f>
        <v>79127.82</v>
      </c>
      <c r="AE29" s="115" t="n">
        <f aca="false">SUM($B25:AE25)</f>
        <v>94127.82</v>
      </c>
      <c r="AF29" s="115" t="n">
        <f aca="false">SUM($B25:AF25)</f>
        <v>94127.82</v>
      </c>
      <c r="AG29" s="115" t="n">
        <f aca="false">SUM($B25:AG25)</f>
        <v>94127.82</v>
      </c>
      <c r="AH29" s="115" t="n">
        <f aca="false">SUM($B25:AH25)</f>
        <v>94127.82</v>
      </c>
      <c r="AI29" s="115" t="n">
        <f aca="false">SUM($B25:AI25)</f>
        <v>94127.82</v>
      </c>
      <c r="AJ29" s="115" t="n">
        <f aca="false">SUM($B25:AJ25)</f>
        <v>94127.82</v>
      </c>
      <c r="AK29" s="115" t="n">
        <f aca="false">SUM($B25:AK25)</f>
        <v>94127.82</v>
      </c>
      <c r="AL29" s="115" t="n">
        <f aca="false">SUM($B25:AL25)</f>
        <v>94127.82</v>
      </c>
      <c r="AM29" s="115" t="n">
        <f aca="false">SUM($B25:AM25)</f>
        <v>94127.82</v>
      </c>
      <c r="AN29" s="115" t="n">
        <f aca="false">SUM($B25:AN25)</f>
        <v>94127.82</v>
      </c>
      <c r="AO29" s="115" t="n">
        <f aca="false">SUM($B25:AO25)</f>
        <v>94127.82</v>
      </c>
      <c r="AP29" s="115" t="n">
        <f aca="false">SUM($B25:AP25)</f>
        <v>94127.82</v>
      </c>
      <c r="AQ29" s="115" t="n">
        <f aca="false">SUM($B25:AQ25)</f>
        <v>119127.82</v>
      </c>
      <c r="AR29" s="115" t="n">
        <f aca="false">SUM($B25:AR25)</f>
        <v>119127.82</v>
      </c>
      <c r="AS29" s="115" t="n">
        <f aca="false">SUM($B25:AS25)</f>
        <v>119127.82</v>
      </c>
      <c r="AT29" s="115" t="n">
        <f aca="false">SUM($B25:AT25)</f>
        <v>119127.82</v>
      </c>
      <c r="AU29" s="115" t="n">
        <f aca="false">SUM($B25:AU25)</f>
        <v>119127.82</v>
      </c>
      <c r="AV29" s="115" t="n">
        <f aca="false">SUM($B25:AV25)</f>
        <v>119127.82</v>
      </c>
      <c r="AW29" s="115" t="n">
        <f aca="false">SUM($B25:AW25)</f>
        <v>119127.82</v>
      </c>
      <c r="AX29" s="115" t="n">
        <f aca="false">SUM($B25:AX25)</f>
        <v>119127.82</v>
      </c>
      <c r="AY29" s="115" t="n">
        <f aca="false">SUM($B25:AY25)</f>
        <v>119127.82</v>
      </c>
      <c r="AZ29" s="115" t="n">
        <f aca="false">SUM($B25:AZ25)</f>
        <v>119127.82</v>
      </c>
      <c r="BA29" s="115" t="n">
        <f aca="false">SUM($B25:BA25)</f>
        <v>119127.82</v>
      </c>
      <c r="BB29" s="115" t="n">
        <f aca="false">SUM($B25:BB25)</f>
        <v>119127.82</v>
      </c>
      <c r="BC29" s="115" t="n">
        <f aca="false">SUM($B25:BC25)</f>
        <v>149127.82</v>
      </c>
      <c r="BD29" s="115" t="n">
        <f aca="false">SUM($B25:BD25)</f>
        <v>149127.82</v>
      </c>
      <c r="BE29" s="115" t="n">
        <f aca="false">SUM($B25:BE25)</f>
        <v>149127.82</v>
      </c>
      <c r="BF29" s="115" t="n">
        <f aca="false">SUM($B25:BF25)</f>
        <v>149127.82</v>
      </c>
      <c r="BG29" s="115" t="n">
        <f aca="false">SUM($B25:BG25)</f>
        <v>149127.82</v>
      </c>
      <c r="BH29" s="115" t="n">
        <f aca="false">SUM($B25:BH25)</f>
        <v>149127.82</v>
      </c>
      <c r="BI29" s="115" t="n">
        <f aca="false">SUM($B25:BI25)</f>
        <v>149127.82</v>
      </c>
      <c r="BJ29" s="111" t="n">
        <f aca="false">SUM(B29:BI29)</f>
        <v>4911274.46</v>
      </c>
    </row>
    <row r="30" customFormat="false" ht="15" hidden="false" customHeight="false" outlineLevel="0" collapsed="false">
      <c r="A30" s="31" t="s">
        <v>614</v>
      </c>
      <c r="B30" s="144" t="n">
        <f aca="false">0</f>
        <v>0</v>
      </c>
      <c r="C30" s="144" t="n">
        <f aca="false">B29/$B$28</f>
        <v>0</v>
      </c>
      <c r="D30" s="144" t="n">
        <f aca="false">C29/$B$28</f>
        <v>0</v>
      </c>
      <c r="E30" s="144" t="n">
        <f aca="false">D29/$B$28</f>
        <v>0</v>
      </c>
      <c r="F30" s="144" t="n">
        <f aca="false">E29/$B$28</f>
        <v>0</v>
      </c>
      <c r="G30" s="144" t="n">
        <f aca="false">F29/$B$28</f>
        <v>100</v>
      </c>
      <c r="H30" s="144" t="n">
        <f aca="false">G29/$B$28</f>
        <v>100</v>
      </c>
      <c r="I30" s="144" t="n">
        <f aca="false">H29/$B$28</f>
        <v>100</v>
      </c>
      <c r="J30" s="144" t="n">
        <f aca="false">I29/$B$28</f>
        <v>252.130333333333</v>
      </c>
      <c r="K30" s="144" t="n">
        <f aca="false">J29/$B$28</f>
        <v>427.130333333333</v>
      </c>
      <c r="L30" s="144" t="n">
        <f aca="false">K29/$B$28</f>
        <v>602.130333333333</v>
      </c>
      <c r="M30" s="144" t="n">
        <f aca="false">L29/$B$28</f>
        <v>602.130333333333</v>
      </c>
      <c r="N30" s="144" t="n">
        <f aca="false">M29/$B$28</f>
        <v>602.130333333333</v>
      </c>
      <c r="O30" s="144" t="n">
        <f aca="false">N29/$B$28</f>
        <v>602.130333333333</v>
      </c>
      <c r="P30" s="144" t="n">
        <f aca="false">O29/$B$28</f>
        <v>602.130333333333</v>
      </c>
      <c r="Q30" s="144" t="n">
        <f aca="false">P29/$B$28</f>
        <v>802.130333333333</v>
      </c>
      <c r="R30" s="144" t="n">
        <f aca="false">Q29/$B$28</f>
        <v>802.130333333333</v>
      </c>
      <c r="S30" s="144" t="n">
        <f aca="false">R29/$B$28</f>
        <v>802.130333333333</v>
      </c>
      <c r="T30" s="144" t="n">
        <f aca="false">S29/$B$28</f>
        <v>902.130333333333</v>
      </c>
      <c r="U30" s="144" t="n">
        <f aca="false">T29/$B$28</f>
        <v>1318.797</v>
      </c>
      <c r="V30" s="144" t="n">
        <f aca="false">U29/$B$28</f>
        <v>1318.797</v>
      </c>
      <c r="W30" s="144" t="n">
        <f aca="false">V29/$B$28</f>
        <v>1318.797</v>
      </c>
      <c r="X30" s="144" t="n">
        <f aca="false">W29/$B$28</f>
        <v>1318.797</v>
      </c>
      <c r="Y30" s="144" t="n">
        <f aca="false">X29/$B$28</f>
        <v>1318.797</v>
      </c>
      <c r="Z30" s="144" t="n">
        <f aca="false">Y29/$B$28</f>
        <v>1318.797</v>
      </c>
      <c r="AA30" s="144" t="n">
        <f aca="false">Z29/$B$28</f>
        <v>1318.797</v>
      </c>
      <c r="AB30" s="144" t="n">
        <f aca="false">AA29/$B$28</f>
        <v>1318.797</v>
      </c>
      <c r="AC30" s="144" t="n">
        <f aca="false">AB29/$B$28</f>
        <v>1318.797</v>
      </c>
      <c r="AD30" s="144" t="n">
        <f aca="false">AC29/$B$28</f>
        <v>1318.797</v>
      </c>
      <c r="AE30" s="144" t="n">
        <f aca="false">AD29/$B$28</f>
        <v>1318.797</v>
      </c>
      <c r="AF30" s="144" t="n">
        <f aca="false">AE29/$B$28</f>
        <v>1568.797</v>
      </c>
      <c r="AG30" s="144" t="n">
        <f aca="false">AF29/$B$28</f>
        <v>1568.797</v>
      </c>
      <c r="AH30" s="144" t="n">
        <f aca="false">AG29/$B$28</f>
        <v>1568.797</v>
      </c>
      <c r="AI30" s="144" t="n">
        <f aca="false">AH29/$B$28</f>
        <v>1568.797</v>
      </c>
      <c r="AJ30" s="144" t="n">
        <f aca="false">AI29/$B$28</f>
        <v>1568.797</v>
      </c>
      <c r="AK30" s="144" t="n">
        <f aca="false">AJ29/$B$28</f>
        <v>1568.797</v>
      </c>
      <c r="AL30" s="144" t="n">
        <f aca="false">AK29/$B$28</f>
        <v>1568.797</v>
      </c>
      <c r="AM30" s="144" t="n">
        <f aca="false">AL29/$B$28</f>
        <v>1568.797</v>
      </c>
      <c r="AN30" s="144" t="n">
        <f aca="false">AM29/$B$28</f>
        <v>1568.797</v>
      </c>
      <c r="AO30" s="144" t="n">
        <f aca="false">AN29/$B$28</f>
        <v>1568.797</v>
      </c>
      <c r="AP30" s="144" t="n">
        <f aca="false">AO29/$B$28</f>
        <v>1568.797</v>
      </c>
      <c r="AQ30" s="144" t="n">
        <f aca="false">AP29/$B$28</f>
        <v>1568.797</v>
      </c>
      <c r="AR30" s="144" t="n">
        <f aca="false">AQ29/$B$28</f>
        <v>1985.46366666667</v>
      </c>
      <c r="AS30" s="144" t="n">
        <f aca="false">AR29/$B$28</f>
        <v>1985.46366666667</v>
      </c>
      <c r="AT30" s="144" t="n">
        <f aca="false">AS29/$B$28</f>
        <v>1985.46366666667</v>
      </c>
      <c r="AU30" s="144" t="n">
        <f aca="false">AT29/$B$28</f>
        <v>1985.46366666667</v>
      </c>
      <c r="AV30" s="144" t="n">
        <f aca="false">AU29/$B$28</f>
        <v>1985.46366666667</v>
      </c>
      <c r="AW30" s="144" t="n">
        <f aca="false">AV29/$B$28</f>
        <v>1985.46366666667</v>
      </c>
      <c r="AX30" s="144" t="n">
        <f aca="false">AW29/$B$28</f>
        <v>1985.46366666667</v>
      </c>
      <c r="AY30" s="144" t="n">
        <f aca="false">AX29/$B$28</f>
        <v>1985.46366666667</v>
      </c>
      <c r="AZ30" s="144" t="n">
        <f aca="false">AY29/$B$28</f>
        <v>1985.46366666667</v>
      </c>
      <c r="BA30" s="144" t="n">
        <f aca="false">AZ29/$B$28</f>
        <v>1985.46366666667</v>
      </c>
      <c r="BB30" s="144" t="n">
        <f aca="false">BA29/$B$28</f>
        <v>1985.46366666667</v>
      </c>
      <c r="BC30" s="144" t="n">
        <f aca="false">BB29/$B$28</f>
        <v>1985.46366666667</v>
      </c>
      <c r="BD30" s="144" t="n">
        <f aca="false">BC29/$B$28</f>
        <v>2485.46366666667</v>
      </c>
      <c r="BE30" s="144" t="n">
        <f aca="false">BD29/$B$28</f>
        <v>2485.46366666667</v>
      </c>
      <c r="BF30" s="144" t="n">
        <f aca="false">BE29/$B$28</f>
        <v>2485.46366666667</v>
      </c>
      <c r="BG30" s="144" t="n">
        <f aca="false">BF29/$B$28</f>
        <v>2485.46366666667</v>
      </c>
      <c r="BH30" s="144" t="n">
        <f aca="false">BG29/$B$28</f>
        <v>2485.46366666667</v>
      </c>
      <c r="BI30" s="144" t="n">
        <f aca="false">BH29/$B$28</f>
        <v>2485.46366666667</v>
      </c>
      <c r="BJ30" s="111" t="n">
        <f aca="false">SUM(B30:BI30)</f>
        <v>79369.1106666667</v>
      </c>
      <c r="BK30" s="29" t="s">
        <v>615</v>
      </c>
    </row>
    <row r="31" customFormat="false" ht="15" hidden="false" customHeight="false" outlineLevel="0" collapsed="false">
      <c r="A31" s="57" t="s">
        <v>616</v>
      </c>
      <c r="B31" s="115" t="n">
        <f aca="false">B25</f>
        <v>0</v>
      </c>
      <c r="C31" s="115" t="n">
        <f aca="false">B31+C25-C30</f>
        <v>0</v>
      </c>
      <c r="D31" s="115" t="n">
        <f aca="false">C31+D25-D30</f>
        <v>0</v>
      </c>
      <c r="E31" s="115" t="n">
        <f aca="false">D31+E25-E30</f>
        <v>0</v>
      </c>
      <c r="F31" s="115" t="n">
        <f aca="false">E31+F25-F30</f>
        <v>6000</v>
      </c>
      <c r="G31" s="115" t="n">
        <f aca="false">F31+G25-G30</f>
        <v>5900</v>
      </c>
      <c r="H31" s="115" t="n">
        <f aca="false">G31+H25-H30</f>
        <v>5800</v>
      </c>
      <c r="I31" s="115" t="n">
        <f aca="false">H31+I25-I30</f>
        <v>14827.82</v>
      </c>
      <c r="J31" s="115" t="n">
        <f aca="false">I31+J25-J30</f>
        <v>25075.6896666667</v>
      </c>
      <c r="K31" s="115" t="n">
        <f aca="false">J31+K25-K30</f>
        <v>35148.5593333333</v>
      </c>
      <c r="L31" s="115" t="n">
        <f aca="false">K31+L25-L30</f>
        <v>34546.429</v>
      </c>
      <c r="M31" s="115" t="n">
        <f aca="false">L31+M25-M30</f>
        <v>33944.2986666667</v>
      </c>
      <c r="N31" s="115" t="n">
        <f aca="false">M31+N25-N30</f>
        <v>33342.1683333333</v>
      </c>
      <c r="O31" s="115" t="n">
        <f aca="false">N31+O25-O30</f>
        <v>32740.038</v>
      </c>
      <c r="P31" s="115" t="n">
        <f aca="false">O31+P25-P30</f>
        <v>44137.9076666667</v>
      </c>
      <c r="Q31" s="115" t="n">
        <f aca="false">P31+Q25-Q30</f>
        <v>43335.7773333333</v>
      </c>
      <c r="R31" s="115" t="n">
        <f aca="false">Q31+R25-R30</f>
        <v>42533.647</v>
      </c>
      <c r="S31" s="115" t="n">
        <f aca="false">R31+S25-S30</f>
        <v>47731.5166666667</v>
      </c>
      <c r="T31" s="115" t="n">
        <f aca="false">S31+T25-T30</f>
        <v>71829.3863333333</v>
      </c>
      <c r="U31" s="115" t="n">
        <f aca="false">T31+U25-U30</f>
        <v>70510.5893333333</v>
      </c>
      <c r="V31" s="115" t="n">
        <f aca="false">U31+V25-V30</f>
        <v>69191.7923333333</v>
      </c>
      <c r="W31" s="115" t="n">
        <f aca="false">V31+W25-W30</f>
        <v>67872.9953333333</v>
      </c>
      <c r="X31" s="115" t="n">
        <f aca="false">W31+X25-X30</f>
        <v>66554.1983333333</v>
      </c>
      <c r="Y31" s="115" t="n">
        <f aca="false">X31+Y25-Y30</f>
        <v>65235.4013333333</v>
      </c>
      <c r="Z31" s="115" t="n">
        <f aca="false">Y31+Z25-Z30</f>
        <v>63916.6043333333</v>
      </c>
      <c r="AA31" s="115" t="n">
        <f aca="false">Z31+AA25-AA30</f>
        <v>62597.8073333333</v>
      </c>
      <c r="AB31" s="115" t="n">
        <f aca="false">AA31+AB25-AB30</f>
        <v>61279.0103333333</v>
      </c>
      <c r="AC31" s="115" t="n">
        <f aca="false">AB31+AC25-AC30</f>
        <v>59960.2133333333</v>
      </c>
      <c r="AD31" s="115" t="n">
        <f aca="false">AC31+AD25-AD30</f>
        <v>58641.4163333333</v>
      </c>
      <c r="AE31" s="115" t="n">
        <f aca="false">AD31+AE25-AE30</f>
        <v>72322.6193333333</v>
      </c>
      <c r="AF31" s="115" t="n">
        <f aca="false">AE31+AF25-AF30</f>
        <v>70753.8223333333</v>
      </c>
      <c r="AG31" s="115" t="n">
        <f aca="false">AF31+AG25-AG30</f>
        <v>69185.0253333333</v>
      </c>
      <c r="AH31" s="115" t="n">
        <f aca="false">AG31+AH25-AH30</f>
        <v>67616.2283333333</v>
      </c>
      <c r="AI31" s="115" t="n">
        <f aca="false">AH31+AI25-AI30</f>
        <v>66047.4313333333</v>
      </c>
      <c r="AJ31" s="115" t="n">
        <f aca="false">AI31+AJ25-AJ30</f>
        <v>64478.6343333333</v>
      </c>
      <c r="AK31" s="115" t="n">
        <f aca="false">AJ31+AK25-AK30</f>
        <v>62909.8373333333</v>
      </c>
      <c r="AL31" s="115" t="n">
        <f aca="false">AK31+AL25-AL30</f>
        <v>61341.0403333333</v>
      </c>
      <c r="AM31" s="115" t="n">
        <f aca="false">AL31+AM25-AM30</f>
        <v>59772.2433333333</v>
      </c>
      <c r="AN31" s="115" t="n">
        <f aca="false">AM31+AN25-AN30</f>
        <v>58203.4463333333</v>
      </c>
      <c r="AO31" s="115" t="n">
        <f aca="false">AN31+AO25-AO30</f>
        <v>56634.6493333333</v>
      </c>
      <c r="AP31" s="115" t="n">
        <f aca="false">AO31+AP25-AP30</f>
        <v>55065.8523333333</v>
      </c>
      <c r="AQ31" s="115" t="n">
        <f aca="false">AP31+AQ25-AQ30</f>
        <v>78497.0553333333</v>
      </c>
      <c r="AR31" s="115" t="n">
        <f aca="false">AQ31+AR25-AR30</f>
        <v>76511.5916666666</v>
      </c>
      <c r="AS31" s="115" t="n">
        <f aca="false">AR31+AS25-AS30</f>
        <v>74526.128</v>
      </c>
      <c r="AT31" s="115" t="n">
        <f aca="false">AS31+AT25-AT30</f>
        <v>72540.6643333333</v>
      </c>
      <c r="AU31" s="115" t="n">
        <f aca="false">AT31+AU25-AU30</f>
        <v>70555.2006666666</v>
      </c>
      <c r="AV31" s="115" t="n">
        <f aca="false">AU31+AV25-AV30</f>
        <v>68569.737</v>
      </c>
      <c r="AW31" s="115" t="n">
        <f aca="false">AV31+AW25-AW30</f>
        <v>66584.2733333333</v>
      </c>
      <c r="AX31" s="115" t="n">
        <f aca="false">AW31+AX25-AX30</f>
        <v>64598.8096666666</v>
      </c>
      <c r="AY31" s="115" t="n">
        <f aca="false">AX31+AY25-AY30</f>
        <v>62613.346</v>
      </c>
      <c r="AZ31" s="115" t="n">
        <f aca="false">AY31+AZ25-AZ30</f>
        <v>60627.8823333333</v>
      </c>
      <c r="BA31" s="115" t="n">
        <f aca="false">AZ31+BA25-BA30</f>
        <v>58642.4186666666</v>
      </c>
      <c r="BB31" s="115" t="n">
        <f aca="false">BA31+BB25-BB30</f>
        <v>56656.955</v>
      </c>
      <c r="BC31" s="115" t="n">
        <f aca="false">BB31+BC25-BC30</f>
        <v>84671.4913333333</v>
      </c>
      <c r="BD31" s="115" t="n">
        <f aca="false">BC31+BD25-BD30</f>
        <v>82186.0276666666</v>
      </c>
      <c r="BE31" s="115" t="n">
        <f aca="false">BD31+BE25-BE30</f>
        <v>79700.564</v>
      </c>
      <c r="BF31" s="115" t="n">
        <f aca="false">BE31+BF25-BF30</f>
        <v>77215.1003333333</v>
      </c>
      <c r="BG31" s="115" t="n">
        <f aca="false">BF31+BG25-BG30</f>
        <v>74729.6366666666</v>
      </c>
      <c r="BH31" s="115" t="n">
        <f aca="false">BG31+BH25-BH30</f>
        <v>72244.173</v>
      </c>
      <c r="BI31" s="115" t="n">
        <f aca="false">BH31+BI25-BI30</f>
        <v>69758.7093333333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BK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4" topLeftCell="B95" activePane="bottomRight" state="frozen"/>
      <selection pane="topLeft" activeCell="A1" activeCellId="0" sqref="A1"/>
      <selection pane="topRight" activeCell="B1" activeCellId="0" sqref="B1"/>
      <selection pane="bottomLeft" activeCell="A95" activeCellId="0" sqref="A9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  <col collapsed="false" customWidth="true" hidden="false" outlineLevel="0" max="7" min="3" style="0" width="16"/>
    <col collapsed="false" customWidth="true" hidden="false" outlineLevel="0" max="8" min="8" style="0" width="58"/>
    <col collapsed="false" customWidth="true" hidden="false" outlineLevel="0" max="61" min="9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617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3" t="s">
        <v>618</v>
      </c>
    </row>
    <row r="4" customFormat="false" ht="18" hidden="false" customHeight="true" outlineLevel="0" collapsed="false">
      <c r="A4" s="25" t="s">
        <v>619</v>
      </c>
      <c r="B4" s="26"/>
      <c r="C4" s="26"/>
      <c r="D4" s="26"/>
      <c r="E4" s="26"/>
      <c r="F4" s="26"/>
      <c r="G4" s="26"/>
      <c r="H4" s="26"/>
    </row>
    <row r="5" customFormat="false" ht="15" hidden="false" customHeight="false" outlineLevel="0" collapsed="false">
      <c r="A5" s="52" t="s">
        <v>594</v>
      </c>
      <c r="B5" s="52" t="s">
        <v>620</v>
      </c>
      <c r="C5" s="52" t="s">
        <v>597</v>
      </c>
      <c r="D5" s="52" t="s">
        <v>289</v>
      </c>
      <c r="E5" s="52" t="s">
        <v>288</v>
      </c>
      <c r="F5" s="181" t="s">
        <v>621</v>
      </c>
      <c r="G5" s="181"/>
      <c r="H5" s="181"/>
    </row>
    <row r="6" customFormat="false" ht="15" hidden="false" customHeight="false" outlineLevel="0" collapsed="false">
      <c r="A6" s="182" t="n">
        <v>46128</v>
      </c>
      <c r="B6" s="77" t="s">
        <v>368</v>
      </c>
      <c r="C6" s="80" t="n">
        <v>10000</v>
      </c>
      <c r="D6" s="78" t="s">
        <v>602</v>
      </c>
      <c r="E6" s="78" t="s">
        <v>369</v>
      </c>
      <c r="F6" s="77"/>
      <c r="G6" s="77"/>
      <c r="H6" s="77"/>
    </row>
    <row r="7" customFormat="false" ht="15" hidden="false" customHeight="false" outlineLevel="0" collapsed="false">
      <c r="A7" s="182" t="n">
        <v>46207</v>
      </c>
      <c r="B7" s="77" t="s">
        <v>370</v>
      </c>
      <c r="C7" s="80" t="n">
        <v>5000</v>
      </c>
      <c r="D7" s="78" t="s">
        <v>602</v>
      </c>
      <c r="E7" s="78" t="s">
        <v>369</v>
      </c>
      <c r="F7" s="77"/>
      <c r="G7" s="77"/>
      <c r="H7" s="77"/>
    </row>
    <row r="8" customFormat="false" ht="15" hidden="false" customHeight="false" outlineLevel="0" collapsed="false">
      <c r="A8" s="182" t="n">
        <v>46254</v>
      </c>
      <c r="B8" s="77" t="s">
        <v>368</v>
      </c>
      <c r="C8" s="80" t="n">
        <v>10000</v>
      </c>
      <c r="D8" s="78" t="s">
        <v>602</v>
      </c>
      <c r="E8" s="78" t="s">
        <v>369</v>
      </c>
      <c r="F8" s="77" t="s">
        <v>622</v>
      </c>
      <c r="G8" s="77"/>
      <c r="H8" s="77"/>
    </row>
    <row r="9" customFormat="false" ht="15" hidden="false" customHeight="false" outlineLevel="0" collapsed="false">
      <c r="A9" s="182" t="n">
        <v>46254</v>
      </c>
      <c r="B9" s="77" t="s">
        <v>371</v>
      </c>
      <c r="C9" s="80" t="n">
        <v>3000</v>
      </c>
      <c r="D9" s="78" t="s">
        <v>602</v>
      </c>
      <c r="E9" s="78" t="s">
        <v>369</v>
      </c>
      <c r="F9" s="77"/>
      <c r="G9" s="77"/>
      <c r="H9" s="77"/>
    </row>
    <row r="10" customFormat="false" ht="15" hidden="false" customHeight="false" outlineLevel="0" collapsed="false">
      <c r="A10" s="182" t="n">
        <v>46254</v>
      </c>
      <c r="B10" s="77" t="s">
        <v>372</v>
      </c>
      <c r="C10" s="80" t="n">
        <v>2000</v>
      </c>
      <c r="D10" s="78" t="s">
        <v>602</v>
      </c>
      <c r="E10" s="78" t="s">
        <v>369</v>
      </c>
      <c r="F10" s="77"/>
      <c r="G10" s="77"/>
      <c r="H10" s="77"/>
    </row>
    <row r="11" customFormat="false" ht="15" hidden="false" customHeight="false" outlineLevel="0" collapsed="false">
      <c r="A11" s="182" t="n">
        <v>46263</v>
      </c>
      <c r="B11" s="77" t="s">
        <v>372</v>
      </c>
      <c r="C11" s="80" t="n">
        <v>3000</v>
      </c>
      <c r="D11" s="78" t="s">
        <v>602</v>
      </c>
      <c r="E11" s="78" t="s">
        <v>369</v>
      </c>
      <c r="F11" s="77"/>
      <c r="G11" s="77"/>
      <c r="H11" s="77"/>
    </row>
    <row r="12" customFormat="false" ht="15" hidden="false" customHeight="false" outlineLevel="0" collapsed="false">
      <c r="A12" s="183" t="n">
        <v>46310</v>
      </c>
      <c r="B12" s="184" t="s">
        <v>373</v>
      </c>
      <c r="C12" s="185" t="n">
        <v>40000</v>
      </c>
      <c r="D12" s="186" t="s">
        <v>600</v>
      </c>
      <c r="E12" s="186" t="s">
        <v>623</v>
      </c>
      <c r="F12" s="184" t="s">
        <v>624</v>
      </c>
      <c r="G12" s="184"/>
      <c r="H12" s="184"/>
    </row>
    <row r="13" customFormat="false" ht="15" hidden="false" customHeight="false" outlineLevel="0" collapsed="false">
      <c r="A13" s="183" t="n">
        <v>46310</v>
      </c>
      <c r="B13" s="184" t="s">
        <v>375</v>
      </c>
      <c r="C13" s="185" t="n">
        <v>40000</v>
      </c>
      <c r="D13" s="186" t="s">
        <v>600</v>
      </c>
      <c r="E13" s="186" t="s">
        <v>623</v>
      </c>
      <c r="F13" s="184" t="s">
        <v>624</v>
      </c>
      <c r="G13" s="184"/>
      <c r="H13" s="184"/>
    </row>
    <row r="14" customFormat="false" ht="15" hidden="false" customHeight="false" outlineLevel="0" collapsed="false">
      <c r="A14" s="183" t="n">
        <v>46341</v>
      </c>
      <c r="B14" s="184" t="s">
        <v>376</v>
      </c>
      <c r="C14" s="185" t="n">
        <v>40000</v>
      </c>
      <c r="D14" s="186" t="s">
        <v>600</v>
      </c>
      <c r="E14" s="186" t="s">
        <v>623</v>
      </c>
      <c r="F14" s="184" t="s">
        <v>625</v>
      </c>
      <c r="G14" s="184"/>
      <c r="H14" s="184"/>
    </row>
    <row r="15" customFormat="false" ht="15" hidden="false" customHeight="false" outlineLevel="0" collapsed="false">
      <c r="A15" s="187" t="n">
        <v>46371</v>
      </c>
      <c r="B15" s="138" t="s">
        <v>370</v>
      </c>
      <c r="C15" s="128" t="n">
        <v>5000</v>
      </c>
      <c r="D15" s="188" t="s">
        <v>626</v>
      </c>
      <c r="E15" s="188" t="s">
        <v>369</v>
      </c>
      <c r="F15" s="138" t="s">
        <v>627</v>
      </c>
      <c r="G15" s="138"/>
      <c r="H15" s="138"/>
    </row>
    <row r="16" customFormat="false" ht="15" hidden="false" customHeight="false" outlineLevel="0" collapsed="false">
      <c r="A16" s="187" t="n">
        <v>46371</v>
      </c>
      <c r="B16" s="138" t="s">
        <v>371</v>
      </c>
      <c r="C16" s="128" t="n">
        <v>7000</v>
      </c>
      <c r="D16" s="188" t="s">
        <v>626</v>
      </c>
      <c r="E16" s="188" t="s">
        <v>369</v>
      </c>
      <c r="F16" s="138" t="s">
        <v>627</v>
      </c>
      <c r="G16" s="138"/>
      <c r="H16" s="138"/>
    </row>
    <row r="17" customFormat="false" ht="15" hidden="false" customHeight="false" outlineLevel="0" collapsed="false">
      <c r="A17" s="187" t="n">
        <v>46371</v>
      </c>
      <c r="B17" s="138" t="s">
        <v>372</v>
      </c>
      <c r="C17" s="128" t="n">
        <v>5000</v>
      </c>
      <c r="D17" s="188" t="s">
        <v>626</v>
      </c>
      <c r="E17" s="188" t="s">
        <v>369</v>
      </c>
      <c r="F17" s="138" t="s">
        <v>627</v>
      </c>
      <c r="G17" s="138"/>
      <c r="H17" s="138"/>
    </row>
    <row r="18" customFormat="false" ht="15" hidden="false" customHeight="false" outlineLevel="0" collapsed="false">
      <c r="A18" s="187" t="n">
        <v>46553</v>
      </c>
      <c r="B18" s="138" t="s">
        <v>370</v>
      </c>
      <c r="C18" s="128" t="n">
        <v>5000</v>
      </c>
      <c r="D18" s="188" t="s">
        <v>626</v>
      </c>
      <c r="E18" s="188" t="s">
        <v>369</v>
      </c>
      <c r="F18" s="138"/>
      <c r="G18" s="138"/>
      <c r="H18" s="138"/>
    </row>
    <row r="19" customFormat="false" ht="15" hidden="false" customHeight="false" outlineLevel="0" collapsed="false">
      <c r="A19" s="187" t="n">
        <v>46553</v>
      </c>
      <c r="B19" s="138" t="s">
        <v>371</v>
      </c>
      <c r="C19" s="128" t="n">
        <v>5000</v>
      </c>
      <c r="D19" s="188" t="s">
        <v>626</v>
      </c>
      <c r="E19" s="188" t="s">
        <v>369</v>
      </c>
      <c r="F19" s="138"/>
      <c r="G19" s="138"/>
      <c r="H19" s="138"/>
    </row>
    <row r="20" customFormat="false" ht="15" hidden="false" customHeight="false" outlineLevel="0" collapsed="false">
      <c r="A20" s="187" t="n">
        <v>46553</v>
      </c>
      <c r="B20" s="138" t="s">
        <v>372</v>
      </c>
      <c r="C20" s="128" t="n">
        <v>5000</v>
      </c>
      <c r="D20" s="188" t="s">
        <v>626</v>
      </c>
      <c r="E20" s="188" t="s">
        <v>369</v>
      </c>
      <c r="F20" s="138"/>
      <c r="G20" s="138"/>
      <c r="H20" s="138"/>
    </row>
    <row r="21" customFormat="false" ht="15" hidden="false" customHeight="false" outlineLevel="0" collapsed="false">
      <c r="A21" s="187" t="n">
        <v>46736</v>
      </c>
      <c r="B21" s="138" t="s">
        <v>370</v>
      </c>
      <c r="C21" s="128" t="n">
        <v>5000</v>
      </c>
      <c r="D21" s="188" t="s">
        <v>626</v>
      </c>
      <c r="E21" s="188" t="s">
        <v>369</v>
      </c>
      <c r="F21" s="138" t="s">
        <v>628</v>
      </c>
      <c r="G21" s="138"/>
      <c r="H21" s="138"/>
    </row>
    <row r="22" customFormat="false" ht="15" hidden="false" customHeight="false" outlineLevel="0" collapsed="false">
      <c r="A22" s="187" t="n">
        <v>46736</v>
      </c>
      <c r="B22" s="138" t="s">
        <v>371</v>
      </c>
      <c r="C22" s="128" t="n">
        <v>5000</v>
      </c>
      <c r="D22" s="188" t="s">
        <v>626</v>
      </c>
      <c r="E22" s="188" t="s">
        <v>369</v>
      </c>
      <c r="F22" s="138" t="s">
        <v>628</v>
      </c>
      <c r="G22" s="138"/>
      <c r="H22" s="138"/>
    </row>
    <row r="23" customFormat="false" ht="15" hidden="false" customHeight="false" outlineLevel="0" collapsed="false">
      <c r="A23" s="187" t="n">
        <v>46736</v>
      </c>
      <c r="B23" s="138" t="s">
        <v>372</v>
      </c>
      <c r="C23" s="128" t="n">
        <v>5000</v>
      </c>
      <c r="D23" s="188" t="s">
        <v>626</v>
      </c>
      <c r="E23" s="188" t="s">
        <v>369</v>
      </c>
      <c r="F23" s="138" t="s">
        <v>628</v>
      </c>
      <c r="G23" s="138"/>
      <c r="H23" s="138"/>
    </row>
    <row r="24" customFormat="false" ht="15" hidden="false" customHeight="false" outlineLevel="0" collapsed="false">
      <c r="A24" s="189" t="n">
        <v>46402</v>
      </c>
      <c r="B24" s="190"/>
      <c r="C24" s="191" t="n">
        <v>0</v>
      </c>
      <c r="D24" s="192" t="s">
        <v>600</v>
      </c>
      <c r="E24" s="192" t="s">
        <v>623</v>
      </c>
      <c r="F24" s="190"/>
      <c r="G24" s="190"/>
      <c r="H24" s="190"/>
    </row>
    <row r="25" customFormat="false" ht="15" hidden="false" customHeight="false" outlineLevel="0" collapsed="false">
      <c r="A25" s="189" t="n">
        <v>46402</v>
      </c>
      <c r="B25" s="190"/>
      <c r="C25" s="191" t="n">
        <v>0</v>
      </c>
      <c r="D25" s="192" t="s">
        <v>600</v>
      </c>
      <c r="E25" s="192" t="s">
        <v>623</v>
      </c>
      <c r="F25" s="190"/>
      <c r="G25" s="190"/>
      <c r="H25" s="190"/>
    </row>
    <row r="26" customFormat="false" ht="15" hidden="false" customHeight="false" outlineLevel="0" collapsed="false">
      <c r="A26" s="189" t="n">
        <v>46402</v>
      </c>
      <c r="B26" s="190"/>
      <c r="C26" s="191" t="n">
        <v>0</v>
      </c>
      <c r="D26" s="192" t="s">
        <v>600</v>
      </c>
      <c r="E26" s="192" t="s">
        <v>623</v>
      </c>
      <c r="F26" s="190"/>
      <c r="G26" s="190"/>
      <c r="H26" s="190"/>
    </row>
    <row r="27" customFormat="false" ht="15" hidden="false" customHeight="false" outlineLevel="0" collapsed="false">
      <c r="A27" s="189" t="n">
        <v>46402</v>
      </c>
      <c r="B27" s="190"/>
      <c r="C27" s="191" t="n">
        <v>0</v>
      </c>
      <c r="D27" s="192" t="s">
        <v>600</v>
      </c>
      <c r="E27" s="192" t="s">
        <v>623</v>
      </c>
      <c r="F27" s="190"/>
      <c r="G27" s="190"/>
      <c r="H27" s="190"/>
    </row>
    <row r="28" customFormat="false" ht="15" hidden="false" customHeight="false" outlineLevel="0" collapsed="false">
      <c r="A28" s="189" t="n">
        <v>46402</v>
      </c>
      <c r="B28" s="190"/>
      <c r="C28" s="191" t="n">
        <v>0</v>
      </c>
      <c r="D28" s="192" t="s">
        <v>600</v>
      </c>
      <c r="E28" s="192" t="s">
        <v>623</v>
      </c>
      <c r="F28" s="190"/>
      <c r="G28" s="190"/>
      <c r="H28" s="190"/>
    </row>
    <row r="29" customFormat="false" ht="15" hidden="false" customHeight="false" outlineLevel="0" collapsed="false">
      <c r="A29" s="189" t="n">
        <v>46402</v>
      </c>
      <c r="B29" s="190"/>
      <c r="C29" s="191" t="n">
        <v>0</v>
      </c>
      <c r="D29" s="192" t="s">
        <v>600</v>
      </c>
      <c r="E29" s="192" t="s">
        <v>623</v>
      </c>
      <c r="F29" s="190"/>
      <c r="G29" s="190"/>
      <c r="H29" s="190"/>
    </row>
    <row r="30" customFormat="false" ht="15" hidden="false" customHeight="false" outlineLevel="0" collapsed="false">
      <c r="A30" s="189" t="n">
        <v>46402</v>
      </c>
      <c r="B30" s="190"/>
      <c r="C30" s="191" t="n">
        <v>0</v>
      </c>
      <c r="D30" s="192" t="s">
        <v>600</v>
      </c>
      <c r="E30" s="192" t="s">
        <v>623</v>
      </c>
      <c r="F30" s="190"/>
      <c r="G30" s="190"/>
      <c r="H30" s="190"/>
    </row>
    <row r="31" customFormat="false" ht="15" hidden="false" customHeight="false" outlineLevel="0" collapsed="false">
      <c r="A31" s="189" t="n">
        <v>46402</v>
      </c>
      <c r="B31" s="190"/>
      <c r="C31" s="191" t="n">
        <v>0</v>
      </c>
      <c r="D31" s="192" t="s">
        <v>600</v>
      </c>
      <c r="E31" s="192" t="s">
        <v>623</v>
      </c>
      <c r="F31" s="190"/>
      <c r="G31" s="190"/>
      <c r="H31" s="190"/>
    </row>
    <row r="32" customFormat="false" ht="15" hidden="false" customHeight="false" outlineLevel="0" collapsed="false">
      <c r="A32" s="189" t="n">
        <v>46402</v>
      </c>
      <c r="B32" s="190"/>
      <c r="C32" s="191" t="n">
        <v>0</v>
      </c>
      <c r="D32" s="192" t="s">
        <v>600</v>
      </c>
      <c r="E32" s="192" t="s">
        <v>623</v>
      </c>
      <c r="F32" s="190"/>
      <c r="G32" s="190"/>
      <c r="H32" s="190"/>
    </row>
    <row r="33" customFormat="false" ht="15" hidden="false" customHeight="false" outlineLevel="0" collapsed="false">
      <c r="A33" s="189" t="n">
        <v>46402</v>
      </c>
      <c r="B33" s="190"/>
      <c r="C33" s="191" t="n">
        <v>0</v>
      </c>
      <c r="D33" s="192" t="s">
        <v>600</v>
      </c>
      <c r="E33" s="192" t="s">
        <v>623</v>
      </c>
      <c r="F33" s="190"/>
      <c r="G33" s="190"/>
      <c r="H33" s="190"/>
    </row>
    <row r="34" customFormat="false" ht="15" hidden="false" customHeight="false" outlineLevel="0" collapsed="false">
      <c r="A34" s="189" t="n">
        <v>46402</v>
      </c>
      <c r="B34" s="190"/>
      <c r="C34" s="191" t="n">
        <v>0</v>
      </c>
      <c r="D34" s="192" t="s">
        <v>600</v>
      </c>
      <c r="E34" s="192" t="s">
        <v>623</v>
      </c>
      <c r="F34" s="190"/>
      <c r="G34" s="190"/>
      <c r="H34" s="190"/>
    </row>
    <row r="35" customFormat="false" ht="15" hidden="false" customHeight="false" outlineLevel="0" collapsed="false">
      <c r="A35" s="189" t="n">
        <v>46402</v>
      </c>
      <c r="B35" s="190"/>
      <c r="C35" s="191" t="n">
        <v>0</v>
      </c>
      <c r="D35" s="192" t="s">
        <v>600</v>
      </c>
      <c r="E35" s="192" t="s">
        <v>623</v>
      </c>
      <c r="F35" s="190"/>
      <c r="G35" s="190"/>
      <c r="H35" s="190"/>
    </row>
    <row r="36" customFormat="false" ht="15" hidden="false" customHeight="false" outlineLevel="0" collapsed="false">
      <c r="A36" s="189" t="n">
        <v>46402</v>
      </c>
      <c r="B36" s="190"/>
      <c r="C36" s="191" t="n">
        <v>0</v>
      </c>
      <c r="D36" s="192" t="s">
        <v>600</v>
      </c>
      <c r="E36" s="192" t="s">
        <v>623</v>
      </c>
      <c r="F36" s="190"/>
      <c r="G36" s="190"/>
      <c r="H36" s="190"/>
    </row>
    <row r="37" customFormat="false" ht="15" hidden="false" customHeight="false" outlineLevel="0" collapsed="false">
      <c r="A37" s="189" t="n">
        <v>46402</v>
      </c>
      <c r="B37" s="190"/>
      <c r="C37" s="191" t="n">
        <v>0</v>
      </c>
      <c r="D37" s="192" t="s">
        <v>600</v>
      </c>
      <c r="E37" s="192" t="s">
        <v>623</v>
      </c>
      <c r="F37" s="190"/>
      <c r="G37" s="190"/>
      <c r="H37" s="190"/>
    </row>
    <row r="38" customFormat="false" ht="15" hidden="false" customHeight="false" outlineLevel="0" collapsed="false">
      <c r="B38" s="98" t="s">
        <v>629</v>
      </c>
      <c r="C38" s="99" t="n">
        <f aca="false">SUMPRODUCT((($D$6:$D$37="Realizado")+($D$6:$D$37="Compromisso")+($D$6:$D$37="Previsto")*Premissas!$B$85+($D$6:$D$37="Em negociação")*Premissas!$B$86)*$C$6:$C$37)</f>
        <v>200000</v>
      </c>
    </row>
    <row r="40" customFormat="false" ht="18" hidden="false" customHeight="true" outlineLevel="0" collapsed="false">
      <c r="A40" s="25" t="s">
        <v>630</v>
      </c>
      <c r="B40" s="26"/>
      <c r="C40" s="26"/>
      <c r="D40" s="26"/>
      <c r="E40" s="26"/>
      <c r="F40" s="26"/>
      <c r="G40" s="26"/>
      <c r="H40" s="26"/>
    </row>
    <row r="41" customFormat="false" ht="27.75" hidden="false" customHeight="true" outlineLevel="0" collapsed="false">
      <c r="A41" s="193" t="s">
        <v>631</v>
      </c>
      <c r="B41" s="193"/>
      <c r="C41" s="193"/>
      <c r="D41" s="193"/>
      <c r="E41" s="193"/>
      <c r="F41" s="193"/>
      <c r="G41" s="193"/>
      <c r="H41" s="193"/>
    </row>
    <row r="42" customFormat="false" ht="27.75" hidden="false" customHeight="true" outlineLevel="0" collapsed="false">
      <c r="A42" s="76" t="s">
        <v>374</v>
      </c>
      <c r="B42" s="76" t="s">
        <v>289</v>
      </c>
      <c r="C42" s="76" t="s">
        <v>632</v>
      </c>
      <c r="D42" s="76" t="s">
        <v>633</v>
      </c>
      <c r="E42" s="76" t="s">
        <v>634</v>
      </c>
      <c r="F42" s="76" t="s">
        <v>635</v>
      </c>
      <c r="G42" s="76" t="s">
        <v>636</v>
      </c>
      <c r="H42" s="76" t="s">
        <v>621</v>
      </c>
    </row>
    <row r="43" customFormat="false" ht="43.5" hidden="false" customHeight="true" outlineLevel="0" collapsed="false">
      <c r="A43" s="194" t="s">
        <v>637</v>
      </c>
      <c r="B43" s="195" t="s">
        <v>638</v>
      </c>
      <c r="C43" s="196" t="n">
        <v>500000</v>
      </c>
      <c r="D43" s="197" t="n">
        <v>46569</v>
      </c>
      <c r="E43" s="196" t="n">
        <v>80000</v>
      </c>
      <c r="F43" s="197" t="n">
        <v>46569</v>
      </c>
      <c r="G43" s="197" t="n">
        <v>47818</v>
      </c>
      <c r="H43" s="198" t="s">
        <v>639</v>
      </c>
    </row>
    <row r="44" customFormat="false" ht="15" hidden="false" customHeight="false" outlineLevel="0" collapsed="false">
      <c r="A44" s="190"/>
      <c r="B44" s="192" t="s">
        <v>638</v>
      </c>
      <c r="C44" s="191" t="n">
        <v>0</v>
      </c>
      <c r="D44" s="199" t="n">
        <v>46753</v>
      </c>
      <c r="E44" s="191" t="n">
        <v>0</v>
      </c>
      <c r="F44" s="199" t="n">
        <v>46753</v>
      </c>
      <c r="G44" s="199" t="n">
        <v>47818</v>
      </c>
      <c r="H44" s="200"/>
    </row>
    <row r="45" customFormat="false" ht="15" hidden="false" customHeight="false" outlineLevel="0" collapsed="false">
      <c r="A45" s="190"/>
      <c r="B45" s="192" t="s">
        <v>638</v>
      </c>
      <c r="C45" s="191" t="n">
        <v>0</v>
      </c>
      <c r="D45" s="199" t="n">
        <v>46753</v>
      </c>
      <c r="E45" s="191" t="n">
        <v>0</v>
      </c>
      <c r="F45" s="199" t="n">
        <v>46753</v>
      </c>
      <c r="G45" s="199" t="n">
        <v>47818</v>
      </c>
      <c r="H45" s="200"/>
    </row>
    <row r="46" customFormat="false" ht="15" hidden="false" customHeight="false" outlineLevel="0" collapsed="false">
      <c r="A46" s="190"/>
      <c r="B46" s="192" t="s">
        <v>638</v>
      </c>
      <c r="C46" s="191" t="n">
        <v>0</v>
      </c>
      <c r="D46" s="199" t="n">
        <v>46753</v>
      </c>
      <c r="E46" s="191" t="n">
        <v>0</v>
      </c>
      <c r="F46" s="199" t="n">
        <v>46753</v>
      </c>
      <c r="G46" s="199" t="n">
        <v>47818</v>
      </c>
      <c r="H46" s="200"/>
    </row>
    <row r="47" customFormat="false" ht="15" hidden="false" customHeight="false" outlineLevel="0" collapsed="false">
      <c r="A47" s="190"/>
      <c r="B47" s="192" t="s">
        <v>638</v>
      </c>
      <c r="C47" s="191" t="n">
        <v>0</v>
      </c>
      <c r="D47" s="199" t="n">
        <v>46753</v>
      </c>
      <c r="E47" s="191" t="n">
        <v>0</v>
      </c>
      <c r="F47" s="199" t="n">
        <v>46753</v>
      </c>
      <c r="G47" s="199" t="n">
        <v>47818</v>
      </c>
      <c r="H47" s="200"/>
    </row>
    <row r="48" customFormat="false" ht="15" hidden="false" customHeight="false" outlineLevel="0" collapsed="false">
      <c r="A48" s="190"/>
      <c r="B48" s="192" t="s">
        <v>638</v>
      </c>
      <c r="C48" s="191" t="n">
        <v>0</v>
      </c>
      <c r="D48" s="199" t="n">
        <v>46753</v>
      </c>
      <c r="E48" s="191" t="n">
        <v>0</v>
      </c>
      <c r="F48" s="199" t="n">
        <v>46753</v>
      </c>
      <c r="G48" s="199" t="n">
        <v>47818</v>
      </c>
      <c r="H48" s="200"/>
    </row>
    <row r="49" customFormat="false" ht="15" hidden="false" customHeight="false" outlineLevel="0" collapsed="false">
      <c r="A49" s="190"/>
      <c r="B49" s="192" t="s">
        <v>638</v>
      </c>
      <c r="C49" s="191" t="n">
        <v>0</v>
      </c>
      <c r="D49" s="199" t="n">
        <v>46753</v>
      </c>
      <c r="E49" s="191" t="n">
        <v>0</v>
      </c>
      <c r="F49" s="199" t="n">
        <v>46753</v>
      </c>
      <c r="G49" s="199" t="n">
        <v>47818</v>
      </c>
      <c r="H49" s="200"/>
    </row>
    <row r="50" customFormat="false" ht="15" hidden="false" customHeight="false" outlineLevel="0" collapsed="false">
      <c r="A50" s="190"/>
      <c r="B50" s="192" t="s">
        <v>638</v>
      </c>
      <c r="C50" s="191" t="n">
        <v>0</v>
      </c>
      <c r="D50" s="199" t="n">
        <v>46753</v>
      </c>
      <c r="E50" s="191" t="n">
        <v>0</v>
      </c>
      <c r="F50" s="199" t="n">
        <v>46753</v>
      </c>
      <c r="G50" s="199" t="n">
        <v>47818</v>
      </c>
      <c r="H50" s="200"/>
    </row>
    <row r="51" customFormat="false" ht="15" hidden="false" customHeight="false" outlineLevel="0" collapsed="false">
      <c r="A51" s="98" t="s">
        <v>326</v>
      </c>
      <c r="C51" s="99" t="n">
        <f aca="false">SUMPRODUCT((($B$43:$B$50="Confirmado")+($B$43:$B$50="Em negociação")*Premissas!$B$86)*$C$43:$C$50)</f>
        <v>0</v>
      </c>
      <c r="E51" s="99" t="n">
        <f aca="false">SUMPRODUCT((($B$43:$B$50="Confirmado")+($B$43:$B$50="Em negociação")*Premissas!$B$86)*$E$43:$E$50)</f>
        <v>0</v>
      </c>
      <c r="I51" s="29" t="s">
        <v>640</v>
      </c>
    </row>
    <row r="53" customFormat="false" ht="18" hidden="false" customHeight="true" outlineLevel="0" collapsed="false">
      <c r="A53" s="25" t="s">
        <v>641</v>
      </c>
      <c r="B53" s="26"/>
      <c r="C53" s="26"/>
      <c r="D53" s="26"/>
      <c r="E53" s="26"/>
      <c r="F53" s="26"/>
      <c r="G53" s="26"/>
      <c r="H53" s="26"/>
    </row>
    <row r="54" customFormat="false" ht="15" hidden="false" customHeight="false" outlineLevel="0" collapsed="false">
      <c r="B54" s="116" t="s">
        <v>642</v>
      </c>
      <c r="C54" s="144" t="n">
        <f aca="false">SUMIFS($C$6:$C$37,$D$6:$D$37,"Realizado")</f>
        <v>33000</v>
      </c>
    </row>
    <row r="55" customFormat="false" ht="15" hidden="false" customHeight="false" outlineLevel="0" collapsed="false">
      <c r="B55" s="116" t="s">
        <v>643</v>
      </c>
      <c r="C55" s="144" t="n">
        <f aca="false">SUMIFS($C$6:$C$37,$D$6:$D$37,"Compromisso")</f>
        <v>47000</v>
      </c>
    </row>
    <row r="56" customFormat="false" ht="15" hidden="false" customHeight="false" outlineLevel="0" collapsed="false">
      <c r="B56" s="116" t="s">
        <v>644</v>
      </c>
      <c r="C56" s="144" t="n">
        <f aca="false">SUMIFS($C$6:$C$37,$D$6:$D$37,"Previsto")*Premissas!$B$85</f>
        <v>120000</v>
      </c>
    </row>
    <row r="57" customFormat="false" ht="15" hidden="false" customHeight="false" outlineLevel="0" collapsed="false">
      <c r="B57" s="116" t="s">
        <v>645</v>
      </c>
      <c r="C57" s="144" t="n">
        <f aca="false">SUMIFS($C$6:$C$37,$D$6:$D$37,"Em negociação")*Premissas!$B$86</f>
        <v>0</v>
      </c>
    </row>
    <row r="58" customFormat="false" ht="15" hidden="false" customHeight="false" outlineLevel="0" collapsed="false">
      <c r="B58" s="116" t="s">
        <v>646</v>
      </c>
      <c r="C58" s="144" t="n">
        <f aca="false">SUMPRODUCT((($B$43:$B$50="Confirmado")+($B$43:$B$50="Em negociação")*Premissas!$B$86)*$C$43:$C$50)</f>
        <v>0</v>
      </c>
    </row>
    <row r="59" customFormat="false" ht="15" hidden="false" customHeight="false" outlineLevel="0" collapsed="false">
      <c r="B59" s="98" t="s">
        <v>647</v>
      </c>
      <c r="C59" s="99" t="n">
        <f aca="false">C38+C51</f>
        <v>200000</v>
      </c>
      <c r="E59" s="29" t="s">
        <v>648</v>
      </c>
    </row>
    <row r="62" customFormat="false" ht="18" hidden="false" customHeight="true" outlineLevel="0" collapsed="false">
      <c r="A62" s="25" t="s">
        <v>649</v>
      </c>
      <c r="B62" s="26"/>
      <c r="C62" s="26"/>
      <c r="D62" s="26"/>
      <c r="E62" s="26"/>
      <c r="F62" s="26"/>
      <c r="G62" s="26"/>
      <c r="H62" s="26"/>
    </row>
    <row r="63" customFormat="false" ht="15" hidden="false" customHeight="false" outlineLevel="0" collapsed="false">
      <c r="A63" s="137" t="s">
        <v>369</v>
      </c>
      <c r="B63" s="137" t="s">
        <v>650</v>
      </c>
      <c r="C63" s="137" t="s">
        <v>651</v>
      </c>
      <c r="D63" s="137" t="s">
        <v>652</v>
      </c>
      <c r="E63" s="137" t="s">
        <v>653</v>
      </c>
      <c r="F63" s="137" t="s">
        <v>654</v>
      </c>
    </row>
    <row r="64" customFormat="false" ht="15" hidden="false" customHeight="false" outlineLevel="0" collapsed="false">
      <c r="A64" s="201" t="s">
        <v>368</v>
      </c>
      <c r="B64" s="202" t="n">
        <v>20000</v>
      </c>
      <c r="C64" s="203" t="n">
        <f aca="false">SUMIFS($C$6:$C$37,$B$6:$B$37,$A64,$A$6:$A$37,"&lt;="&amp;DATE(2026,12,31))</f>
        <v>20000</v>
      </c>
      <c r="D64" s="203" t="n">
        <f aca="false">SUMIFS($C$6:$C$37,$B$6:$B$37,$A64)</f>
        <v>20000</v>
      </c>
      <c r="E64" s="203" t="n">
        <f aca="false">MAX(0,10000-$C64)</f>
        <v>0</v>
      </c>
      <c r="F64" s="203" t="n">
        <f aca="false">MAX(0,$B64-$D64)</f>
        <v>0</v>
      </c>
      <c r="H64" s="29" t="s">
        <v>655</v>
      </c>
    </row>
    <row r="65" customFormat="false" ht="15" hidden="false" customHeight="false" outlineLevel="0" collapsed="false">
      <c r="A65" s="201" t="s">
        <v>370</v>
      </c>
      <c r="B65" s="202" t="n">
        <v>20000</v>
      </c>
      <c r="C65" s="203" t="n">
        <f aca="false">SUMIFS($C$6:$C$37,$B$6:$B$37,$A65,$A$6:$A$37,"&lt;="&amp;DATE(2026,12,31))</f>
        <v>10000</v>
      </c>
      <c r="D65" s="203" t="n">
        <f aca="false">SUMIFS($C$6:$C$37,$B$6:$B$37,$A65)</f>
        <v>20000</v>
      </c>
      <c r="E65" s="203" t="n">
        <f aca="false">MAX(0,10000-$C65)</f>
        <v>0</v>
      </c>
      <c r="F65" s="203" t="n">
        <f aca="false">MAX(0,$B65-$D65)</f>
        <v>0</v>
      </c>
    </row>
    <row r="66" customFormat="false" ht="15" hidden="false" customHeight="false" outlineLevel="0" collapsed="false">
      <c r="A66" s="201" t="s">
        <v>371</v>
      </c>
      <c r="B66" s="202" t="n">
        <v>20000</v>
      </c>
      <c r="C66" s="203" t="n">
        <f aca="false">SUMIFS($C$6:$C$37,$B$6:$B$37,$A66,$A$6:$A$37,"&lt;="&amp;DATE(2026,12,31))</f>
        <v>10000</v>
      </c>
      <c r="D66" s="203" t="n">
        <f aca="false">SUMIFS($C$6:$C$37,$B$6:$B$37,$A66)</f>
        <v>20000</v>
      </c>
      <c r="E66" s="203" t="n">
        <f aca="false">MAX(0,10000-$C66)</f>
        <v>0</v>
      </c>
      <c r="F66" s="203" t="n">
        <f aca="false">MAX(0,$B66-$D66)</f>
        <v>0</v>
      </c>
    </row>
    <row r="67" customFormat="false" ht="15" hidden="false" customHeight="false" outlineLevel="0" collapsed="false">
      <c r="A67" s="201" t="s">
        <v>372</v>
      </c>
      <c r="B67" s="202" t="n">
        <v>20000</v>
      </c>
      <c r="C67" s="203" t="n">
        <f aca="false">SUMIFS($C$6:$C$37,$B$6:$B$37,$A67,$A$6:$A$37,"&lt;="&amp;DATE(2026,12,31))</f>
        <v>10000</v>
      </c>
      <c r="D67" s="203" t="n">
        <f aca="false">SUMIFS($C$6:$C$37,$B$6:$B$37,$A67)</f>
        <v>20000</v>
      </c>
      <c r="E67" s="203" t="n">
        <f aca="false">MAX(0,10000-$C67)</f>
        <v>0</v>
      </c>
      <c r="F67" s="203" t="n">
        <f aca="false">MAX(0,$B67-$D67)</f>
        <v>0</v>
      </c>
    </row>
    <row r="70" customFormat="false" ht="18" hidden="false" customHeight="true" outlineLevel="0" collapsed="false">
      <c r="A70" s="25" t="s">
        <v>656</v>
      </c>
      <c r="B70" s="26"/>
      <c r="C70" s="26"/>
      <c r="D70" s="26"/>
      <c r="E70" s="26"/>
      <c r="F70" s="26"/>
      <c r="G70" s="26"/>
      <c r="H70" s="26"/>
    </row>
    <row r="71" customFormat="false" ht="31.5" hidden="false" customHeight="true" outlineLevel="0" collapsed="false">
      <c r="A71" s="204" t="s">
        <v>657</v>
      </c>
      <c r="B71" s="204"/>
      <c r="C71" s="204"/>
      <c r="D71" s="204"/>
      <c r="E71" s="204"/>
      <c r="F71" s="204"/>
      <c r="G71" s="204"/>
      <c r="H71" s="204"/>
    </row>
    <row r="72" customFormat="false" ht="15" hidden="false" customHeight="false" outlineLevel="0" collapsed="false">
      <c r="A72" s="52" t="s">
        <v>620</v>
      </c>
      <c r="B72" s="52" t="s">
        <v>658</v>
      </c>
      <c r="C72" s="52" t="s">
        <v>659</v>
      </c>
    </row>
    <row r="73" customFormat="false" ht="15" hidden="false" customHeight="false" outlineLevel="0" collapsed="false">
      <c r="A73" s="201" t="s">
        <v>368</v>
      </c>
      <c r="B73" s="203" t="n">
        <f aca="false">IF($A73="",0,SUMPRODUCT((($D$6:$D$37="Realizado")+($D$6:$D$37="Compromisso")+($D$6:$D$37="Previsto")*Premissas!$B$85+($D$6:$D$37="Em negociação")*Premissas!$B$86)*($B$6:$B$37=$A73)*$C$6:$C$37)+SUMPRODUCT((($B$43:$B$50="Confirmado")+($B$43:$B$50="Em negociação")*Premissas!$B$86)*($A$43:$A$50=$A73)*$C$43:$C$50))</f>
        <v>20000</v>
      </c>
      <c r="C73" s="205" t="n">
        <f aca="false">IFERROR($B73/$B$86,0)</f>
        <v>0.1</v>
      </c>
    </row>
    <row r="74" customFormat="false" ht="15" hidden="false" customHeight="false" outlineLevel="0" collapsed="false">
      <c r="A74" s="201" t="s">
        <v>370</v>
      </c>
      <c r="B74" s="203" t="n">
        <f aca="false">IF($A74="",0,SUMPRODUCT((($D$6:$D$37="Realizado")+($D$6:$D$37="Compromisso")+($D$6:$D$37="Previsto")*Premissas!$B$85+($D$6:$D$37="Em negociação")*Premissas!$B$86)*($B$6:$B$37=$A74)*$C$6:$C$37)+SUMPRODUCT((($B$43:$B$50="Confirmado")+($B$43:$B$50="Em negociação")*Premissas!$B$86)*($A$43:$A$50=$A74)*$C$43:$C$50))</f>
        <v>20000</v>
      </c>
      <c r="C74" s="205" t="n">
        <f aca="false">IFERROR($B74/$B$86,0)</f>
        <v>0.1</v>
      </c>
    </row>
    <row r="75" customFormat="false" ht="15" hidden="false" customHeight="false" outlineLevel="0" collapsed="false">
      <c r="A75" s="201" t="s">
        <v>371</v>
      </c>
      <c r="B75" s="203" t="n">
        <f aca="false">IF($A75="",0,SUMPRODUCT((($D$6:$D$37="Realizado")+($D$6:$D$37="Compromisso")+($D$6:$D$37="Previsto")*Premissas!$B$85+($D$6:$D$37="Em negociação")*Premissas!$B$86)*($B$6:$B$37=$A75)*$C$6:$C$37)+SUMPRODUCT((($B$43:$B$50="Confirmado")+($B$43:$B$50="Em negociação")*Premissas!$B$86)*($A$43:$A$50=$A75)*$C$43:$C$50))</f>
        <v>20000</v>
      </c>
      <c r="C75" s="205" t="n">
        <f aca="false">IFERROR($B75/$B$86,0)</f>
        <v>0.1</v>
      </c>
    </row>
    <row r="76" customFormat="false" ht="15" hidden="false" customHeight="false" outlineLevel="0" collapsed="false">
      <c r="A76" s="201" t="s">
        <v>372</v>
      </c>
      <c r="B76" s="203" t="n">
        <f aca="false">IF($A76="",0,SUMPRODUCT((($D$6:$D$37="Realizado")+($D$6:$D$37="Compromisso")+($D$6:$D$37="Previsto")*Premissas!$B$85+($D$6:$D$37="Em negociação")*Premissas!$B$86)*($B$6:$B$37=$A76)*$C$6:$C$37)+SUMPRODUCT((($B$43:$B$50="Confirmado")+($B$43:$B$50="Em negociação")*Premissas!$B$86)*($A$43:$A$50=$A76)*$C$43:$C$50))</f>
        <v>20000</v>
      </c>
      <c r="C76" s="205" t="n">
        <f aca="false">IFERROR($B76/$B$86,0)</f>
        <v>0.1</v>
      </c>
    </row>
    <row r="77" customFormat="false" ht="15" hidden="false" customHeight="false" outlineLevel="0" collapsed="false">
      <c r="A77" s="201" t="s">
        <v>373</v>
      </c>
      <c r="B77" s="203" t="n">
        <f aca="false">IF($A77="",0,SUMPRODUCT((($D$6:$D$37="Realizado")+($D$6:$D$37="Compromisso")+($D$6:$D$37="Previsto")*Premissas!$B$85+($D$6:$D$37="Em negociação")*Premissas!$B$86)*($B$6:$B$37=$A77)*$C$6:$C$37)+SUMPRODUCT((($B$43:$B$50="Confirmado")+($B$43:$B$50="Em negociação")*Premissas!$B$86)*($A$43:$A$50=$A77)*$C$43:$C$50))</f>
        <v>40000</v>
      </c>
      <c r="C77" s="205" t="n">
        <f aca="false">IFERROR($B77/$B$86,0)</f>
        <v>0.2</v>
      </c>
    </row>
    <row r="78" customFormat="false" ht="15" hidden="false" customHeight="false" outlineLevel="0" collapsed="false">
      <c r="A78" s="201" t="s">
        <v>375</v>
      </c>
      <c r="B78" s="203" t="n">
        <f aca="false">IF($A78="",0,SUMPRODUCT((($D$6:$D$37="Realizado")+($D$6:$D$37="Compromisso")+($D$6:$D$37="Previsto")*Premissas!$B$85+($D$6:$D$37="Em negociação")*Premissas!$B$86)*($B$6:$B$37=$A78)*$C$6:$C$37)+SUMPRODUCT((($B$43:$B$50="Confirmado")+($B$43:$B$50="Em negociação")*Premissas!$B$86)*($A$43:$A$50=$A78)*$C$43:$C$50))</f>
        <v>40000</v>
      </c>
      <c r="C78" s="205" t="n">
        <f aca="false">IFERROR($B78/$B$86,0)</f>
        <v>0.2</v>
      </c>
    </row>
    <row r="79" customFormat="false" ht="15" hidden="false" customHeight="false" outlineLevel="0" collapsed="false">
      <c r="A79" s="201" t="s">
        <v>376</v>
      </c>
      <c r="B79" s="203" t="n">
        <f aca="false">IF($A79="",0,SUMPRODUCT((($D$6:$D$37="Realizado")+($D$6:$D$37="Compromisso")+($D$6:$D$37="Previsto")*Premissas!$B$85+($D$6:$D$37="Em negociação")*Premissas!$B$86)*($B$6:$B$37=$A79)*$C$6:$C$37)+SUMPRODUCT((($B$43:$B$50="Confirmado")+($B$43:$B$50="Em negociação")*Premissas!$B$86)*($A$43:$A$50=$A79)*$C$43:$C$50))</f>
        <v>40000</v>
      </c>
      <c r="C79" s="205" t="n">
        <f aca="false">IFERROR($B79/$B$86,0)</f>
        <v>0.2</v>
      </c>
    </row>
    <row r="80" customFormat="false" ht="15" hidden="false" customHeight="false" outlineLevel="0" collapsed="false">
      <c r="A80" s="190"/>
      <c r="B80" s="203" t="n">
        <f aca="false">IF($A80="",0,SUMPRODUCT((($D$6:$D$37="Realizado")+($D$6:$D$37="Compromisso")+($D$6:$D$37="Previsto")*Premissas!$B$85+($D$6:$D$37="Em negociação")*Premissas!$B$86)*($B$6:$B$37=$A80)*$C$6:$C$37)+SUMPRODUCT((($B$43:$B$50="Confirmado")+($B$43:$B$50="Em negociação")*Premissas!$B$86)*($A$43:$A$50=$A80)*$C$43:$C$50))</f>
        <v>0</v>
      </c>
      <c r="C80" s="205" t="n">
        <f aca="false">IFERROR($B80/$B$86,0)</f>
        <v>0</v>
      </c>
    </row>
    <row r="81" customFormat="false" ht="15" hidden="false" customHeight="false" outlineLevel="0" collapsed="false">
      <c r="A81" s="190"/>
      <c r="B81" s="203" t="n">
        <f aca="false">IF($A81="",0,SUMPRODUCT((($D$6:$D$37="Realizado")+($D$6:$D$37="Compromisso")+($D$6:$D$37="Previsto")*Premissas!$B$85+($D$6:$D$37="Em negociação")*Premissas!$B$86)*($B$6:$B$37=$A81)*$C$6:$C$37)+SUMPRODUCT((($B$43:$B$50="Confirmado")+($B$43:$B$50="Em negociação")*Premissas!$B$86)*($A$43:$A$50=$A81)*$C$43:$C$50))</f>
        <v>0</v>
      </c>
      <c r="C81" s="205" t="n">
        <f aca="false">IFERROR($B81/$B$86,0)</f>
        <v>0</v>
      </c>
    </row>
    <row r="82" customFormat="false" ht="15" hidden="false" customHeight="false" outlineLevel="0" collapsed="false">
      <c r="A82" s="190"/>
      <c r="B82" s="203" t="n">
        <f aca="false">IF($A82="",0,SUMPRODUCT((($D$6:$D$37="Realizado")+($D$6:$D$37="Compromisso")+($D$6:$D$37="Previsto")*Premissas!$B$85+($D$6:$D$37="Em negociação")*Premissas!$B$86)*($B$6:$B$37=$A82)*$C$6:$C$37)+SUMPRODUCT((($B$43:$B$50="Confirmado")+($B$43:$B$50="Em negociação")*Premissas!$B$86)*($A$43:$A$50=$A82)*$C$43:$C$50))</f>
        <v>0</v>
      </c>
      <c r="C82" s="205" t="n">
        <f aca="false">IFERROR($B82/$B$86,0)</f>
        <v>0</v>
      </c>
    </row>
    <row r="83" customFormat="false" ht="15" hidden="false" customHeight="false" outlineLevel="0" collapsed="false">
      <c r="A83" s="190"/>
      <c r="B83" s="203" t="n">
        <f aca="false">IF($A83="",0,SUMPRODUCT((($D$6:$D$37="Realizado")+($D$6:$D$37="Compromisso")+($D$6:$D$37="Previsto")*Premissas!$B$85+($D$6:$D$37="Em negociação")*Premissas!$B$86)*($B$6:$B$37=$A83)*$C$6:$C$37)+SUMPRODUCT((($B$43:$B$50="Confirmado")+($B$43:$B$50="Em negociação")*Premissas!$B$86)*($A$43:$A$50=$A83)*$C$43:$C$50))</f>
        <v>0</v>
      </c>
      <c r="C83" s="205" t="n">
        <f aca="false">IFERROR($B83/$B$86,0)</f>
        <v>0</v>
      </c>
    </row>
    <row r="84" customFormat="false" ht="15" hidden="false" customHeight="false" outlineLevel="0" collapsed="false">
      <c r="A84" s="190"/>
      <c r="B84" s="203" t="n">
        <f aca="false">IF($A84="",0,SUMPRODUCT((($D$6:$D$37="Realizado")+($D$6:$D$37="Compromisso")+($D$6:$D$37="Previsto")*Premissas!$B$85+($D$6:$D$37="Em negociação")*Premissas!$B$86)*($B$6:$B$37=$A84)*$C$6:$C$37)+SUMPRODUCT((($B$43:$B$50="Confirmado")+($B$43:$B$50="Em negociação")*Premissas!$B$86)*($A$43:$A$50=$A84)*$C$43:$C$50))</f>
        <v>0</v>
      </c>
      <c r="C84" s="205" t="n">
        <f aca="false">IFERROR($B84/$B$86,0)</f>
        <v>0</v>
      </c>
    </row>
    <row r="85" customFormat="false" ht="15" hidden="false" customHeight="false" outlineLevel="0" collapsed="false">
      <c r="A85" s="190"/>
      <c r="B85" s="203" t="n">
        <f aca="false">IF($A85="",0,SUMPRODUCT((($D$6:$D$37="Realizado")+($D$6:$D$37="Compromisso")+($D$6:$D$37="Previsto")*Premissas!$B$85+($D$6:$D$37="Em negociação")*Premissas!$B$86)*($B$6:$B$37=$A85)*$C$6:$C$37)+SUMPRODUCT((($B$43:$B$50="Confirmado")+($B$43:$B$50="Em negociação")*Premissas!$B$86)*($A$43:$A$50=$A85)*$C$43:$C$50))</f>
        <v>0</v>
      </c>
      <c r="C85" s="205" t="n">
        <f aca="false">IFERROR($B85/$B$86,0)</f>
        <v>0</v>
      </c>
    </row>
    <row r="86" customFormat="false" ht="15" hidden="false" customHeight="false" outlineLevel="0" collapsed="false">
      <c r="A86" s="98" t="s">
        <v>326</v>
      </c>
      <c r="B86" s="99" t="n">
        <f aca="false">SUM(B73:B85)</f>
        <v>200000</v>
      </c>
      <c r="C86" s="206" t="n">
        <f aca="false">SUM(C73:C85)</f>
        <v>1</v>
      </c>
    </row>
    <row r="87" customFormat="false" ht="15" hidden="false" customHeight="false" outlineLevel="0" collapsed="false">
      <c r="A87" s="207" t="s">
        <v>660</v>
      </c>
      <c r="B87" s="208" t="n">
        <f aca="false">C38+C51-B86</f>
        <v>0</v>
      </c>
      <c r="C87" s="132" t="str">
        <f aca="false">IF(ROUND(B87,2)=0,"✔ tudo atribuído","⚠ acrescente o nome que falta")</f>
        <v>✔ tudo atribuído</v>
      </c>
      <c r="E87" s="29" t="s">
        <v>661</v>
      </c>
    </row>
    <row r="89" customFormat="false" ht="18" hidden="false" customHeight="true" outlineLevel="0" collapsed="false">
      <c r="A89" s="25" t="s">
        <v>662</v>
      </c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/>
      <c r="BJ89" s="26"/>
      <c r="BK89" s="26"/>
    </row>
    <row r="90" customFormat="false" ht="15" hidden="false" customHeight="false" outlineLevel="0" collapsed="false">
      <c r="A90" s="100" t="s">
        <v>325</v>
      </c>
      <c r="B90" s="101" t="n">
        <v>46023</v>
      </c>
      <c r="C90" s="101" t="n">
        <v>46054</v>
      </c>
      <c r="D90" s="101" t="n">
        <v>46082</v>
      </c>
      <c r="E90" s="101" t="n">
        <v>46113</v>
      </c>
      <c r="F90" s="101" t="n">
        <v>46143</v>
      </c>
      <c r="G90" s="101" t="n">
        <v>46174</v>
      </c>
      <c r="H90" s="101" t="n">
        <v>46204</v>
      </c>
      <c r="I90" s="101" t="n">
        <v>46235</v>
      </c>
      <c r="J90" s="101" t="n">
        <v>46266</v>
      </c>
      <c r="K90" s="101" t="n">
        <v>46296</v>
      </c>
      <c r="L90" s="101" t="n">
        <v>46327</v>
      </c>
      <c r="M90" s="101" t="n">
        <v>46357</v>
      </c>
      <c r="N90" s="101" t="n">
        <v>46388</v>
      </c>
      <c r="O90" s="101" t="n">
        <v>46419</v>
      </c>
      <c r="P90" s="101" t="n">
        <v>46447</v>
      </c>
      <c r="Q90" s="101" t="n">
        <v>46478</v>
      </c>
      <c r="R90" s="101" t="n">
        <v>46508</v>
      </c>
      <c r="S90" s="101" t="n">
        <v>46539</v>
      </c>
      <c r="T90" s="101" t="n">
        <v>46569</v>
      </c>
      <c r="U90" s="101" t="n">
        <v>46600</v>
      </c>
      <c r="V90" s="101" t="n">
        <v>46631</v>
      </c>
      <c r="W90" s="101" t="n">
        <v>46661</v>
      </c>
      <c r="X90" s="101" t="n">
        <v>46692</v>
      </c>
      <c r="Y90" s="101" t="n">
        <v>46722</v>
      </c>
      <c r="Z90" s="101" t="n">
        <v>46753</v>
      </c>
      <c r="AA90" s="101" t="n">
        <v>46784</v>
      </c>
      <c r="AB90" s="101" t="n">
        <v>46813</v>
      </c>
      <c r="AC90" s="101" t="n">
        <v>46844</v>
      </c>
      <c r="AD90" s="101" t="n">
        <v>46874</v>
      </c>
      <c r="AE90" s="101" t="n">
        <v>46905</v>
      </c>
      <c r="AF90" s="101" t="n">
        <v>46935</v>
      </c>
      <c r="AG90" s="101" t="n">
        <v>46966</v>
      </c>
      <c r="AH90" s="101" t="n">
        <v>46997</v>
      </c>
      <c r="AI90" s="101" t="n">
        <v>47027</v>
      </c>
      <c r="AJ90" s="101" t="n">
        <v>47058</v>
      </c>
      <c r="AK90" s="101" t="n">
        <v>47088</v>
      </c>
      <c r="AL90" s="101" t="n">
        <v>47119</v>
      </c>
      <c r="AM90" s="101" t="n">
        <v>47150</v>
      </c>
      <c r="AN90" s="101" t="n">
        <v>47178</v>
      </c>
      <c r="AO90" s="101" t="n">
        <v>47209</v>
      </c>
      <c r="AP90" s="101" t="n">
        <v>47239</v>
      </c>
      <c r="AQ90" s="101" t="n">
        <v>47270</v>
      </c>
      <c r="AR90" s="101" t="n">
        <v>47300</v>
      </c>
      <c r="AS90" s="101" t="n">
        <v>47331</v>
      </c>
      <c r="AT90" s="101" t="n">
        <v>47362</v>
      </c>
      <c r="AU90" s="101" t="n">
        <v>47392</v>
      </c>
      <c r="AV90" s="101" t="n">
        <v>47423</v>
      </c>
      <c r="AW90" s="101" t="n">
        <v>47453</v>
      </c>
      <c r="AX90" s="101" t="n">
        <v>47484</v>
      </c>
      <c r="AY90" s="101" t="n">
        <v>47515</v>
      </c>
      <c r="AZ90" s="101" t="n">
        <v>47543</v>
      </c>
      <c r="BA90" s="101" t="n">
        <v>47574</v>
      </c>
      <c r="BB90" s="101" t="n">
        <v>47604</v>
      </c>
      <c r="BC90" s="101" t="n">
        <v>47635</v>
      </c>
      <c r="BD90" s="101" t="n">
        <v>47665</v>
      </c>
      <c r="BE90" s="101" t="n">
        <v>47696</v>
      </c>
      <c r="BF90" s="101" t="n">
        <v>47727</v>
      </c>
      <c r="BG90" s="101" t="n">
        <v>47757</v>
      </c>
      <c r="BH90" s="101" t="n">
        <v>47788</v>
      </c>
      <c r="BI90" s="101" t="n">
        <v>47818</v>
      </c>
      <c r="BJ90" s="102" t="s">
        <v>326</v>
      </c>
      <c r="BK90" s="102" t="s">
        <v>327</v>
      </c>
    </row>
    <row r="91" customFormat="false" ht="15" hidden="false" customHeight="false" outlineLevel="0" collapsed="false">
      <c r="A91" s="103" t="s">
        <v>328</v>
      </c>
      <c r="B91" s="104" t="n">
        <v>1</v>
      </c>
      <c r="C91" s="104" t="n">
        <v>2</v>
      </c>
      <c r="D91" s="104" t="n">
        <v>3</v>
      </c>
      <c r="E91" s="104" t="n">
        <v>4</v>
      </c>
      <c r="F91" s="104" t="n">
        <v>5</v>
      </c>
      <c r="G91" s="104" t="n">
        <v>6</v>
      </c>
      <c r="H91" s="104" t="n">
        <v>7</v>
      </c>
      <c r="I91" s="104" t="n">
        <v>8</v>
      </c>
      <c r="J91" s="104" t="n">
        <v>9</v>
      </c>
      <c r="K91" s="104" t="n">
        <v>10</v>
      </c>
      <c r="L91" s="104" t="n">
        <v>11</v>
      </c>
      <c r="M91" s="104" t="n">
        <v>12</v>
      </c>
      <c r="N91" s="104" t="n">
        <v>13</v>
      </c>
      <c r="O91" s="104" t="n">
        <v>14</v>
      </c>
      <c r="P91" s="104" t="n">
        <v>15</v>
      </c>
      <c r="Q91" s="104" t="n">
        <v>16</v>
      </c>
      <c r="R91" s="104" t="n">
        <v>17</v>
      </c>
      <c r="S91" s="104" t="n">
        <v>18</v>
      </c>
      <c r="T91" s="104" t="n">
        <v>19</v>
      </c>
      <c r="U91" s="104" t="n">
        <v>20</v>
      </c>
      <c r="V91" s="104" t="n">
        <v>21</v>
      </c>
      <c r="W91" s="104" t="n">
        <v>22</v>
      </c>
      <c r="X91" s="104" t="n">
        <v>23</v>
      </c>
      <c r="Y91" s="104" t="n">
        <v>24</v>
      </c>
      <c r="Z91" s="104" t="n">
        <v>25</v>
      </c>
      <c r="AA91" s="104" t="n">
        <v>26</v>
      </c>
      <c r="AB91" s="104" t="n">
        <v>27</v>
      </c>
      <c r="AC91" s="104" t="n">
        <v>28</v>
      </c>
      <c r="AD91" s="104" t="n">
        <v>29</v>
      </c>
      <c r="AE91" s="104" t="n">
        <v>30</v>
      </c>
      <c r="AF91" s="104" t="n">
        <v>31</v>
      </c>
      <c r="AG91" s="104" t="n">
        <v>32</v>
      </c>
      <c r="AH91" s="104" t="n">
        <v>33</v>
      </c>
      <c r="AI91" s="104" t="n">
        <v>34</v>
      </c>
      <c r="AJ91" s="104" t="n">
        <v>35</v>
      </c>
      <c r="AK91" s="104" t="n">
        <v>36</v>
      </c>
      <c r="AL91" s="104" t="n">
        <v>37</v>
      </c>
      <c r="AM91" s="104" t="n">
        <v>38</v>
      </c>
      <c r="AN91" s="104" t="n">
        <v>39</v>
      </c>
      <c r="AO91" s="104" t="n">
        <v>40</v>
      </c>
      <c r="AP91" s="104" t="n">
        <v>41</v>
      </c>
      <c r="AQ91" s="104" t="n">
        <v>42</v>
      </c>
      <c r="AR91" s="104" t="n">
        <v>43</v>
      </c>
      <c r="AS91" s="104" t="n">
        <v>44</v>
      </c>
      <c r="AT91" s="104" t="n">
        <v>45</v>
      </c>
      <c r="AU91" s="104" t="n">
        <v>46</v>
      </c>
      <c r="AV91" s="104" t="n">
        <v>47</v>
      </c>
      <c r="AW91" s="104" t="n">
        <v>48</v>
      </c>
      <c r="AX91" s="104" t="n">
        <v>49</v>
      </c>
      <c r="AY91" s="104" t="n">
        <v>50</v>
      </c>
      <c r="AZ91" s="104" t="n">
        <v>51</v>
      </c>
      <c r="BA91" s="104" t="n">
        <v>52</v>
      </c>
      <c r="BB91" s="104" t="n">
        <v>53</v>
      </c>
      <c r="BC91" s="104" t="n">
        <v>54</v>
      </c>
      <c r="BD91" s="104" t="n">
        <v>55</v>
      </c>
      <c r="BE91" s="104" t="n">
        <v>56</v>
      </c>
      <c r="BF91" s="104" t="n">
        <v>57</v>
      </c>
      <c r="BG91" s="104" t="n">
        <v>58</v>
      </c>
      <c r="BH91" s="104" t="n">
        <v>59</v>
      </c>
      <c r="BI91" s="104" t="n">
        <v>60</v>
      </c>
    </row>
    <row r="92" customFormat="false" ht="15" hidden="false" customHeight="false" outlineLevel="0" collapsed="false">
      <c r="A92" s="103" t="s">
        <v>329</v>
      </c>
      <c r="B92" s="105" t="n">
        <f aca="false">YEAR(B90)</f>
        <v>2026</v>
      </c>
      <c r="C92" s="105" t="n">
        <f aca="false">YEAR(C90)</f>
        <v>2026</v>
      </c>
      <c r="D92" s="105" t="n">
        <f aca="false">YEAR(D90)</f>
        <v>2026</v>
      </c>
      <c r="E92" s="105" t="n">
        <f aca="false">YEAR(E90)</f>
        <v>2026</v>
      </c>
      <c r="F92" s="105" t="n">
        <f aca="false">YEAR(F90)</f>
        <v>2026</v>
      </c>
      <c r="G92" s="105" t="n">
        <f aca="false">YEAR(G90)</f>
        <v>2026</v>
      </c>
      <c r="H92" s="105" t="n">
        <f aca="false">YEAR(H90)</f>
        <v>2026</v>
      </c>
      <c r="I92" s="105" t="n">
        <f aca="false">YEAR(I90)</f>
        <v>2026</v>
      </c>
      <c r="J92" s="105" t="n">
        <f aca="false">YEAR(J90)</f>
        <v>2026</v>
      </c>
      <c r="K92" s="105" t="n">
        <f aca="false">YEAR(K90)</f>
        <v>2026</v>
      </c>
      <c r="L92" s="105" t="n">
        <f aca="false">YEAR(L90)</f>
        <v>2026</v>
      </c>
      <c r="M92" s="105" t="n">
        <f aca="false">YEAR(M90)</f>
        <v>2026</v>
      </c>
      <c r="N92" s="105" t="n">
        <f aca="false">YEAR(N90)</f>
        <v>2027</v>
      </c>
      <c r="O92" s="105" t="n">
        <f aca="false">YEAR(O90)</f>
        <v>2027</v>
      </c>
      <c r="P92" s="105" t="n">
        <f aca="false">YEAR(P90)</f>
        <v>2027</v>
      </c>
      <c r="Q92" s="105" t="n">
        <f aca="false">YEAR(Q90)</f>
        <v>2027</v>
      </c>
      <c r="R92" s="105" t="n">
        <f aca="false">YEAR(R90)</f>
        <v>2027</v>
      </c>
      <c r="S92" s="105" t="n">
        <f aca="false">YEAR(S90)</f>
        <v>2027</v>
      </c>
      <c r="T92" s="105" t="n">
        <f aca="false">YEAR(T90)</f>
        <v>2027</v>
      </c>
      <c r="U92" s="105" t="n">
        <f aca="false">YEAR(U90)</f>
        <v>2027</v>
      </c>
      <c r="V92" s="105" t="n">
        <f aca="false">YEAR(V90)</f>
        <v>2027</v>
      </c>
      <c r="W92" s="105" t="n">
        <f aca="false">YEAR(W90)</f>
        <v>2027</v>
      </c>
      <c r="X92" s="105" t="n">
        <f aca="false">YEAR(X90)</f>
        <v>2027</v>
      </c>
      <c r="Y92" s="105" t="n">
        <f aca="false">YEAR(Y90)</f>
        <v>2027</v>
      </c>
      <c r="Z92" s="105" t="n">
        <f aca="false">YEAR(Z90)</f>
        <v>2028</v>
      </c>
      <c r="AA92" s="105" t="n">
        <f aca="false">YEAR(AA90)</f>
        <v>2028</v>
      </c>
      <c r="AB92" s="105" t="n">
        <f aca="false">YEAR(AB90)</f>
        <v>2028</v>
      </c>
      <c r="AC92" s="105" t="n">
        <f aca="false">YEAR(AC90)</f>
        <v>2028</v>
      </c>
      <c r="AD92" s="105" t="n">
        <f aca="false">YEAR(AD90)</f>
        <v>2028</v>
      </c>
      <c r="AE92" s="105" t="n">
        <f aca="false">YEAR(AE90)</f>
        <v>2028</v>
      </c>
      <c r="AF92" s="105" t="n">
        <f aca="false">YEAR(AF90)</f>
        <v>2028</v>
      </c>
      <c r="AG92" s="105" t="n">
        <f aca="false">YEAR(AG90)</f>
        <v>2028</v>
      </c>
      <c r="AH92" s="105" t="n">
        <f aca="false">YEAR(AH90)</f>
        <v>2028</v>
      </c>
      <c r="AI92" s="105" t="n">
        <f aca="false">YEAR(AI90)</f>
        <v>2028</v>
      </c>
      <c r="AJ92" s="105" t="n">
        <f aca="false">YEAR(AJ90)</f>
        <v>2028</v>
      </c>
      <c r="AK92" s="105" t="n">
        <f aca="false">YEAR(AK90)</f>
        <v>2028</v>
      </c>
      <c r="AL92" s="105" t="n">
        <f aca="false">YEAR(AL90)</f>
        <v>2029</v>
      </c>
      <c r="AM92" s="105" t="n">
        <f aca="false">YEAR(AM90)</f>
        <v>2029</v>
      </c>
      <c r="AN92" s="105" t="n">
        <f aca="false">YEAR(AN90)</f>
        <v>2029</v>
      </c>
      <c r="AO92" s="105" t="n">
        <f aca="false">YEAR(AO90)</f>
        <v>2029</v>
      </c>
      <c r="AP92" s="105" t="n">
        <f aca="false">YEAR(AP90)</f>
        <v>2029</v>
      </c>
      <c r="AQ92" s="105" t="n">
        <f aca="false">YEAR(AQ90)</f>
        <v>2029</v>
      </c>
      <c r="AR92" s="105" t="n">
        <f aca="false">YEAR(AR90)</f>
        <v>2029</v>
      </c>
      <c r="AS92" s="105" t="n">
        <f aca="false">YEAR(AS90)</f>
        <v>2029</v>
      </c>
      <c r="AT92" s="105" t="n">
        <f aca="false">YEAR(AT90)</f>
        <v>2029</v>
      </c>
      <c r="AU92" s="105" t="n">
        <f aca="false">YEAR(AU90)</f>
        <v>2029</v>
      </c>
      <c r="AV92" s="105" t="n">
        <f aca="false">YEAR(AV90)</f>
        <v>2029</v>
      </c>
      <c r="AW92" s="105" t="n">
        <f aca="false">YEAR(AW90)</f>
        <v>2029</v>
      </c>
      <c r="AX92" s="105" t="n">
        <f aca="false">YEAR(AX90)</f>
        <v>2030</v>
      </c>
      <c r="AY92" s="105" t="n">
        <f aca="false">YEAR(AY90)</f>
        <v>2030</v>
      </c>
      <c r="AZ92" s="105" t="n">
        <f aca="false">YEAR(AZ90)</f>
        <v>2030</v>
      </c>
      <c r="BA92" s="105" t="n">
        <f aca="false">YEAR(BA90)</f>
        <v>2030</v>
      </c>
      <c r="BB92" s="105" t="n">
        <f aca="false">YEAR(BB90)</f>
        <v>2030</v>
      </c>
      <c r="BC92" s="105" t="n">
        <f aca="false">YEAR(BC90)</f>
        <v>2030</v>
      </c>
      <c r="BD92" s="105" t="n">
        <f aca="false">YEAR(BD90)</f>
        <v>2030</v>
      </c>
      <c r="BE92" s="105" t="n">
        <f aca="false">YEAR(BE90)</f>
        <v>2030</v>
      </c>
      <c r="BF92" s="105" t="n">
        <f aca="false">YEAR(BF90)</f>
        <v>2030</v>
      </c>
      <c r="BG92" s="105" t="n">
        <f aca="false">YEAR(BG90)</f>
        <v>2030</v>
      </c>
      <c r="BH92" s="105" t="n">
        <f aca="false">YEAR(BH90)</f>
        <v>2030</v>
      </c>
      <c r="BI92" s="105" t="n">
        <f aca="false">YEAR(BI90)</f>
        <v>2030</v>
      </c>
    </row>
    <row r="93" customFormat="false" ht="15" hidden="false" customHeight="false" outlineLevel="0" collapsed="false">
      <c r="A93" s="106" t="s">
        <v>330</v>
      </c>
      <c r="B93" s="107" t="n">
        <f aca="false">MATCH(B92,Premissas!$C$5:$G$5,0)</f>
        <v>1</v>
      </c>
      <c r="C93" s="107" t="n">
        <f aca="false">MATCH(C92,Premissas!$C$5:$G$5,0)</f>
        <v>1</v>
      </c>
      <c r="D93" s="107" t="n">
        <f aca="false">MATCH(D92,Premissas!$C$5:$G$5,0)</f>
        <v>1</v>
      </c>
      <c r="E93" s="107" t="n">
        <f aca="false">MATCH(E92,Premissas!$C$5:$G$5,0)</f>
        <v>1</v>
      </c>
      <c r="F93" s="107" t="n">
        <f aca="false">MATCH(F92,Premissas!$C$5:$G$5,0)</f>
        <v>1</v>
      </c>
      <c r="G93" s="107" t="n">
        <f aca="false">MATCH(G92,Premissas!$C$5:$G$5,0)</f>
        <v>1</v>
      </c>
      <c r="H93" s="107" t="n">
        <f aca="false">MATCH(H92,Premissas!$C$5:$G$5,0)</f>
        <v>1</v>
      </c>
      <c r="I93" s="107" t="n">
        <f aca="false">MATCH(I92,Premissas!$C$5:$G$5,0)</f>
        <v>1</v>
      </c>
      <c r="J93" s="107" t="n">
        <f aca="false">MATCH(J92,Premissas!$C$5:$G$5,0)</f>
        <v>1</v>
      </c>
      <c r="K93" s="107" t="n">
        <f aca="false">MATCH(K92,Premissas!$C$5:$G$5,0)</f>
        <v>1</v>
      </c>
      <c r="L93" s="107" t="n">
        <f aca="false">MATCH(L92,Premissas!$C$5:$G$5,0)</f>
        <v>1</v>
      </c>
      <c r="M93" s="107" t="n">
        <f aca="false">MATCH(M92,Premissas!$C$5:$G$5,0)</f>
        <v>1</v>
      </c>
      <c r="N93" s="107" t="n">
        <f aca="false">MATCH(N92,Premissas!$C$5:$G$5,0)</f>
        <v>2</v>
      </c>
      <c r="O93" s="107" t="n">
        <f aca="false">MATCH(O92,Premissas!$C$5:$G$5,0)</f>
        <v>2</v>
      </c>
      <c r="P93" s="107" t="n">
        <f aca="false">MATCH(P92,Premissas!$C$5:$G$5,0)</f>
        <v>2</v>
      </c>
      <c r="Q93" s="107" t="n">
        <f aca="false">MATCH(Q92,Premissas!$C$5:$G$5,0)</f>
        <v>2</v>
      </c>
      <c r="R93" s="107" t="n">
        <f aca="false">MATCH(R92,Premissas!$C$5:$G$5,0)</f>
        <v>2</v>
      </c>
      <c r="S93" s="107" t="n">
        <f aca="false">MATCH(S92,Premissas!$C$5:$G$5,0)</f>
        <v>2</v>
      </c>
      <c r="T93" s="107" t="n">
        <f aca="false">MATCH(T92,Premissas!$C$5:$G$5,0)</f>
        <v>2</v>
      </c>
      <c r="U93" s="107" t="n">
        <f aca="false">MATCH(U92,Premissas!$C$5:$G$5,0)</f>
        <v>2</v>
      </c>
      <c r="V93" s="107" t="n">
        <f aca="false">MATCH(V92,Premissas!$C$5:$G$5,0)</f>
        <v>2</v>
      </c>
      <c r="W93" s="107" t="n">
        <f aca="false">MATCH(W92,Premissas!$C$5:$G$5,0)</f>
        <v>2</v>
      </c>
      <c r="X93" s="107" t="n">
        <f aca="false">MATCH(X92,Premissas!$C$5:$G$5,0)</f>
        <v>2</v>
      </c>
      <c r="Y93" s="107" t="n">
        <f aca="false">MATCH(Y92,Premissas!$C$5:$G$5,0)</f>
        <v>2</v>
      </c>
      <c r="Z93" s="107" t="n">
        <f aca="false">MATCH(Z92,Premissas!$C$5:$G$5,0)</f>
        <v>3</v>
      </c>
      <c r="AA93" s="107" t="n">
        <f aca="false">MATCH(AA92,Premissas!$C$5:$G$5,0)</f>
        <v>3</v>
      </c>
      <c r="AB93" s="107" t="n">
        <f aca="false">MATCH(AB92,Premissas!$C$5:$G$5,0)</f>
        <v>3</v>
      </c>
      <c r="AC93" s="107" t="n">
        <f aca="false">MATCH(AC92,Premissas!$C$5:$G$5,0)</f>
        <v>3</v>
      </c>
      <c r="AD93" s="107" t="n">
        <f aca="false">MATCH(AD92,Premissas!$C$5:$G$5,0)</f>
        <v>3</v>
      </c>
      <c r="AE93" s="107" t="n">
        <f aca="false">MATCH(AE92,Premissas!$C$5:$G$5,0)</f>
        <v>3</v>
      </c>
      <c r="AF93" s="107" t="n">
        <f aca="false">MATCH(AF92,Premissas!$C$5:$G$5,0)</f>
        <v>3</v>
      </c>
      <c r="AG93" s="107" t="n">
        <f aca="false">MATCH(AG92,Premissas!$C$5:$G$5,0)</f>
        <v>3</v>
      </c>
      <c r="AH93" s="107" t="n">
        <f aca="false">MATCH(AH92,Premissas!$C$5:$G$5,0)</f>
        <v>3</v>
      </c>
      <c r="AI93" s="107" t="n">
        <f aca="false">MATCH(AI92,Premissas!$C$5:$G$5,0)</f>
        <v>3</v>
      </c>
      <c r="AJ93" s="107" t="n">
        <f aca="false">MATCH(AJ92,Premissas!$C$5:$G$5,0)</f>
        <v>3</v>
      </c>
      <c r="AK93" s="107" t="n">
        <f aca="false">MATCH(AK92,Premissas!$C$5:$G$5,0)</f>
        <v>3</v>
      </c>
      <c r="AL93" s="107" t="n">
        <f aca="false">MATCH(AL92,Premissas!$C$5:$G$5,0)</f>
        <v>4</v>
      </c>
      <c r="AM93" s="107" t="n">
        <f aca="false">MATCH(AM92,Premissas!$C$5:$G$5,0)</f>
        <v>4</v>
      </c>
      <c r="AN93" s="107" t="n">
        <f aca="false">MATCH(AN92,Premissas!$C$5:$G$5,0)</f>
        <v>4</v>
      </c>
      <c r="AO93" s="107" t="n">
        <f aca="false">MATCH(AO92,Premissas!$C$5:$G$5,0)</f>
        <v>4</v>
      </c>
      <c r="AP93" s="107" t="n">
        <f aca="false">MATCH(AP92,Premissas!$C$5:$G$5,0)</f>
        <v>4</v>
      </c>
      <c r="AQ93" s="107" t="n">
        <f aca="false">MATCH(AQ92,Premissas!$C$5:$G$5,0)</f>
        <v>4</v>
      </c>
      <c r="AR93" s="107" t="n">
        <f aca="false">MATCH(AR92,Premissas!$C$5:$G$5,0)</f>
        <v>4</v>
      </c>
      <c r="AS93" s="107" t="n">
        <f aca="false">MATCH(AS92,Premissas!$C$5:$G$5,0)</f>
        <v>4</v>
      </c>
      <c r="AT93" s="107" t="n">
        <f aca="false">MATCH(AT92,Premissas!$C$5:$G$5,0)</f>
        <v>4</v>
      </c>
      <c r="AU93" s="107" t="n">
        <f aca="false">MATCH(AU92,Premissas!$C$5:$G$5,0)</f>
        <v>4</v>
      </c>
      <c r="AV93" s="107" t="n">
        <f aca="false">MATCH(AV92,Premissas!$C$5:$G$5,0)</f>
        <v>4</v>
      </c>
      <c r="AW93" s="107" t="n">
        <f aca="false">MATCH(AW92,Premissas!$C$5:$G$5,0)</f>
        <v>4</v>
      </c>
      <c r="AX93" s="107" t="n">
        <f aca="false">MATCH(AX92,Premissas!$C$5:$G$5,0)</f>
        <v>5</v>
      </c>
      <c r="AY93" s="107" t="n">
        <f aca="false">MATCH(AY92,Premissas!$C$5:$G$5,0)</f>
        <v>5</v>
      </c>
      <c r="AZ93" s="107" t="n">
        <f aca="false">MATCH(AZ92,Premissas!$C$5:$G$5,0)</f>
        <v>5</v>
      </c>
      <c r="BA93" s="107" t="n">
        <f aca="false">MATCH(BA92,Premissas!$C$5:$G$5,0)</f>
        <v>5</v>
      </c>
      <c r="BB93" s="107" t="n">
        <f aca="false">MATCH(BB92,Premissas!$C$5:$G$5,0)</f>
        <v>5</v>
      </c>
      <c r="BC93" s="107" t="n">
        <f aca="false">MATCH(BC92,Premissas!$C$5:$G$5,0)</f>
        <v>5</v>
      </c>
      <c r="BD93" s="107" t="n">
        <f aca="false">MATCH(BD92,Premissas!$C$5:$G$5,0)</f>
        <v>5</v>
      </c>
      <c r="BE93" s="107" t="n">
        <f aca="false">MATCH(BE92,Premissas!$C$5:$G$5,0)</f>
        <v>5</v>
      </c>
      <c r="BF93" s="107" t="n">
        <f aca="false">MATCH(BF92,Premissas!$C$5:$G$5,0)</f>
        <v>5</v>
      </c>
      <c r="BG93" s="107" t="n">
        <f aca="false">MATCH(BG92,Premissas!$C$5:$G$5,0)</f>
        <v>5</v>
      </c>
      <c r="BH93" s="107" t="n">
        <f aca="false">MATCH(BH92,Premissas!$C$5:$G$5,0)</f>
        <v>5</v>
      </c>
      <c r="BI93" s="107" t="n">
        <f aca="false">MATCH(BI92,Premissas!$C$5:$G$5,0)</f>
        <v>5</v>
      </c>
    </row>
    <row r="94" customFormat="false" ht="15" hidden="false" customHeight="false" outlineLevel="0" collapsed="false">
      <c r="A94" s="27" t="s">
        <v>663</v>
      </c>
      <c r="B94" s="110" t="n">
        <f aca="false">SUMPRODUCT(($E$6:$E$37="Fundador")*(($D$6:$D$37="Realizado")+($D$6:$D$37="Compromisso")+($D$6:$D$37="Previsto")*Premissas!$B$85+($D$6:$D$37="Em negociação")*Premissas!$B$86)*($A$6:$A$37&gt;=B$90)*($A$6:$A$37&lt;=EOMONTH(B$90,0))*$C$6:$C$37)</f>
        <v>0</v>
      </c>
      <c r="C94" s="110" t="n">
        <f aca="false">SUMPRODUCT(($E$6:$E$37="Fundador")*(($D$6:$D$37="Realizado")+($D$6:$D$37="Compromisso")+($D$6:$D$37="Previsto")*Premissas!$B$85+($D$6:$D$37="Em negociação")*Premissas!$B$86)*($A$6:$A$37&gt;=C$90)*($A$6:$A$37&lt;=EOMONTH(C$90,0))*$C$6:$C$37)</f>
        <v>0</v>
      </c>
      <c r="D94" s="110" t="n">
        <f aca="false">SUMPRODUCT(($E$6:$E$37="Fundador")*(($D$6:$D$37="Realizado")+($D$6:$D$37="Compromisso")+($D$6:$D$37="Previsto")*Premissas!$B$85+($D$6:$D$37="Em negociação")*Premissas!$B$86)*($A$6:$A$37&gt;=D$90)*($A$6:$A$37&lt;=EOMONTH(D$90,0))*$C$6:$C$37)</f>
        <v>0</v>
      </c>
      <c r="E94" s="110" t="n">
        <f aca="false">SUMPRODUCT(($E$6:$E$37="Fundador")*(($D$6:$D$37="Realizado")+($D$6:$D$37="Compromisso")+($D$6:$D$37="Previsto")*Premissas!$B$85+($D$6:$D$37="Em negociação")*Premissas!$B$86)*($A$6:$A$37&gt;=E$90)*($A$6:$A$37&lt;=EOMONTH(E$90,0))*$C$6:$C$37)</f>
        <v>10000</v>
      </c>
      <c r="F94" s="110" t="n">
        <f aca="false">SUMPRODUCT(($E$6:$E$37="Fundador")*(($D$6:$D$37="Realizado")+($D$6:$D$37="Compromisso")+($D$6:$D$37="Previsto")*Premissas!$B$85+($D$6:$D$37="Em negociação")*Premissas!$B$86)*($A$6:$A$37&gt;=F$90)*($A$6:$A$37&lt;=EOMONTH(F$90,0))*$C$6:$C$37)</f>
        <v>0</v>
      </c>
      <c r="G94" s="110" t="n">
        <f aca="false">SUMPRODUCT(($E$6:$E$37="Fundador")*(($D$6:$D$37="Realizado")+($D$6:$D$37="Compromisso")+($D$6:$D$37="Previsto")*Premissas!$B$85+($D$6:$D$37="Em negociação")*Premissas!$B$86)*($A$6:$A$37&gt;=G$90)*($A$6:$A$37&lt;=EOMONTH(G$90,0))*$C$6:$C$37)</f>
        <v>0</v>
      </c>
      <c r="H94" s="110" t="n">
        <f aca="false">SUMPRODUCT(($E$6:$E$37="Fundador")*(($D$6:$D$37="Realizado")+($D$6:$D$37="Compromisso")+($D$6:$D$37="Previsto")*Premissas!$B$85+($D$6:$D$37="Em negociação")*Premissas!$B$86)*($A$6:$A$37&gt;=H$90)*($A$6:$A$37&lt;=EOMONTH(H$90,0))*$C$6:$C$37)</f>
        <v>5000</v>
      </c>
      <c r="I94" s="110" t="n">
        <f aca="false">SUMPRODUCT(($E$6:$E$37="Fundador")*(($D$6:$D$37="Realizado")+($D$6:$D$37="Compromisso")+($D$6:$D$37="Previsto")*Premissas!$B$85+($D$6:$D$37="Em negociação")*Premissas!$B$86)*($A$6:$A$37&gt;=I$90)*($A$6:$A$37&lt;=EOMONTH(I$90,0))*$C$6:$C$37)</f>
        <v>18000</v>
      </c>
      <c r="J94" s="110" t="n">
        <f aca="false">SUMPRODUCT(($E$6:$E$37="Fundador")*(($D$6:$D$37="Realizado")+($D$6:$D$37="Compromisso")+($D$6:$D$37="Previsto")*Premissas!$B$85+($D$6:$D$37="Em negociação")*Premissas!$B$86)*($A$6:$A$37&gt;=J$90)*($A$6:$A$37&lt;=EOMONTH(J$90,0))*$C$6:$C$37)</f>
        <v>0</v>
      </c>
      <c r="K94" s="110" t="n">
        <f aca="false">SUMPRODUCT(($E$6:$E$37="Fundador")*(($D$6:$D$37="Realizado")+($D$6:$D$37="Compromisso")+($D$6:$D$37="Previsto")*Premissas!$B$85+($D$6:$D$37="Em negociação")*Premissas!$B$86)*($A$6:$A$37&gt;=K$90)*($A$6:$A$37&lt;=EOMONTH(K$90,0))*$C$6:$C$37)</f>
        <v>0</v>
      </c>
      <c r="L94" s="110" t="n">
        <f aca="false">SUMPRODUCT(($E$6:$E$37="Fundador")*(($D$6:$D$37="Realizado")+($D$6:$D$37="Compromisso")+($D$6:$D$37="Previsto")*Premissas!$B$85+($D$6:$D$37="Em negociação")*Premissas!$B$86)*($A$6:$A$37&gt;=L$90)*($A$6:$A$37&lt;=EOMONTH(L$90,0))*$C$6:$C$37)</f>
        <v>0</v>
      </c>
      <c r="M94" s="110" t="n">
        <f aca="false">SUMPRODUCT(($E$6:$E$37="Fundador")*(($D$6:$D$37="Realizado")+($D$6:$D$37="Compromisso")+($D$6:$D$37="Previsto")*Premissas!$B$85+($D$6:$D$37="Em negociação")*Premissas!$B$86)*($A$6:$A$37&gt;=M$90)*($A$6:$A$37&lt;=EOMONTH(M$90,0))*$C$6:$C$37)</f>
        <v>17000</v>
      </c>
      <c r="N94" s="110" t="n">
        <f aca="false">SUMPRODUCT(($E$6:$E$37="Fundador")*(($D$6:$D$37="Realizado")+($D$6:$D$37="Compromisso")+($D$6:$D$37="Previsto")*Premissas!$B$85+($D$6:$D$37="Em negociação")*Premissas!$B$86)*($A$6:$A$37&gt;=N$90)*($A$6:$A$37&lt;=EOMONTH(N$90,0))*$C$6:$C$37)</f>
        <v>0</v>
      </c>
      <c r="O94" s="110" t="n">
        <f aca="false">SUMPRODUCT(($E$6:$E$37="Fundador")*(($D$6:$D$37="Realizado")+($D$6:$D$37="Compromisso")+($D$6:$D$37="Previsto")*Premissas!$B$85+($D$6:$D$37="Em negociação")*Premissas!$B$86)*($A$6:$A$37&gt;=O$90)*($A$6:$A$37&lt;=EOMONTH(O$90,0))*$C$6:$C$37)</f>
        <v>0</v>
      </c>
      <c r="P94" s="110" t="n">
        <f aca="false">SUMPRODUCT(($E$6:$E$37="Fundador")*(($D$6:$D$37="Realizado")+($D$6:$D$37="Compromisso")+($D$6:$D$37="Previsto")*Premissas!$B$85+($D$6:$D$37="Em negociação")*Premissas!$B$86)*($A$6:$A$37&gt;=P$90)*($A$6:$A$37&lt;=EOMONTH(P$90,0))*$C$6:$C$37)</f>
        <v>0</v>
      </c>
      <c r="Q94" s="110" t="n">
        <f aca="false">SUMPRODUCT(($E$6:$E$37="Fundador")*(($D$6:$D$37="Realizado")+($D$6:$D$37="Compromisso")+($D$6:$D$37="Previsto")*Premissas!$B$85+($D$6:$D$37="Em negociação")*Premissas!$B$86)*($A$6:$A$37&gt;=Q$90)*($A$6:$A$37&lt;=EOMONTH(Q$90,0))*$C$6:$C$37)</f>
        <v>0</v>
      </c>
      <c r="R94" s="110" t="n">
        <f aca="false">SUMPRODUCT(($E$6:$E$37="Fundador")*(($D$6:$D$37="Realizado")+($D$6:$D$37="Compromisso")+($D$6:$D$37="Previsto")*Premissas!$B$85+($D$6:$D$37="Em negociação")*Premissas!$B$86)*($A$6:$A$37&gt;=R$90)*($A$6:$A$37&lt;=EOMONTH(R$90,0))*$C$6:$C$37)</f>
        <v>0</v>
      </c>
      <c r="S94" s="110" t="n">
        <f aca="false">SUMPRODUCT(($E$6:$E$37="Fundador")*(($D$6:$D$37="Realizado")+($D$6:$D$37="Compromisso")+($D$6:$D$37="Previsto")*Premissas!$B$85+($D$6:$D$37="Em negociação")*Premissas!$B$86)*($A$6:$A$37&gt;=S$90)*($A$6:$A$37&lt;=EOMONTH(S$90,0))*$C$6:$C$37)</f>
        <v>15000</v>
      </c>
      <c r="T94" s="110" t="n">
        <f aca="false">SUMPRODUCT(($E$6:$E$37="Fundador")*(($D$6:$D$37="Realizado")+($D$6:$D$37="Compromisso")+($D$6:$D$37="Previsto")*Premissas!$B$85+($D$6:$D$37="Em negociação")*Premissas!$B$86)*($A$6:$A$37&gt;=T$90)*($A$6:$A$37&lt;=EOMONTH(T$90,0))*$C$6:$C$37)</f>
        <v>0</v>
      </c>
      <c r="U94" s="110" t="n">
        <f aca="false">SUMPRODUCT(($E$6:$E$37="Fundador")*(($D$6:$D$37="Realizado")+($D$6:$D$37="Compromisso")+($D$6:$D$37="Previsto")*Premissas!$B$85+($D$6:$D$37="Em negociação")*Premissas!$B$86)*($A$6:$A$37&gt;=U$90)*($A$6:$A$37&lt;=EOMONTH(U$90,0))*$C$6:$C$37)</f>
        <v>0</v>
      </c>
      <c r="V94" s="110" t="n">
        <f aca="false">SUMPRODUCT(($E$6:$E$37="Fundador")*(($D$6:$D$37="Realizado")+($D$6:$D$37="Compromisso")+($D$6:$D$37="Previsto")*Premissas!$B$85+($D$6:$D$37="Em negociação")*Premissas!$B$86)*($A$6:$A$37&gt;=V$90)*($A$6:$A$37&lt;=EOMONTH(V$90,0))*$C$6:$C$37)</f>
        <v>0</v>
      </c>
      <c r="W94" s="110" t="n">
        <f aca="false">SUMPRODUCT(($E$6:$E$37="Fundador")*(($D$6:$D$37="Realizado")+($D$6:$D$37="Compromisso")+($D$6:$D$37="Previsto")*Premissas!$B$85+($D$6:$D$37="Em negociação")*Premissas!$B$86)*($A$6:$A$37&gt;=W$90)*($A$6:$A$37&lt;=EOMONTH(W$90,0))*$C$6:$C$37)</f>
        <v>0</v>
      </c>
      <c r="X94" s="110" t="n">
        <f aca="false">SUMPRODUCT(($E$6:$E$37="Fundador")*(($D$6:$D$37="Realizado")+($D$6:$D$37="Compromisso")+($D$6:$D$37="Previsto")*Premissas!$B$85+($D$6:$D$37="Em negociação")*Premissas!$B$86)*($A$6:$A$37&gt;=X$90)*($A$6:$A$37&lt;=EOMONTH(X$90,0))*$C$6:$C$37)</f>
        <v>0</v>
      </c>
      <c r="Y94" s="110" t="n">
        <f aca="false">SUMPRODUCT(($E$6:$E$37="Fundador")*(($D$6:$D$37="Realizado")+($D$6:$D$37="Compromisso")+($D$6:$D$37="Previsto")*Premissas!$B$85+($D$6:$D$37="Em negociação")*Premissas!$B$86)*($A$6:$A$37&gt;=Y$90)*($A$6:$A$37&lt;=EOMONTH(Y$90,0))*$C$6:$C$37)</f>
        <v>15000</v>
      </c>
      <c r="Z94" s="110" t="n">
        <f aca="false">SUMPRODUCT(($E$6:$E$37="Fundador")*(($D$6:$D$37="Realizado")+($D$6:$D$37="Compromisso")+($D$6:$D$37="Previsto")*Premissas!$B$85+($D$6:$D$37="Em negociação")*Premissas!$B$86)*($A$6:$A$37&gt;=Z$90)*($A$6:$A$37&lt;=EOMONTH(Z$90,0))*$C$6:$C$37)</f>
        <v>0</v>
      </c>
      <c r="AA94" s="110" t="n">
        <f aca="false">SUMPRODUCT(($E$6:$E$37="Fundador")*(($D$6:$D$37="Realizado")+($D$6:$D$37="Compromisso")+($D$6:$D$37="Previsto")*Premissas!$B$85+($D$6:$D$37="Em negociação")*Premissas!$B$86)*($A$6:$A$37&gt;=AA$90)*($A$6:$A$37&lt;=EOMONTH(AA$90,0))*$C$6:$C$37)</f>
        <v>0</v>
      </c>
      <c r="AB94" s="110" t="n">
        <f aca="false">SUMPRODUCT(($E$6:$E$37="Fundador")*(($D$6:$D$37="Realizado")+($D$6:$D$37="Compromisso")+($D$6:$D$37="Previsto")*Premissas!$B$85+($D$6:$D$37="Em negociação")*Premissas!$B$86)*($A$6:$A$37&gt;=AB$90)*($A$6:$A$37&lt;=EOMONTH(AB$90,0))*$C$6:$C$37)</f>
        <v>0</v>
      </c>
      <c r="AC94" s="110" t="n">
        <f aca="false">SUMPRODUCT(($E$6:$E$37="Fundador")*(($D$6:$D$37="Realizado")+($D$6:$D$37="Compromisso")+($D$6:$D$37="Previsto")*Premissas!$B$85+($D$6:$D$37="Em negociação")*Premissas!$B$86)*($A$6:$A$37&gt;=AC$90)*($A$6:$A$37&lt;=EOMONTH(AC$90,0))*$C$6:$C$37)</f>
        <v>0</v>
      </c>
      <c r="AD94" s="110" t="n">
        <f aca="false">SUMPRODUCT(($E$6:$E$37="Fundador")*(($D$6:$D$37="Realizado")+($D$6:$D$37="Compromisso")+($D$6:$D$37="Previsto")*Premissas!$B$85+($D$6:$D$37="Em negociação")*Premissas!$B$86)*($A$6:$A$37&gt;=AD$90)*($A$6:$A$37&lt;=EOMONTH(AD$90,0))*$C$6:$C$37)</f>
        <v>0</v>
      </c>
      <c r="AE94" s="110" t="n">
        <f aca="false">SUMPRODUCT(($E$6:$E$37="Fundador")*(($D$6:$D$37="Realizado")+($D$6:$D$37="Compromisso")+($D$6:$D$37="Previsto")*Premissas!$B$85+($D$6:$D$37="Em negociação")*Premissas!$B$86)*($A$6:$A$37&gt;=AE$90)*($A$6:$A$37&lt;=EOMONTH(AE$90,0))*$C$6:$C$37)</f>
        <v>0</v>
      </c>
      <c r="AF94" s="110" t="n">
        <f aca="false">SUMPRODUCT(($E$6:$E$37="Fundador")*(($D$6:$D$37="Realizado")+($D$6:$D$37="Compromisso")+($D$6:$D$37="Previsto")*Premissas!$B$85+($D$6:$D$37="Em negociação")*Premissas!$B$86)*($A$6:$A$37&gt;=AF$90)*($A$6:$A$37&lt;=EOMONTH(AF$90,0))*$C$6:$C$37)</f>
        <v>0</v>
      </c>
      <c r="AG94" s="110" t="n">
        <f aca="false">SUMPRODUCT(($E$6:$E$37="Fundador")*(($D$6:$D$37="Realizado")+($D$6:$D$37="Compromisso")+($D$6:$D$37="Previsto")*Premissas!$B$85+($D$6:$D$37="Em negociação")*Premissas!$B$86)*($A$6:$A$37&gt;=AG$90)*($A$6:$A$37&lt;=EOMONTH(AG$90,0))*$C$6:$C$37)</f>
        <v>0</v>
      </c>
      <c r="AH94" s="110" t="n">
        <f aca="false">SUMPRODUCT(($E$6:$E$37="Fundador")*(($D$6:$D$37="Realizado")+($D$6:$D$37="Compromisso")+($D$6:$D$37="Previsto")*Premissas!$B$85+($D$6:$D$37="Em negociação")*Premissas!$B$86)*($A$6:$A$37&gt;=AH$90)*($A$6:$A$37&lt;=EOMONTH(AH$90,0))*$C$6:$C$37)</f>
        <v>0</v>
      </c>
      <c r="AI94" s="110" t="n">
        <f aca="false">SUMPRODUCT(($E$6:$E$37="Fundador")*(($D$6:$D$37="Realizado")+($D$6:$D$37="Compromisso")+($D$6:$D$37="Previsto")*Premissas!$B$85+($D$6:$D$37="Em negociação")*Premissas!$B$86)*($A$6:$A$37&gt;=AI$90)*($A$6:$A$37&lt;=EOMONTH(AI$90,0))*$C$6:$C$37)</f>
        <v>0</v>
      </c>
      <c r="AJ94" s="110" t="n">
        <f aca="false">SUMPRODUCT(($E$6:$E$37="Fundador")*(($D$6:$D$37="Realizado")+($D$6:$D$37="Compromisso")+($D$6:$D$37="Previsto")*Premissas!$B$85+($D$6:$D$37="Em negociação")*Premissas!$B$86)*($A$6:$A$37&gt;=AJ$90)*($A$6:$A$37&lt;=EOMONTH(AJ$90,0))*$C$6:$C$37)</f>
        <v>0</v>
      </c>
      <c r="AK94" s="110" t="n">
        <f aca="false">SUMPRODUCT(($E$6:$E$37="Fundador")*(($D$6:$D$37="Realizado")+($D$6:$D$37="Compromisso")+($D$6:$D$37="Previsto")*Premissas!$B$85+($D$6:$D$37="Em negociação")*Premissas!$B$86)*($A$6:$A$37&gt;=AK$90)*($A$6:$A$37&lt;=EOMONTH(AK$90,0))*$C$6:$C$37)</f>
        <v>0</v>
      </c>
      <c r="AL94" s="110" t="n">
        <f aca="false">SUMPRODUCT(($E$6:$E$37="Fundador")*(($D$6:$D$37="Realizado")+($D$6:$D$37="Compromisso")+($D$6:$D$37="Previsto")*Premissas!$B$85+($D$6:$D$37="Em negociação")*Premissas!$B$86)*($A$6:$A$37&gt;=AL$90)*($A$6:$A$37&lt;=EOMONTH(AL$90,0))*$C$6:$C$37)</f>
        <v>0</v>
      </c>
      <c r="AM94" s="110" t="n">
        <f aca="false">SUMPRODUCT(($E$6:$E$37="Fundador")*(($D$6:$D$37="Realizado")+($D$6:$D$37="Compromisso")+($D$6:$D$37="Previsto")*Premissas!$B$85+($D$6:$D$37="Em negociação")*Premissas!$B$86)*($A$6:$A$37&gt;=AM$90)*($A$6:$A$37&lt;=EOMONTH(AM$90,0))*$C$6:$C$37)</f>
        <v>0</v>
      </c>
      <c r="AN94" s="110" t="n">
        <f aca="false">SUMPRODUCT(($E$6:$E$37="Fundador")*(($D$6:$D$37="Realizado")+($D$6:$D$37="Compromisso")+($D$6:$D$37="Previsto")*Premissas!$B$85+($D$6:$D$37="Em negociação")*Premissas!$B$86)*($A$6:$A$37&gt;=AN$90)*($A$6:$A$37&lt;=EOMONTH(AN$90,0))*$C$6:$C$37)</f>
        <v>0</v>
      </c>
      <c r="AO94" s="110" t="n">
        <f aca="false">SUMPRODUCT(($E$6:$E$37="Fundador")*(($D$6:$D$37="Realizado")+($D$6:$D$37="Compromisso")+($D$6:$D$37="Previsto")*Premissas!$B$85+($D$6:$D$37="Em negociação")*Premissas!$B$86)*($A$6:$A$37&gt;=AO$90)*($A$6:$A$37&lt;=EOMONTH(AO$90,0))*$C$6:$C$37)</f>
        <v>0</v>
      </c>
      <c r="AP94" s="110" t="n">
        <f aca="false">SUMPRODUCT(($E$6:$E$37="Fundador")*(($D$6:$D$37="Realizado")+($D$6:$D$37="Compromisso")+($D$6:$D$37="Previsto")*Premissas!$B$85+($D$6:$D$37="Em negociação")*Premissas!$B$86)*($A$6:$A$37&gt;=AP$90)*($A$6:$A$37&lt;=EOMONTH(AP$90,0))*$C$6:$C$37)</f>
        <v>0</v>
      </c>
      <c r="AQ94" s="110" t="n">
        <f aca="false">SUMPRODUCT(($E$6:$E$37="Fundador")*(($D$6:$D$37="Realizado")+($D$6:$D$37="Compromisso")+($D$6:$D$37="Previsto")*Premissas!$B$85+($D$6:$D$37="Em negociação")*Premissas!$B$86)*($A$6:$A$37&gt;=AQ$90)*($A$6:$A$37&lt;=EOMONTH(AQ$90,0))*$C$6:$C$37)</f>
        <v>0</v>
      </c>
      <c r="AR94" s="110" t="n">
        <f aca="false">SUMPRODUCT(($E$6:$E$37="Fundador")*(($D$6:$D$37="Realizado")+($D$6:$D$37="Compromisso")+($D$6:$D$37="Previsto")*Premissas!$B$85+($D$6:$D$37="Em negociação")*Premissas!$B$86)*($A$6:$A$37&gt;=AR$90)*($A$6:$A$37&lt;=EOMONTH(AR$90,0))*$C$6:$C$37)</f>
        <v>0</v>
      </c>
      <c r="AS94" s="110" t="n">
        <f aca="false">SUMPRODUCT(($E$6:$E$37="Fundador")*(($D$6:$D$37="Realizado")+($D$6:$D$37="Compromisso")+($D$6:$D$37="Previsto")*Premissas!$B$85+($D$6:$D$37="Em negociação")*Premissas!$B$86)*($A$6:$A$37&gt;=AS$90)*($A$6:$A$37&lt;=EOMONTH(AS$90,0))*$C$6:$C$37)</f>
        <v>0</v>
      </c>
      <c r="AT94" s="110" t="n">
        <f aca="false">SUMPRODUCT(($E$6:$E$37="Fundador")*(($D$6:$D$37="Realizado")+($D$6:$D$37="Compromisso")+($D$6:$D$37="Previsto")*Premissas!$B$85+($D$6:$D$37="Em negociação")*Premissas!$B$86)*($A$6:$A$37&gt;=AT$90)*($A$6:$A$37&lt;=EOMONTH(AT$90,0))*$C$6:$C$37)</f>
        <v>0</v>
      </c>
      <c r="AU94" s="110" t="n">
        <f aca="false">SUMPRODUCT(($E$6:$E$37="Fundador")*(($D$6:$D$37="Realizado")+($D$6:$D$37="Compromisso")+($D$6:$D$37="Previsto")*Premissas!$B$85+($D$6:$D$37="Em negociação")*Premissas!$B$86)*($A$6:$A$37&gt;=AU$90)*($A$6:$A$37&lt;=EOMONTH(AU$90,0))*$C$6:$C$37)</f>
        <v>0</v>
      </c>
      <c r="AV94" s="110" t="n">
        <f aca="false">SUMPRODUCT(($E$6:$E$37="Fundador")*(($D$6:$D$37="Realizado")+($D$6:$D$37="Compromisso")+($D$6:$D$37="Previsto")*Premissas!$B$85+($D$6:$D$37="Em negociação")*Premissas!$B$86)*($A$6:$A$37&gt;=AV$90)*($A$6:$A$37&lt;=EOMONTH(AV$90,0))*$C$6:$C$37)</f>
        <v>0</v>
      </c>
      <c r="AW94" s="110" t="n">
        <f aca="false">SUMPRODUCT(($E$6:$E$37="Fundador")*(($D$6:$D$37="Realizado")+($D$6:$D$37="Compromisso")+($D$6:$D$37="Previsto")*Premissas!$B$85+($D$6:$D$37="Em negociação")*Premissas!$B$86)*($A$6:$A$37&gt;=AW$90)*($A$6:$A$37&lt;=EOMONTH(AW$90,0))*$C$6:$C$37)</f>
        <v>0</v>
      </c>
      <c r="AX94" s="110" t="n">
        <f aca="false">SUMPRODUCT(($E$6:$E$37="Fundador")*(($D$6:$D$37="Realizado")+($D$6:$D$37="Compromisso")+($D$6:$D$37="Previsto")*Premissas!$B$85+($D$6:$D$37="Em negociação")*Premissas!$B$86)*($A$6:$A$37&gt;=AX$90)*($A$6:$A$37&lt;=EOMONTH(AX$90,0))*$C$6:$C$37)</f>
        <v>0</v>
      </c>
      <c r="AY94" s="110" t="n">
        <f aca="false">SUMPRODUCT(($E$6:$E$37="Fundador")*(($D$6:$D$37="Realizado")+($D$6:$D$37="Compromisso")+($D$6:$D$37="Previsto")*Premissas!$B$85+($D$6:$D$37="Em negociação")*Premissas!$B$86)*($A$6:$A$37&gt;=AY$90)*($A$6:$A$37&lt;=EOMONTH(AY$90,0))*$C$6:$C$37)</f>
        <v>0</v>
      </c>
      <c r="AZ94" s="110" t="n">
        <f aca="false">SUMPRODUCT(($E$6:$E$37="Fundador")*(($D$6:$D$37="Realizado")+($D$6:$D$37="Compromisso")+($D$6:$D$37="Previsto")*Premissas!$B$85+($D$6:$D$37="Em negociação")*Premissas!$B$86)*($A$6:$A$37&gt;=AZ$90)*($A$6:$A$37&lt;=EOMONTH(AZ$90,0))*$C$6:$C$37)</f>
        <v>0</v>
      </c>
      <c r="BA94" s="110" t="n">
        <f aca="false">SUMPRODUCT(($E$6:$E$37="Fundador")*(($D$6:$D$37="Realizado")+($D$6:$D$37="Compromisso")+($D$6:$D$37="Previsto")*Premissas!$B$85+($D$6:$D$37="Em negociação")*Premissas!$B$86)*($A$6:$A$37&gt;=BA$90)*($A$6:$A$37&lt;=EOMONTH(BA$90,0))*$C$6:$C$37)</f>
        <v>0</v>
      </c>
      <c r="BB94" s="110" t="n">
        <f aca="false">SUMPRODUCT(($E$6:$E$37="Fundador")*(($D$6:$D$37="Realizado")+($D$6:$D$37="Compromisso")+($D$6:$D$37="Previsto")*Premissas!$B$85+($D$6:$D$37="Em negociação")*Premissas!$B$86)*($A$6:$A$37&gt;=BB$90)*($A$6:$A$37&lt;=EOMONTH(BB$90,0))*$C$6:$C$37)</f>
        <v>0</v>
      </c>
      <c r="BC94" s="110" t="n">
        <f aca="false">SUMPRODUCT(($E$6:$E$37="Fundador")*(($D$6:$D$37="Realizado")+($D$6:$D$37="Compromisso")+($D$6:$D$37="Previsto")*Premissas!$B$85+($D$6:$D$37="Em negociação")*Premissas!$B$86)*($A$6:$A$37&gt;=BC$90)*($A$6:$A$37&lt;=EOMONTH(BC$90,0))*$C$6:$C$37)</f>
        <v>0</v>
      </c>
      <c r="BD94" s="110" t="n">
        <f aca="false">SUMPRODUCT(($E$6:$E$37="Fundador")*(($D$6:$D$37="Realizado")+($D$6:$D$37="Compromisso")+($D$6:$D$37="Previsto")*Premissas!$B$85+($D$6:$D$37="Em negociação")*Premissas!$B$86)*($A$6:$A$37&gt;=BD$90)*($A$6:$A$37&lt;=EOMONTH(BD$90,0))*$C$6:$C$37)</f>
        <v>0</v>
      </c>
      <c r="BE94" s="110" t="n">
        <f aca="false">SUMPRODUCT(($E$6:$E$37="Fundador")*(($D$6:$D$37="Realizado")+($D$6:$D$37="Compromisso")+($D$6:$D$37="Previsto")*Premissas!$B$85+($D$6:$D$37="Em negociação")*Premissas!$B$86)*($A$6:$A$37&gt;=BE$90)*($A$6:$A$37&lt;=EOMONTH(BE$90,0))*$C$6:$C$37)</f>
        <v>0</v>
      </c>
      <c r="BF94" s="110" t="n">
        <f aca="false">SUMPRODUCT(($E$6:$E$37="Fundador")*(($D$6:$D$37="Realizado")+($D$6:$D$37="Compromisso")+($D$6:$D$37="Previsto")*Premissas!$B$85+($D$6:$D$37="Em negociação")*Premissas!$B$86)*($A$6:$A$37&gt;=BF$90)*($A$6:$A$37&lt;=EOMONTH(BF$90,0))*$C$6:$C$37)</f>
        <v>0</v>
      </c>
      <c r="BG94" s="110" t="n">
        <f aca="false">SUMPRODUCT(($E$6:$E$37="Fundador")*(($D$6:$D$37="Realizado")+($D$6:$D$37="Compromisso")+($D$6:$D$37="Previsto")*Premissas!$B$85+($D$6:$D$37="Em negociação")*Premissas!$B$86)*($A$6:$A$37&gt;=BG$90)*($A$6:$A$37&lt;=EOMONTH(BG$90,0))*$C$6:$C$37)</f>
        <v>0</v>
      </c>
      <c r="BH94" s="110" t="n">
        <f aca="false">SUMPRODUCT(($E$6:$E$37="Fundador")*(($D$6:$D$37="Realizado")+($D$6:$D$37="Compromisso")+($D$6:$D$37="Previsto")*Premissas!$B$85+($D$6:$D$37="Em negociação")*Premissas!$B$86)*($A$6:$A$37&gt;=BH$90)*($A$6:$A$37&lt;=EOMONTH(BH$90,0))*$C$6:$C$37)</f>
        <v>0</v>
      </c>
      <c r="BI94" s="110" t="n">
        <f aca="false">SUMPRODUCT(($E$6:$E$37="Fundador")*(($D$6:$D$37="Realizado")+($D$6:$D$37="Compromisso")+($D$6:$D$37="Previsto")*Premissas!$B$85+($D$6:$D$37="Em negociação")*Premissas!$B$86)*($A$6:$A$37&gt;=BI$90)*($A$6:$A$37&lt;=EOMONTH(BI$90,0))*$C$6:$C$37)</f>
        <v>0</v>
      </c>
      <c r="BJ94" s="111" t="n">
        <f aca="false">SUM(B94:BI94)</f>
        <v>80000</v>
      </c>
    </row>
    <row r="95" customFormat="false" ht="15" hidden="false" customHeight="false" outlineLevel="0" collapsed="false">
      <c r="A95" s="27" t="s">
        <v>664</v>
      </c>
      <c r="B95" s="110" t="n">
        <f aca="false">SUMPRODUCT(($E$6:$E$37="Novo sócio")*(($D$6:$D$37="Realizado")+($D$6:$D$37="Compromisso")+($D$6:$D$37="Previsto")*Premissas!$B$85+($D$6:$D$37="Em negociação")*Premissas!$B$86)*($A$6:$A$37&gt;=B$90)*($A$6:$A$37&lt;=EOMONTH(B$90,0))*$C$6:$C$37)</f>
        <v>0</v>
      </c>
      <c r="C95" s="110" t="n">
        <f aca="false">SUMPRODUCT(($E$6:$E$37="Novo sócio")*(($D$6:$D$37="Realizado")+($D$6:$D$37="Compromisso")+($D$6:$D$37="Previsto")*Premissas!$B$85+($D$6:$D$37="Em negociação")*Premissas!$B$86)*($A$6:$A$37&gt;=C$90)*($A$6:$A$37&lt;=EOMONTH(C$90,0))*$C$6:$C$37)</f>
        <v>0</v>
      </c>
      <c r="D95" s="110" t="n">
        <f aca="false">SUMPRODUCT(($E$6:$E$37="Novo sócio")*(($D$6:$D$37="Realizado")+($D$6:$D$37="Compromisso")+($D$6:$D$37="Previsto")*Premissas!$B$85+($D$6:$D$37="Em negociação")*Premissas!$B$86)*($A$6:$A$37&gt;=D$90)*($A$6:$A$37&lt;=EOMONTH(D$90,0))*$C$6:$C$37)</f>
        <v>0</v>
      </c>
      <c r="E95" s="110" t="n">
        <f aca="false">SUMPRODUCT(($E$6:$E$37="Novo sócio")*(($D$6:$D$37="Realizado")+($D$6:$D$37="Compromisso")+($D$6:$D$37="Previsto")*Premissas!$B$85+($D$6:$D$37="Em negociação")*Premissas!$B$86)*($A$6:$A$37&gt;=E$90)*($A$6:$A$37&lt;=EOMONTH(E$90,0))*$C$6:$C$37)</f>
        <v>0</v>
      </c>
      <c r="F95" s="110" t="n">
        <f aca="false">SUMPRODUCT(($E$6:$E$37="Novo sócio")*(($D$6:$D$37="Realizado")+($D$6:$D$37="Compromisso")+($D$6:$D$37="Previsto")*Premissas!$B$85+($D$6:$D$37="Em negociação")*Premissas!$B$86)*($A$6:$A$37&gt;=F$90)*($A$6:$A$37&lt;=EOMONTH(F$90,0))*$C$6:$C$37)</f>
        <v>0</v>
      </c>
      <c r="G95" s="110" t="n">
        <f aca="false">SUMPRODUCT(($E$6:$E$37="Novo sócio")*(($D$6:$D$37="Realizado")+($D$6:$D$37="Compromisso")+($D$6:$D$37="Previsto")*Premissas!$B$85+($D$6:$D$37="Em negociação")*Premissas!$B$86)*($A$6:$A$37&gt;=G$90)*($A$6:$A$37&lt;=EOMONTH(G$90,0))*$C$6:$C$37)</f>
        <v>0</v>
      </c>
      <c r="H95" s="110" t="n">
        <f aca="false">SUMPRODUCT(($E$6:$E$37="Novo sócio")*(($D$6:$D$37="Realizado")+($D$6:$D$37="Compromisso")+($D$6:$D$37="Previsto")*Premissas!$B$85+($D$6:$D$37="Em negociação")*Premissas!$B$86)*($A$6:$A$37&gt;=H$90)*($A$6:$A$37&lt;=EOMONTH(H$90,0))*$C$6:$C$37)</f>
        <v>0</v>
      </c>
      <c r="I95" s="110" t="n">
        <f aca="false">SUMPRODUCT(($E$6:$E$37="Novo sócio")*(($D$6:$D$37="Realizado")+($D$6:$D$37="Compromisso")+($D$6:$D$37="Previsto")*Premissas!$B$85+($D$6:$D$37="Em negociação")*Premissas!$B$86)*($A$6:$A$37&gt;=I$90)*($A$6:$A$37&lt;=EOMONTH(I$90,0))*$C$6:$C$37)</f>
        <v>0</v>
      </c>
      <c r="J95" s="110" t="n">
        <f aca="false">SUMPRODUCT(($E$6:$E$37="Novo sócio")*(($D$6:$D$37="Realizado")+($D$6:$D$37="Compromisso")+($D$6:$D$37="Previsto")*Premissas!$B$85+($D$6:$D$37="Em negociação")*Premissas!$B$86)*($A$6:$A$37&gt;=J$90)*($A$6:$A$37&lt;=EOMONTH(J$90,0))*$C$6:$C$37)</f>
        <v>0</v>
      </c>
      <c r="K95" s="110" t="n">
        <f aca="false">SUMPRODUCT(($E$6:$E$37="Novo sócio")*(($D$6:$D$37="Realizado")+($D$6:$D$37="Compromisso")+($D$6:$D$37="Previsto")*Premissas!$B$85+($D$6:$D$37="Em negociação")*Premissas!$B$86)*($A$6:$A$37&gt;=K$90)*($A$6:$A$37&lt;=EOMONTH(K$90,0))*$C$6:$C$37)</f>
        <v>80000</v>
      </c>
      <c r="L95" s="110" t="n">
        <f aca="false">SUMPRODUCT(($E$6:$E$37="Novo sócio")*(($D$6:$D$37="Realizado")+($D$6:$D$37="Compromisso")+($D$6:$D$37="Previsto")*Premissas!$B$85+($D$6:$D$37="Em negociação")*Premissas!$B$86)*($A$6:$A$37&gt;=L$90)*($A$6:$A$37&lt;=EOMONTH(L$90,0))*$C$6:$C$37)</f>
        <v>40000</v>
      </c>
      <c r="M95" s="110" t="n">
        <f aca="false">SUMPRODUCT(($E$6:$E$37="Novo sócio")*(($D$6:$D$37="Realizado")+($D$6:$D$37="Compromisso")+($D$6:$D$37="Previsto")*Premissas!$B$85+($D$6:$D$37="Em negociação")*Premissas!$B$86)*($A$6:$A$37&gt;=M$90)*($A$6:$A$37&lt;=EOMONTH(M$90,0))*$C$6:$C$37)</f>
        <v>0</v>
      </c>
      <c r="N95" s="110" t="n">
        <f aca="false">SUMPRODUCT(($E$6:$E$37="Novo sócio")*(($D$6:$D$37="Realizado")+($D$6:$D$37="Compromisso")+($D$6:$D$37="Previsto")*Premissas!$B$85+($D$6:$D$37="Em negociação")*Premissas!$B$86)*($A$6:$A$37&gt;=N$90)*($A$6:$A$37&lt;=EOMONTH(N$90,0))*$C$6:$C$37)</f>
        <v>0</v>
      </c>
      <c r="O95" s="110" t="n">
        <f aca="false">SUMPRODUCT(($E$6:$E$37="Novo sócio")*(($D$6:$D$37="Realizado")+($D$6:$D$37="Compromisso")+($D$6:$D$37="Previsto")*Premissas!$B$85+($D$6:$D$37="Em negociação")*Premissas!$B$86)*($A$6:$A$37&gt;=O$90)*($A$6:$A$37&lt;=EOMONTH(O$90,0))*$C$6:$C$37)</f>
        <v>0</v>
      </c>
      <c r="P95" s="110" t="n">
        <f aca="false">SUMPRODUCT(($E$6:$E$37="Novo sócio")*(($D$6:$D$37="Realizado")+($D$6:$D$37="Compromisso")+($D$6:$D$37="Previsto")*Premissas!$B$85+($D$6:$D$37="Em negociação")*Premissas!$B$86)*($A$6:$A$37&gt;=P$90)*($A$6:$A$37&lt;=EOMONTH(P$90,0))*$C$6:$C$37)</f>
        <v>0</v>
      </c>
      <c r="Q95" s="110" t="n">
        <f aca="false">SUMPRODUCT(($E$6:$E$37="Novo sócio")*(($D$6:$D$37="Realizado")+($D$6:$D$37="Compromisso")+($D$6:$D$37="Previsto")*Premissas!$B$85+($D$6:$D$37="Em negociação")*Premissas!$B$86)*($A$6:$A$37&gt;=Q$90)*($A$6:$A$37&lt;=EOMONTH(Q$90,0))*$C$6:$C$37)</f>
        <v>0</v>
      </c>
      <c r="R95" s="110" t="n">
        <f aca="false">SUMPRODUCT(($E$6:$E$37="Novo sócio")*(($D$6:$D$37="Realizado")+($D$6:$D$37="Compromisso")+($D$6:$D$37="Previsto")*Premissas!$B$85+($D$6:$D$37="Em negociação")*Premissas!$B$86)*($A$6:$A$37&gt;=R$90)*($A$6:$A$37&lt;=EOMONTH(R$90,0))*$C$6:$C$37)</f>
        <v>0</v>
      </c>
      <c r="S95" s="110" t="n">
        <f aca="false">SUMPRODUCT(($E$6:$E$37="Novo sócio")*(($D$6:$D$37="Realizado")+($D$6:$D$37="Compromisso")+($D$6:$D$37="Previsto")*Premissas!$B$85+($D$6:$D$37="Em negociação")*Premissas!$B$86)*($A$6:$A$37&gt;=S$90)*($A$6:$A$37&lt;=EOMONTH(S$90,0))*$C$6:$C$37)</f>
        <v>0</v>
      </c>
      <c r="T95" s="110" t="n">
        <f aca="false">SUMPRODUCT(($E$6:$E$37="Novo sócio")*(($D$6:$D$37="Realizado")+($D$6:$D$37="Compromisso")+($D$6:$D$37="Previsto")*Premissas!$B$85+($D$6:$D$37="Em negociação")*Premissas!$B$86)*($A$6:$A$37&gt;=T$90)*($A$6:$A$37&lt;=EOMONTH(T$90,0))*$C$6:$C$37)</f>
        <v>0</v>
      </c>
      <c r="U95" s="110" t="n">
        <f aca="false">SUMPRODUCT(($E$6:$E$37="Novo sócio")*(($D$6:$D$37="Realizado")+($D$6:$D$37="Compromisso")+($D$6:$D$37="Previsto")*Premissas!$B$85+($D$6:$D$37="Em negociação")*Premissas!$B$86)*($A$6:$A$37&gt;=U$90)*($A$6:$A$37&lt;=EOMONTH(U$90,0))*$C$6:$C$37)</f>
        <v>0</v>
      </c>
      <c r="V95" s="110" t="n">
        <f aca="false">SUMPRODUCT(($E$6:$E$37="Novo sócio")*(($D$6:$D$37="Realizado")+($D$6:$D$37="Compromisso")+($D$6:$D$37="Previsto")*Premissas!$B$85+($D$6:$D$37="Em negociação")*Premissas!$B$86)*($A$6:$A$37&gt;=V$90)*($A$6:$A$37&lt;=EOMONTH(V$90,0))*$C$6:$C$37)</f>
        <v>0</v>
      </c>
      <c r="W95" s="110" t="n">
        <f aca="false">SUMPRODUCT(($E$6:$E$37="Novo sócio")*(($D$6:$D$37="Realizado")+($D$6:$D$37="Compromisso")+($D$6:$D$37="Previsto")*Premissas!$B$85+($D$6:$D$37="Em negociação")*Premissas!$B$86)*($A$6:$A$37&gt;=W$90)*($A$6:$A$37&lt;=EOMONTH(W$90,0))*$C$6:$C$37)</f>
        <v>0</v>
      </c>
      <c r="X95" s="110" t="n">
        <f aca="false">SUMPRODUCT(($E$6:$E$37="Novo sócio")*(($D$6:$D$37="Realizado")+($D$6:$D$37="Compromisso")+($D$6:$D$37="Previsto")*Premissas!$B$85+($D$6:$D$37="Em negociação")*Premissas!$B$86)*($A$6:$A$37&gt;=X$90)*($A$6:$A$37&lt;=EOMONTH(X$90,0))*$C$6:$C$37)</f>
        <v>0</v>
      </c>
      <c r="Y95" s="110" t="n">
        <f aca="false">SUMPRODUCT(($E$6:$E$37="Novo sócio")*(($D$6:$D$37="Realizado")+($D$6:$D$37="Compromisso")+($D$6:$D$37="Previsto")*Premissas!$B$85+($D$6:$D$37="Em negociação")*Premissas!$B$86)*($A$6:$A$37&gt;=Y$90)*($A$6:$A$37&lt;=EOMONTH(Y$90,0))*$C$6:$C$37)</f>
        <v>0</v>
      </c>
      <c r="Z95" s="110" t="n">
        <f aca="false">SUMPRODUCT(($E$6:$E$37="Novo sócio")*(($D$6:$D$37="Realizado")+($D$6:$D$37="Compromisso")+($D$6:$D$37="Previsto")*Premissas!$B$85+($D$6:$D$37="Em negociação")*Premissas!$B$86)*($A$6:$A$37&gt;=Z$90)*($A$6:$A$37&lt;=EOMONTH(Z$90,0))*$C$6:$C$37)</f>
        <v>0</v>
      </c>
      <c r="AA95" s="110" t="n">
        <f aca="false">SUMPRODUCT(($E$6:$E$37="Novo sócio")*(($D$6:$D$37="Realizado")+($D$6:$D$37="Compromisso")+($D$6:$D$37="Previsto")*Premissas!$B$85+($D$6:$D$37="Em negociação")*Premissas!$B$86)*($A$6:$A$37&gt;=AA$90)*($A$6:$A$37&lt;=EOMONTH(AA$90,0))*$C$6:$C$37)</f>
        <v>0</v>
      </c>
      <c r="AB95" s="110" t="n">
        <f aca="false">SUMPRODUCT(($E$6:$E$37="Novo sócio")*(($D$6:$D$37="Realizado")+($D$6:$D$37="Compromisso")+($D$6:$D$37="Previsto")*Premissas!$B$85+($D$6:$D$37="Em negociação")*Premissas!$B$86)*($A$6:$A$37&gt;=AB$90)*($A$6:$A$37&lt;=EOMONTH(AB$90,0))*$C$6:$C$37)</f>
        <v>0</v>
      </c>
      <c r="AC95" s="110" t="n">
        <f aca="false">SUMPRODUCT(($E$6:$E$37="Novo sócio")*(($D$6:$D$37="Realizado")+($D$6:$D$37="Compromisso")+($D$6:$D$37="Previsto")*Premissas!$B$85+($D$6:$D$37="Em negociação")*Premissas!$B$86)*($A$6:$A$37&gt;=AC$90)*($A$6:$A$37&lt;=EOMONTH(AC$90,0))*$C$6:$C$37)</f>
        <v>0</v>
      </c>
      <c r="AD95" s="110" t="n">
        <f aca="false">SUMPRODUCT(($E$6:$E$37="Novo sócio")*(($D$6:$D$37="Realizado")+($D$6:$D$37="Compromisso")+($D$6:$D$37="Previsto")*Premissas!$B$85+($D$6:$D$37="Em negociação")*Premissas!$B$86)*($A$6:$A$37&gt;=AD$90)*($A$6:$A$37&lt;=EOMONTH(AD$90,0))*$C$6:$C$37)</f>
        <v>0</v>
      </c>
      <c r="AE95" s="110" t="n">
        <f aca="false">SUMPRODUCT(($E$6:$E$37="Novo sócio")*(($D$6:$D$37="Realizado")+($D$6:$D$37="Compromisso")+($D$6:$D$37="Previsto")*Premissas!$B$85+($D$6:$D$37="Em negociação")*Premissas!$B$86)*($A$6:$A$37&gt;=AE$90)*($A$6:$A$37&lt;=EOMONTH(AE$90,0))*$C$6:$C$37)</f>
        <v>0</v>
      </c>
      <c r="AF95" s="110" t="n">
        <f aca="false">SUMPRODUCT(($E$6:$E$37="Novo sócio")*(($D$6:$D$37="Realizado")+($D$6:$D$37="Compromisso")+($D$6:$D$37="Previsto")*Premissas!$B$85+($D$6:$D$37="Em negociação")*Premissas!$B$86)*($A$6:$A$37&gt;=AF$90)*($A$6:$A$37&lt;=EOMONTH(AF$90,0))*$C$6:$C$37)</f>
        <v>0</v>
      </c>
      <c r="AG95" s="110" t="n">
        <f aca="false">SUMPRODUCT(($E$6:$E$37="Novo sócio")*(($D$6:$D$37="Realizado")+($D$6:$D$37="Compromisso")+($D$6:$D$37="Previsto")*Premissas!$B$85+($D$6:$D$37="Em negociação")*Premissas!$B$86)*($A$6:$A$37&gt;=AG$90)*($A$6:$A$37&lt;=EOMONTH(AG$90,0))*$C$6:$C$37)</f>
        <v>0</v>
      </c>
      <c r="AH95" s="110" t="n">
        <f aca="false">SUMPRODUCT(($E$6:$E$37="Novo sócio")*(($D$6:$D$37="Realizado")+($D$6:$D$37="Compromisso")+($D$6:$D$37="Previsto")*Premissas!$B$85+($D$6:$D$37="Em negociação")*Premissas!$B$86)*($A$6:$A$37&gt;=AH$90)*($A$6:$A$37&lt;=EOMONTH(AH$90,0))*$C$6:$C$37)</f>
        <v>0</v>
      </c>
      <c r="AI95" s="110" t="n">
        <f aca="false">SUMPRODUCT(($E$6:$E$37="Novo sócio")*(($D$6:$D$37="Realizado")+($D$6:$D$37="Compromisso")+($D$6:$D$37="Previsto")*Premissas!$B$85+($D$6:$D$37="Em negociação")*Premissas!$B$86)*($A$6:$A$37&gt;=AI$90)*($A$6:$A$37&lt;=EOMONTH(AI$90,0))*$C$6:$C$37)</f>
        <v>0</v>
      </c>
      <c r="AJ95" s="110" t="n">
        <f aca="false">SUMPRODUCT(($E$6:$E$37="Novo sócio")*(($D$6:$D$37="Realizado")+($D$6:$D$37="Compromisso")+($D$6:$D$37="Previsto")*Premissas!$B$85+($D$6:$D$37="Em negociação")*Premissas!$B$86)*($A$6:$A$37&gt;=AJ$90)*($A$6:$A$37&lt;=EOMONTH(AJ$90,0))*$C$6:$C$37)</f>
        <v>0</v>
      </c>
      <c r="AK95" s="110" t="n">
        <f aca="false">SUMPRODUCT(($E$6:$E$37="Novo sócio")*(($D$6:$D$37="Realizado")+($D$6:$D$37="Compromisso")+($D$6:$D$37="Previsto")*Premissas!$B$85+($D$6:$D$37="Em negociação")*Premissas!$B$86)*($A$6:$A$37&gt;=AK$90)*($A$6:$A$37&lt;=EOMONTH(AK$90,0))*$C$6:$C$37)</f>
        <v>0</v>
      </c>
      <c r="AL95" s="110" t="n">
        <f aca="false">SUMPRODUCT(($E$6:$E$37="Novo sócio")*(($D$6:$D$37="Realizado")+($D$6:$D$37="Compromisso")+($D$6:$D$37="Previsto")*Premissas!$B$85+($D$6:$D$37="Em negociação")*Premissas!$B$86)*($A$6:$A$37&gt;=AL$90)*($A$6:$A$37&lt;=EOMONTH(AL$90,0))*$C$6:$C$37)</f>
        <v>0</v>
      </c>
      <c r="AM95" s="110" t="n">
        <f aca="false">SUMPRODUCT(($E$6:$E$37="Novo sócio")*(($D$6:$D$37="Realizado")+($D$6:$D$37="Compromisso")+($D$6:$D$37="Previsto")*Premissas!$B$85+($D$6:$D$37="Em negociação")*Premissas!$B$86)*($A$6:$A$37&gt;=AM$90)*($A$6:$A$37&lt;=EOMONTH(AM$90,0))*$C$6:$C$37)</f>
        <v>0</v>
      </c>
      <c r="AN95" s="110" t="n">
        <f aca="false">SUMPRODUCT(($E$6:$E$37="Novo sócio")*(($D$6:$D$37="Realizado")+($D$6:$D$37="Compromisso")+($D$6:$D$37="Previsto")*Premissas!$B$85+($D$6:$D$37="Em negociação")*Premissas!$B$86)*($A$6:$A$37&gt;=AN$90)*($A$6:$A$37&lt;=EOMONTH(AN$90,0))*$C$6:$C$37)</f>
        <v>0</v>
      </c>
      <c r="AO95" s="110" t="n">
        <f aca="false">SUMPRODUCT(($E$6:$E$37="Novo sócio")*(($D$6:$D$37="Realizado")+($D$6:$D$37="Compromisso")+($D$6:$D$37="Previsto")*Premissas!$B$85+($D$6:$D$37="Em negociação")*Premissas!$B$86)*($A$6:$A$37&gt;=AO$90)*($A$6:$A$37&lt;=EOMONTH(AO$90,0))*$C$6:$C$37)</f>
        <v>0</v>
      </c>
      <c r="AP95" s="110" t="n">
        <f aca="false">SUMPRODUCT(($E$6:$E$37="Novo sócio")*(($D$6:$D$37="Realizado")+($D$6:$D$37="Compromisso")+($D$6:$D$37="Previsto")*Premissas!$B$85+($D$6:$D$37="Em negociação")*Premissas!$B$86)*($A$6:$A$37&gt;=AP$90)*($A$6:$A$37&lt;=EOMONTH(AP$90,0))*$C$6:$C$37)</f>
        <v>0</v>
      </c>
      <c r="AQ95" s="110" t="n">
        <f aca="false">SUMPRODUCT(($E$6:$E$37="Novo sócio")*(($D$6:$D$37="Realizado")+($D$6:$D$37="Compromisso")+($D$6:$D$37="Previsto")*Premissas!$B$85+($D$6:$D$37="Em negociação")*Premissas!$B$86)*($A$6:$A$37&gt;=AQ$90)*($A$6:$A$37&lt;=EOMONTH(AQ$90,0))*$C$6:$C$37)</f>
        <v>0</v>
      </c>
      <c r="AR95" s="110" t="n">
        <f aca="false">SUMPRODUCT(($E$6:$E$37="Novo sócio")*(($D$6:$D$37="Realizado")+($D$6:$D$37="Compromisso")+($D$6:$D$37="Previsto")*Premissas!$B$85+($D$6:$D$37="Em negociação")*Premissas!$B$86)*($A$6:$A$37&gt;=AR$90)*($A$6:$A$37&lt;=EOMONTH(AR$90,0))*$C$6:$C$37)</f>
        <v>0</v>
      </c>
      <c r="AS95" s="110" t="n">
        <f aca="false">SUMPRODUCT(($E$6:$E$37="Novo sócio")*(($D$6:$D$37="Realizado")+($D$6:$D$37="Compromisso")+($D$6:$D$37="Previsto")*Premissas!$B$85+($D$6:$D$37="Em negociação")*Premissas!$B$86)*($A$6:$A$37&gt;=AS$90)*($A$6:$A$37&lt;=EOMONTH(AS$90,0))*$C$6:$C$37)</f>
        <v>0</v>
      </c>
      <c r="AT95" s="110" t="n">
        <f aca="false">SUMPRODUCT(($E$6:$E$37="Novo sócio")*(($D$6:$D$37="Realizado")+($D$6:$D$37="Compromisso")+($D$6:$D$37="Previsto")*Premissas!$B$85+($D$6:$D$37="Em negociação")*Premissas!$B$86)*($A$6:$A$37&gt;=AT$90)*($A$6:$A$37&lt;=EOMONTH(AT$90,0))*$C$6:$C$37)</f>
        <v>0</v>
      </c>
      <c r="AU95" s="110" t="n">
        <f aca="false">SUMPRODUCT(($E$6:$E$37="Novo sócio")*(($D$6:$D$37="Realizado")+($D$6:$D$37="Compromisso")+($D$6:$D$37="Previsto")*Premissas!$B$85+($D$6:$D$37="Em negociação")*Premissas!$B$86)*($A$6:$A$37&gt;=AU$90)*($A$6:$A$37&lt;=EOMONTH(AU$90,0))*$C$6:$C$37)</f>
        <v>0</v>
      </c>
      <c r="AV95" s="110" t="n">
        <f aca="false">SUMPRODUCT(($E$6:$E$37="Novo sócio")*(($D$6:$D$37="Realizado")+($D$6:$D$37="Compromisso")+($D$6:$D$37="Previsto")*Premissas!$B$85+($D$6:$D$37="Em negociação")*Premissas!$B$86)*($A$6:$A$37&gt;=AV$90)*($A$6:$A$37&lt;=EOMONTH(AV$90,0))*$C$6:$C$37)</f>
        <v>0</v>
      </c>
      <c r="AW95" s="110" t="n">
        <f aca="false">SUMPRODUCT(($E$6:$E$37="Novo sócio")*(($D$6:$D$37="Realizado")+($D$6:$D$37="Compromisso")+($D$6:$D$37="Previsto")*Premissas!$B$85+($D$6:$D$37="Em negociação")*Premissas!$B$86)*($A$6:$A$37&gt;=AW$90)*($A$6:$A$37&lt;=EOMONTH(AW$90,0))*$C$6:$C$37)</f>
        <v>0</v>
      </c>
      <c r="AX95" s="110" t="n">
        <f aca="false">SUMPRODUCT(($E$6:$E$37="Novo sócio")*(($D$6:$D$37="Realizado")+($D$6:$D$37="Compromisso")+($D$6:$D$37="Previsto")*Premissas!$B$85+($D$6:$D$37="Em negociação")*Premissas!$B$86)*($A$6:$A$37&gt;=AX$90)*($A$6:$A$37&lt;=EOMONTH(AX$90,0))*$C$6:$C$37)</f>
        <v>0</v>
      </c>
      <c r="AY95" s="110" t="n">
        <f aca="false">SUMPRODUCT(($E$6:$E$37="Novo sócio")*(($D$6:$D$37="Realizado")+($D$6:$D$37="Compromisso")+($D$6:$D$37="Previsto")*Premissas!$B$85+($D$6:$D$37="Em negociação")*Premissas!$B$86)*($A$6:$A$37&gt;=AY$90)*($A$6:$A$37&lt;=EOMONTH(AY$90,0))*$C$6:$C$37)</f>
        <v>0</v>
      </c>
      <c r="AZ95" s="110" t="n">
        <f aca="false">SUMPRODUCT(($E$6:$E$37="Novo sócio")*(($D$6:$D$37="Realizado")+($D$6:$D$37="Compromisso")+($D$6:$D$37="Previsto")*Premissas!$B$85+($D$6:$D$37="Em negociação")*Premissas!$B$86)*($A$6:$A$37&gt;=AZ$90)*($A$6:$A$37&lt;=EOMONTH(AZ$90,0))*$C$6:$C$37)</f>
        <v>0</v>
      </c>
      <c r="BA95" s="110" t="n">
        <f aca="false">SUMPRODUCT(($E$6:$E$37="Novo sócio")*(($D$6:$D$37="Realizado")+($D$6:$D$37="Compromisso")+($D$6:$D$37="Previsto")*Premissas!$B$85+($D$6:$D$37="Em negociação")*Premissas!$B$86)*($A$6:$A$37&gt;=BA$90)*($A$6:$A$37&lt;=EOMONTH(BA$90,0))*$C$6:$C$37)</f>
        <v>0</v>
      </c>
      <c r="BB95" s="110" t="n">
        <f aca="false">SUMPRODUCT(($E$6:$E$37="Novo sócio")*(($D$6:$D$37="Realizado")+($D$6:$D$37="Compromisso")+($D$6:$D$37="Previsto")*Premissas!$B$85+($D$6:$D$37="Em negociação")*Premissas!$B$86)*($A$6:$A$37&gt;=BB$90)*($A$6:$A$37&lt;=EOMONTH(BB$90,0))*$C$6:$C$37)</f>
        <v>0</v>
      </c>
      <c r="BC95" s="110" t="n">
        <f aca="false">SUMPRODUCT(($E$6:$E$37="Novo sócio")*(($D$6:$D$37="Realizado")+($D$6:$D$37="Compromisso")+($D$6:$D$37="Previsto")*Premissas!$B$85+($D$6:$D$37="Em negociação")*Premissas!$B$86)*($A$6:$A$37&gt;=BC$90)*($A$6:$A$37&lt;=EOMONTH(BC$90,0))*$C$6:$C$37)</f>
        <v>0</v>
      </c>
      <c r="BD95" s="110" t="n">
        <f aca="false">SUMPRODUCT(($E$6:$E$37="Novo sócio")*(($D$6:$D$37="Realizado")+($D$6:$D$37="Compromisso")+($D$6:$D$37="Previsto")*Premissas!$B$85+($D$6:$D$37="Em negociação")*Premissas!$B$86)*($A$6:$A$37&gt;=BD$90)*($A$6:$A$37&lt;=EOMONTH(BD$90,0))*$C$6:$C$37)</f>
        <v>0</v>
      </c>
      <c r="BE95" s="110" t="n">
        <f aca="false">SUMPRODUCT(($E$6:$E$37="Novo sócio")*(($D$6:$D$37="Realizado")+($D$6:$D$37="Compromisso")+($D$6:$D$37="Previsto")*Premissas!$B$85+($D$6:$D$37="Em negociação")*Premissas!$B$86)*($A$6:$A$37&gt;=BE$90)*($A$6:$A$37&lt;=EOMONTH(BE$90,0))*$C$6:$C$37)</f>
        <v>0</v>
      </c>
      <c r="BF95" s="110" t="n">
        <f aca="false">SUMPRODUCT(($E$6:$E$37="Novo sócio")*(($D$6:$D$37="Realizado")+($D$6:$D$37="Compromisso")+($D$6:$D$37="Previsto")*Premissas!$B$85+($D$6:$D$37="Em negociação")*Premissas!$B$86)*($A$6:$A$37&gt;=BF$90)*($A$6:$A$37&lt;=EOMONTH(BF$90,0))*$C$6:$C$37)</f>
        <v>0</v>
      </c>
      <c r="BG95" s="110" t="n">
        <f aca="false">SUMPRODUCT(($E$6:$E$37="Novo sócio")*(($D$6:$D$37="Realizado")+($D$6:$D$37="Compromisso")+($D$6:$D$37="Previsto")*Premissas!$B$85+($D$6:$D$37="Em negociação")*Premissas!$B$86)*($A$6:$A$37&gt;=BG$90)*($A$6:$A$37&lt;=EOMONTH(BG$90,0))*$C$6:$C$37)</f>
        <v>0</v>
      </c>
      <c r="BH95" s="110" t="n">
        <f aca="false">SUMPRODUCT(($E$6:$E$37="Novo sócio")*(($D$6:$D$37="Realizado")+($D$6:$D$37="Compromisso")+($D$6:$D$37="Previsto")*Premissas!$B$85+($D$6:$D$37="Em negociação")*Premissas!$B$86)*($A$6:$A$37&gt;=BH$90)*($A$6:$A$37&lt;=EOMONTH(BH$90,0))*$C$6:$C$37)</f>
        <v>0</v>
      </c>
      <c r="BI95" s="110" t="n">
        <f aca="false">SUMPRODUCT(($E$6:$E$37="Novo sócio")*(($D$6:$D$37="Realizado")+($D$6:$D$37="Compromisso")+($D$6:$D$37="Previsto")*Premissas!$B$85+($D$6:$D$37="Em negociação")*Premissas!$B$86)*($A$6:$A$37&gt;=BI$90)*($A$6:$A$37&lt;=EOMONTH(BI$90,0))*$C$6:$C$37)</f>
        <v>0</v>
      </c>
      <c r="BJ95" s="111" t="n">
        <f aca="false">SUM(B95:BI95)</f>
        <v>120000</v>
      </c>
    </row>
    <row r="96" customFormat="false" ht="15" hidden="false" customHeight="false" outlineLevel="0" collapsed="false">
      <c r="A96" s="27" t="s">
        <v>665</v>
      </c>
      <c r="B96" s="110" t="n">
        <f aca="false">SUMPRODUCT(($E$6:$E$37="Investidor estratégico")*(($D$6:$D$37="Realizado")+($D$6:$D$37="Compromisso")+($D$6:$D$37="Previsto")*Premissas!$B$85+($D$6:$D$37="Em negociação")*Premissas!$B$86)*($A$6:$A$37&gt;=B$90)*($A$6:$A$37&lt;=EOMONTH(B$90,0))*$C$6:$C$37)</f>
        <v>0</v>
      </c>
      <c r="C96" s="110" t="n">
        <f aca="false">SUMPRODUCT(($E$6:$E$37="Investidor estratégico")*(($D$6:$D$37="Realizado")+($D$6:$D$37="Compromisso")+($D$6:$D$37="Previsto")*Premissas!$B$85+($D$6:$D$37="Em negociação")*Premissas!$B$86)*($A$6:$A$37&gt;=C$90)*($A$6:$A$37&lt;=EOMONTH(C$90,0))*$C$6:$C$37)</f>
        <v>0</v>
      </c>
      <c r="D96" s="110" t="n">
        <f aca="false">SUMPRODUCT(($E$6:$E$37="Investidor estratégico")*(($D$6:$D$37="Realizado")+($D$6:$D$37="Compromisso")+($D$6:$D$37="Previsto")*Premissas!$B$85+($D$6:$D$37="Em negociação")*Premissas!$B$86)*($A$6:$A$37&gt;=D$90)*($A$6:$A$37&lt;=EOMONTH(D$90,0))*$C$6:$C$37)</f>
        <v>0</v>
      </c>
      <c r="E96" s="110" t="n">
        <f aca="false">SUMPRODUCT(($E$6:$E$37="Investidor estratégico")*(($D$6:$D$37="Realizado")+($D$6:$D$37="Compromisso")+($D$6:$D$37="Previsto")*Premissas!$B$85+($D$6:$D$37="Em negociação")*Premissas!$B$86)*($A$6:$A$37&gt;=E$90)*($A$6:$A$37&lt;=EOMONTH(E$90,0))*$C$6:$C$37)</f>
        <v>0</v>
      </c>
      <c r="F96" s="110" t="n">
        <f aca="false">SUMPRODUCT(($E$6:$E$37="Investidor estratégico")*(($D$6:$D$37="Realizado")+($D$6:$D$37="Compromisso")+($D$6:$D$37="Previsto")*Premissas!$B$85+($D$6:$D$37="Em negociação")*Premissas!$B$86)*($A$6:$A$37&gt;=F$90)*($A$6:$A$37&lt;=EOMONTH(F$90,0))*$C$6:$C$37)</f>
        <v>0</v>
      </c>
      <c r="G96" s="110" t="n">
        <f aca="false">SUMPRODUCT(($E$6:$E$37="Investidor estratégico")*(($D$6:$D$37="Realizado")+($D$6:$D$37="Compromisso")+($D$6:$D$37="Previsto")*Premissas!$B$85+($D$6:$D$37="Em negociação")*Premissas!$B$86)*($A$6:$A$37&gt;=G$90)*($A$6:$A$37&lt;=EOMONTH(G$90,0))*$C$6:$C$37)</f>
        <v>0</v>
      </c>
      <c r="H96" s="110" t="n">
        <f aca="false">SUMPRODUCT(($E$6:$E$37="Investidor estratégico")*(($D$6:$D$37="Realizado")+($D$6:$D$37="Compromisso")+($D$6:$D$37="Previsto")*Premissas!$B$85+($D$6:$D$37="Em negociação")*Premissas!$B$86)*($A$6:$A$37&gt;=H$90)*($A$6:$A$37&lt;=EOMONTH(H$90,0))*$C$6:$C$37)</f>
        <v>0</v>
      </c>
      <c r="I96" s="110" t="n">
        <f aca="false">SUMPRODUCT(($E$6:$E$37="Investidor estratégico")*(($D$6:$D$37="Realizado")+($D$6:$D$37="Compromisso")+($D$6:$D$37="Previsto")*Premissas!$B$85+($D$6:$D$37="Em negociação")*Premissas!$B$86)*($A$6:$A$37&gt;=I$90)*($A$6:$A$37&lt;=EOMONTH(I$90,0))*$C$6:$C$37)</f>
        <v>0</v>
      </c>
      <c r="J96" s="110" t="n">
        <f aca="false">SUMPRODUCT(($E$6:$E$37="Investidor estratégico")*(($D$6:$D$37="Realizado")+($D$6:$D$37="Compromisso")+($D$6:$D$37="Previsto")*Premissas!$B$85+($D$6:$D$37="Em negociação")*Premissas!$B$86)*($A$6:$A$37&gt;=J$90)*($A$6:$A$37&lt;=EOMONTH(J$90,0))*$C$6:$C$37)</f>
        <v>0</v>
      </c>
      <c r="K96" s="110" t="n">
        <f aca="false">SUMPRODUCT(($E$6:$E$37="Investidor estratégico")*(($D$6:$D$37="Realizado")+($D$6:$D$37="Compromisso")+($D$6:$D$37="Previsto")*Premissas!$B$85+($D$6:$D$37="Em negociação")*Premissas!$B$86)*($A$6:$A$37&gt;=K$90)*($A$6:$A$37&lt;=EOMONTH(K$90,0))*$C$6:$C$37)</f>
        <v>0</v>
      </c>
      <c r="L96" s="110" t="n">
        <f aca="false">SUMPRODUCT(($E$6:$E$37="Investidor estratégico")*(($D$6:$D$37="Realizado")+($D$6:$D$37="Compromisso")+($D$6:$D$37="Previsto")*Premissas!$B$85+($D$6:$D$37="Em negociação")*Premissas!$B$86)*($A$6:$A$37&gt;=L$90)*($A$6:$A$37&lt;=EOMONTH(L$90,0))*$C$6:$C$37)</f>
        <v>0</v>
      </c>
      <c r="M96" s="110" t="n">
        <f aca="false">SUMPRODUCT(($E$6:$E$37="Investidor estratégico")*(($D$6:$D$37="Realizado")+($D$6:$D$37="Compromisso")+($D$6:$D$37="Previsto")*Premissas!$B$85+($D$6:$D$37="Em negociação")*Premissas!$B$86)*($A$6:$A$37&gt;=M$90)*($A$6:$A$37&lt;=EOMONTH(M$90,0))*$C$6:$C$37)</f>
        <v>0</v>
      </c>
      <c r="N96" s="110" t="n">
        <f aca="false">SUMPRODUCT(($E$6:$E$37="Investidor estratégico")*(($D$6:$D$37="Realizado")+($D$6:$D$37="Compromisso")+($D$6:$D$37="Previsto")*Premissas!$B$85+($D$6:$D$37="Em negociação")*Premissas!$B$86)*($A$6:$A$37&gt;=N$90)*($A$6:$A$37&lt;=EOMONTH(N$90,0))*$C$6:$C$37)</f>
        <v>0</v>
      </c>
      <c r="O96" s="110" t="n">
        <f aca="false">SUMPRODUCT(($E$6:$E$37="Investidor estratégico")*(($D$6:$D$37="Realizado")+($D$6:$D$37="Compromisso")+($D$6:$D$37="Previsto")*Premissas!$B$85+($D$6:$D$37="Em negociação")*Premissas!$B$86)*($A$6:$A$37&gt;=O$90)*($A$6:$A$37&lt;=EOMONTH(O$90,0))*$C$6:$C$37)</f>
        <v>0</v>
      </c>
      <c r="P96" s="110" t="n">
        <f aca="false">SUMPRODUCT(($E$6:$E$37="Investidor estratégico")*(($D$6:$D$37="Realizado")+($D$6:$D$37="Compromisso")+($D$6:$D$37="Previsto")*Premissas!$B$85+($D$6:$D$37="Em negociação")*Premissas!$B$86)*($A$6:$A$37&gt;=P$90)*($A$6:$A$37&lt;=EOMONTH(P$90,0))*$C$6:$C$37)</f>
        <v>0</v>
      </c>
      <c r="Q96" s="110" t="n">
        <f aca="false">SUMPRODUCT(($E$6:$E$37="Investidor estratégico")*(($D$6:$D$37="Realizado")+($D$6:$D$37="Compromisso")+($D$6:$D$37="Previsto")*Premissas!$B$85+($D$6:$D$37="Em negociação")*Premissas!$B$86)*($A$6:$A$37&gt;=Q$90)*($A$6:$A$37&lt;=EOMONTH(Q$90,0))*$C$6:$C$37)</f>
        <v>0</v>
      </c>
      <c r="R96" s="110" t="n">
        <f aca="false">SUMPRODUCT(($E$6:$E$37="Investidor estratégico")*(($D$6:$D$37="Realizado")+($D$6:$D$37="Compromisso")+($D$6:$D$37="Previsto")*Premissas!$B$85+($D$6:$D$37="Em negociação")*Premissas!$B$86)*($A$6:$A$37&gt;=R$90)*($A$6:$A$37&lt;=EOMONTH(R$90,0))*$C$6:$C$37)</f>
        <v>0</v>
      </c>
      <c r="S96" s="110" t="n">
        <f aca="false">SUMPRODUCT(($E$6:$E$37="Investidor estratégico")*(($D$6:$D$37="Realizado")+($D$6:$D$37="Compromisso")+($D$6:$D$37="Previsto")*Premissas!$B$85+($D$6:$D$37="Em negociação")*Premissas!$B$86)*($A$6:$A$37&gt;=S$90)*($A$6:$A$37&lt;=EOMONTH(S$90,0))*$C$6:$C$37)</f>
        <v>0</v>
      </c>
      <c r="T96" s="110" t="n">
        <f aca="false">SUMPRODUCT(($E$6:$E$37="Investidor estratégico")*(($D$6:$D$37="Realizado")+($D$6:$D$37="Compromisso")+($D$6:$D$37="Previsto")*Premissas!$B$85+($D$6:$D$37="Em negociação")*Premissas!$B$86)*($A$6:$A$37&gt;=T$90)*($A$6:$A$37&lt;=EOMONTH(T$90,0))*$C$6:$C$37)</f>
        <v>0</v>
      </c>
      <c r="U96" s="110" t="n">
        <f aca="false">SUMPRODUCT(($E$6:$E$37="Investidor estratégico")*(($D$6:$D$37="Realizado")+($D$6:$D$37="Compromisso")+($D$6:$D$37="Previsto")*Premissas!$B$85+($D$6:$D$37="Em negociação")*Premissas!$B$86)*($A$6:$A$37&gt;=U$90)*($A$6:$A$37&lt;=EOMONTH(U$90,0))*$C$6:$C$37)</f>
        <v>0</v>
      </c>
      <c r="V96" s="110" t="n">
        <f aca="false">SUMPRODUCT(($E$6:$E$37="Investidor estratégico")*(($D$6:$D$37="Realizado")+($D$6:$D$37="Compromisso")+($D$6:$D$37="Previsto")*Premissas!$B$85+($D$6:$D$37="Em negociação")*Premissas!$B$86)*($A$6:$A$37&gt;=V$90)*($A$6:$A$37&lt;=EOMONTH(V$90,0))*$C$6:$C$37)</f>
        <v>0</v>
      </c>
      <c r="W96" s="110" t="n">
        <f aca="false">SUMPRODUCT(($E$6:$E$37="Investidor estratégico")*(($D$6:$D$37="Realizado")+($D$6:$D$37="Compromisso")+($D$6:$D$37="Previsto")*Premissas!$B$85+($D$6:$D$37="Em negociação")*Premissas!$B$86)*($A$6:$A$37&gt;=W$90)*($A$6:$A$37&lt;=EOMONTH(W$90,0))*$C$6:$C$37)</f>
        <v>0</v>
      </c>
      <c r="X96" s="110" t="n">
        <f aca="false">SUMPRODUCT(($E$6:$E$37="Investidor estratégico")*(($D$6:$D$37="Realizado")+($D$6:$D$37="Compromisso")+($D$6:$D$37="Previsto")*Premissas!$B$85+($D$6:$D$37="Em negociação")*Premissas!$B$86)*($A$6:$A$37&gt;=X$90)*($A$6:$A$37&lt;=EOMONTH(X$90,0))*$C$6:$C$37)</f>
        <v>0</v>
      </c>
      <c r="Y96" s="110" t="n">
        <f aca="false">SUMPRODUCT(($E$6:$E$37="Investidor estratégico")*(($D$6:$D$37="Realizado")+($D$6:$D$37="Compromisso")+($D$6:$D$37="Previsto")*Premissas!$B$85+($D$6:$D$37="Em negociação")*Premissas!$B$86)*($A$6:$A$37&gt;=Y$90)*($A$6:$A$37&lt;=EOMONTH(Y$90,0))*$C$6:$C$37)</f>
        <v>0</v>
      </c>
      <c r="Z96" s="110" t="n">
        <f aca="false">SUMPRODUCT(($E$6:$E$37="Investidor estratégico")*(($D$6:$D$37="Realizado")+($D$6:$D$37="Compromisso")+($D$6:$D$37="Previsto")*Premissas!$B$85+($D$6:$D$37="Em negociação")*Premissas!$B$86)*($A$6:$A$37&gt;=Z$90)*($A$6:$A$37&lt;=EOMONTH(Z$90,0))*$C$6:$C$37)</f>
        <v>0</v>
      </c>
      <c r="AA96" s="110" t="n">
        <f aca="false">SUMPRODUCT(($E$6:$E$37="Investidor estratégico")*(($D$6:$D$37="Realizado")+($D$6:$D$37="Compromisso")+($D$6:$D$37="Previsto")*Premissas!$B$85+($D$6:$D$37="Em negociação")*Premissas!$B$86)*($A$6:$A$37&gt;=AA$90)*($A$6:$A$37&lt;=EOMONTH(AA$90,0))*$C$6:$C$37)</f>
        <v>0</v>
      </c>
      <c r="AB96" s="110" t="n">
        <f aca="false">SUMPRODUCT(($E$6:$E$37="Investidor estratégico")*(($D$6:$D$37="Realizado")+($D$6:$D$37="Compromisso")+($D$6:$D$37="Previsto")*Premissas!$B$85+($D$6:$D$37="Em negociação")*Premissas!$B$86)*($A$6:$A$37&gt;=AB$90)*($A$6:$A$37&lt;=EOMONTH(AB$90,0))*$C$6:$C$37)</f>
        <v>0</v>
      </c>
      <c r="AC96" s="110" t="n">
        <f aca="false">SUMPRODUCT(($E$6:$E$37="Investidor estratégico")*(($D$6:$D$37="Realizado")+($D$6:$D$37="Compromisso")+($D$6:$D$37="Previsto")*Premissas!$B$85+($D$6:$D$37="Em negociação")*Premissas!$B$86)*($A$6:$A$37&gt;=AC$90)*($A$6:$A$37&lt;=EOMONTH(AC$90,0))*$C$6:$C$37)</f>
        <v>0</v>
      </c>
      <c r="AD96" s="110" t="n">
        <f aca="false">SUMPRODUCT(($E$6:$E$37="Investidor estratégico")*(($D$6:$D$37="Realizado")+($D$6:$D$37="Compromisso")+($D$6:$D$37="Previsto")*Premissas!$B$85+($D$6:$D$37="Em negociação")*Premissas!$B$86)*($A$6:$A$37&gt;=AD$90)*($A$6:$A$37&lt;=EOMONTH(AD$90,0))*$C$6:$C$37)</f>
        <v>0</v>
      </c>
      <c r="AE96" s="110" t="n">
        <f aca="false">SUMPRODUCT(($E$6:$E$37="Investidor estratégico")*(($D$6:$D$37="Realizado")+($D$6:$D$37="Compromisso")+($D$6:$D$37="Previsto")*Premissas!$B$85+($D$6:$D$37="Em negociação")*Premissas!$B$86)*($A$6:$A$37&gt;=AE$90)*($A$6:$A$37&lt;=EOMONTH(AE$90,0))*$C$6:$C$37)</f>
        <v>0</v>
      </c>
      <c r="AF96" s="110" t="n">
        <f aca="false">SUMPRODUCT(($E$6:$E$37="Investidor estratégico")*(($D$6:$D$37="Realizado")+($D$6:$D$37="Compromisso")+($D$6:$D$37="Previsto")*Premissas!$B$85+($D$6:$D$37="Em negociação")*Premissas!$B$86)*($A$6:$A$37&gt;=AF$90)*($A$6:$A$37&lt;=EOMONTH(AF$90,0))*$C$6:$C$37)</f>
        <v>0</v>
      </c>
      <c r="AG96" s="110" t="n">
        <f aca="false">SUMPRODUCT(($E$6:$E$37="Investidor estratégico")*(($D$6:$D$37="Realizado")+($D$6:$D$37="Compromisso")+($D$6:$D$37="Previsto")*Premissas!$B$85+($D$6:$D$37="Em negociação")*Premissas!$B$86)*($A$6:$A$37&gt;=AG$90)*($A$6:$A$37&lt;=EOMONTH(AG$90,0))*$C$6:$C$37)</f>
        <v>0</v>
      </c>
      <c r="AH96" s="110" t="n">
        <f aca="false">SUMPRODUCT(($E$6:$E$37="Investidor estratégico")*(($D$6:$D$37="Realizado")+($D$6:$D$37="Compromisso")+($D$6:$D$37="Previsto")*Premissas!$B$85+($D$6:$D$37="Em negociação")*Premissas!$B$86)*($A$6:$A$37&gt;=AH$90)*($A$6:$A$37&lt;=EOMONTH(AH$90,0))*$C$6:$C$37)</f>
        <v>0</v>
      </c>
      <c r="AI96" s="110" t="n">
        <f aca="false">SUMPRODUCT(($E$6:$E$37="Investidor estratégico")*(($D$6:$D$37="Realizado")+($D$6:$D$37="Compromisso")+($D$6:$D$37="Previsto")*Premissas!$B$85+($D$6:$D$37="Em negociação")*Premissas!$B$86)*($A$6:$A$37&gt;=AI$90)*($A$6:$A$37&lt;=EOMONTH(AI$90,0))*$C$6:$C$37)</f>
        <v>0</v>
      </c>
      <c r="AJ96" s="110" t="n">
        <f aca="false">SUMPRODUCT(($E$6:$E$37="Investidor estratégico")*(($D$6:$D$37="Realizado")+($D$6:$D$37="Compromisso")+($D$6:$D$37="Previsto")*Premissas!$B$85+($D$6:$D$37="Em negociação")*Premissas!$B$86)*($A$6:$A$37&gt;=AJ$90)*($A$6:$A$37&lt;=EOMONTH(AJ$90,0))*$C$6:$C$37)</f>
        <v>0</v>
      </c>
      <c r="AK96" s="110" t="n">
        <f aca="false">SUMPRODUCT(($E$6:$E$37="Investidor estratégico")*(($D$6:$D$37="Realizado")+($D$6:$D$37="Compromisso")+($D$6:$D$37="Previsto")*Premissas!$B$85+($D$6:$D$37="Em negociação")*Premissas!$B$86)*($A$6:$A$37&gt;=AK$90)*($A$6:$A$37&lt;=EOMONTH(AK$90,0))*$C$6:$C$37)</f>
        <v>0</v>
      </c>
      <c r="AL96" s="110" t="n">
        <f aca="false">SUMPRODUCT(($E$6:$E$37="Investidor estratégico")*(($D$6:$D$37="Realizado")+($D$6:$D$37="Compromisso")+($D$6:$D$37="Previsto")*Premissas!$B$85+($D$6:$D$37="Em negociação")*Premissas!$B$86)*($A$6:$A$37&gt;=AL$90)*($A$6:$A$37&lt;=EOMONTH(AL$90,0))*$C$6:$C$37)</f>
        <v>0</v>
      </c>
      <c r="AM96" s="110" t="n">
        <f aca="false">SUMPRODUCT(($E$6:$E$37="Investidor estratégico")*(($D$6:$D$37="Realizado")+($D$6:$D$37="Compromisso")+($D$6:$D$37="Previsto")*Premissas!$B$85+($D$6:$D$37="Em negociação")*Premissas!$B$86)*($A$6:$A$37&gt;=AM$90)*($A$6:$A$37&lt;=EOMONTH(AM$90,0))*$C$6:$C$37)</f>
        <v>0</v>
      </c>
      <c r="AN96" s="110" t="n">
        <f aca="false">SUMPRODUCT(($E$6:$E$37="Investidor estratégico")*(($D$6:$D$37="Realizado")+($D$6:$D$37="Compromisso")+($D$6:$D$37="Previsto")*Premissas!$B$85+($D$6:$D$37="Em negociação")*Premissas!$B$86)*($A$6:$A$37&gt;=AN$90)*($A$6:$A$37&lt;=EOMONTH(AN$90,0))*$C$6:$C$37)</f>
        <v>0</v>
      </c>
      <c r="AO96" s="110" t="n">
        <f aca="false">SUMPRODUCT(($E$6:$E$37="Investidor estratégico")*(($D$6:$D$37="Realizado")+($D$6:$D$37="Compromisso")+($D$6:$D$37="Previsto")*Premissas!$B$85+($D$6:$D$37="Em negociação")*Premissas!$B$86)*($A$6:$A$37&gt;=AO$90)*($A$6:$A$37&lt;=EOMONTH(AO$90,0))*$C$6:$C$37)</f>
        <v>0</v>
      </c>
      <c r="AP96" s="110" t="n">
        <f aca="false">SUMPRODUCT(($E$6:$E$37="Investidor estratégico")*(($D$6:$D$37="Realizado")+($D$6:$D$37="Compromisso")+($D$6:$D$37="Previsto")*Premissas!$B$85+($D$6:$D$37="Em negociação")*Premissas!$B$86)*($A$6:$A$37&gt;=AP$90)*($A$6:$A$37&lt;=EOMONTH(AP$90,0))*$C$6:$C$37)</f>
        <v>0</v>
      </c>
      <c r="AQ96" s="110" t="n">
        <f aca="false">SUMPRODUCT(($E$6:$E$37="Investidor estratégico")*(($D$6:$D$37="Realizado")+($D$6:$D$37="Compromisso")+($D$6:$D$37="Previsto")*Premissas!$B$85+($D$6:$D$37="Em negociação")*Premissas!$B$86)*($A$6:$A$37&gt;=AQ$90)*($A$6:$A$37&lt;=EOMONTH(AQ$90,0))*$C$6:$C$37)</f>
        <v>0</v>
      </c>
      <c r="AR96" s="110" t="n">
        <f aca="false">SUMPRODUCT(($E$6:$E$37="Investidor estratégico")*(($D$6:$D$37="Realizado")+($D$6:$D$37="Compromisso")+($D$6:$D$37="Previsto")*Premissas!$B$85+($D$6:$D$37="Em negociação")*Premissas!$B$86)*($A$6:$A$37&gt;=AR$90)*($A$6:$A$37&lt;=EOMONTH(AR$90,0))*$C$6:$C$37)</f>
        <v>0</v>
      </c>
      <c r="AS96" s="110" t="n">
        <f aca="false">SUMPRODUCT(($E$6:$E$37="Investidor estratégico")*(($D$6:$D$37="Realizado")+($D$6:$D$37="Compromisso")+($D$6:$D$37="Previsto")*Premissas!$B$85+($D$6:$D$37="Em negociação")*Premissas!$B$86)*($A$6:$A$37&gt;=AS$90)*($A$6:$A$37&lt;=EOMONTH(AS$90,0))*$C$6:$C$37)</f>
        <v>0</v>
      </c>
      <c r="AT96" s="110" t="n">
        <f aca="false">SUMPRODUCT(($E$6:$E$37="Investidor estratégico")*(($D$6:$D$37="Realizado")+($D$6:$D$37="Compromisso")+($D$6:$D$37="Previsto")*Premissas!$B$85+($D$6:$D$37="Em negociação")*Premissas!$B$86)*($A$6:$A$37&gt;=AT$90)*($A$6:$A$37&lt;=EOMONTH(AT$90,0))*$C$6:$C$37)</f>
        <v>0</v>
      </c>
      <c r="AU96" s="110" t="n">
        <f aca="false">SUMPRODUCT(($E$6:$E$37="Investidor estratégico")*(($D$6:$D$37="Realizado")+($D$6:$D$37="Compromisso")+($D$6:$D$37="Previsto")*Premissas!$B$85+($D$6:$D$37="Em negociação")*Premissas!$B$86)*($A$6:$A$37&gt;=AU$90)*($A$6:$A$37&lt;=EOMONTH(AU$90,0))*$C$6:$C$37)</f>
        <v>0</v>
      </c>
      <c r="AV96" s="110" t="n">
        <f aca="false">SUMPRODUCT(($E$6:$E$37="Investidor estratégico")*(($D$6:$D$37="Realizado")+($D$6:$D$37="Compromisso")+($D$6:$D$37="Previsto")*Premissas!$B$85+($D$6:$D$37="Em negociação")*Premissas!$B$86)*($A$6:$A$37&gt;=AV$90)*($A$6:$A$37&lt;=EOMONTH(AV$90,0))*$C$6:$C$37)</f>
        <v>0</v>
      </c>
      <c r="AW96" s="110" t="n">
        <f aca="false">SUMPRODUCT(($E$6:$E$37="Investidor estratégico")*(($D$6:$D$37="Realizado")+($D$6:$D$37="Compromisso")+($D$6:$D$37="Previsto")*Premissas!$B$85+($D$6:$D$37="Em negociação")*Premissas!$B$86)*($A$6:$A$37&gt;=AW$90)*($A$6:$A$37&lt;=EOMONTH(AW$90,0))*$C$6:$C$37)</f>
        <v>0</v>
      </c>
      <c r="AX96" s="110" t="n">
        <f aca="false">SUMPRODUCT(($E$6:$E$37="Investidor estratégico")*(($D$6:$D$37="Realizado")+($D$6:$D$37="Compromisso")+($D$6:$D$37="Previsto")*Premissas!$B$85+($D$6:$D$37="Em negociação")*Premissas!$B$86)*($A$6:$A$37&gt;=AX$90)*($A$6:$A$37&lt;=EOMONTH(AX$90,0))*$C$6:$C$37)</f>
        <v>0</v>
      </c>
      <c r="AY96" s="110" t="n">
        <f aca="false">SUMPRODUCT(($E$6:$E$37="Investidor estratégico")*(($D$6:$D$37="Realizado")+($D$6:$D$37="Compromisso")+($D$6:$D$37="Previsto")*Premissas!$B$85+($D$6:$D$37="Em negociação")*Premissas!$B$86)*($A$6:$A$37&gt;=AY$90)*($A$6:$A$37&lt;=EOMONTH(AY$90,0))*$C$6:$C$37)</f>
        <v>0</v>
      </c>
      <c r="AZ96" s="110" t="n">
        <f aca="false">SUMPRODUCT(($E$6:$E$37="Investidor estratégico")*(($D$6:$D$37="Realizado")+($D$6:$D$37="Compromisso")+($D$6:$D$37="Previsto")*Premissas!$B$85+($D$6:$D$37="Em negociação")*Premissas!$B$86)*($A$6:$A$37&gt;=AZ$90)*($A$6:$A$37&lt;=EOMONTH(AZ$90,0))*$C$6:$C$37)</f>
        <v>0</v>
      </c>
      <c r="BA96" s="110" t="n">
        <f aca="false">SUMPRODUCT(($E$6:$E$37="Investidor estratégico")*(($D$6:$D$37="Realizado")+($D$6:$D$37="Compromisso")+($D$6:$D$37="Previsto")*Premissas!$B$85+($D$6:$D$37="Em negociação")*Premissas!$B$86)*($A$6:$A$37&gt;=BA$90)*($A$6:$A$37&lt;=EOMONTH(BA$90,0))*$C$6:$C$37)</f>
        <v>0</v>
      </c>
      <c r="BB96" s="110" t="n">
        <f aca="false">SUMPRODUCT(($E$6:$E$37="Investidor estratégico")*(($D$6:$D$37="Realizado")+($D$6:$D$37="Compromisso")+($D$6:$D$37="Previsto")*Premissas!$B$85+($D$6:$D$37="Em negociação")*Premissas!$B$86)*($A$6:$A$37&gt;=BB$90)*($A$6:$A$37&lt;=EOMONTH(BB$90,0))*$C$6:$C$37)</f>
        <v>0</v>
      </c>
      <c r="BC96" s="110" t="n">
        <f aca="false">SUMPRODUCT(($E$6:$E$37="Investidor estratégico")*(($D$6:$D$37="Realizado")+($D$6:$D$37="Compromisso")+($D$6:$D$37="Previsto")*Premissas!$B$85+($D$6:$D$37="Em negociação")*Premissas!$B$86)*($A$6:$A$37&gt;=BC$90)*($A$6:$A$37&lt;=EOMONTH(BC$90,0))*$C$6:$C$37)</f>
        <v>0</v>
      </c>
      <c r="BD96" s="110" t="n">
        <f aca="false">SUMPRODUCT(($E$6:$E$37="Investidor estratégico")*(($D$6:$D$37="Realizado")+($D$6:$D$37="Compromisso")+($D$6:$D$37="Previsto")*Premissas!$B$85+($D$6:$D$37="Em negociação")*Premissas!$B$86)*($A$6:$A$37&gt;=BD$90)*($A$6:$A$37&lt;=EOMONTH(BD$90,0))*$C$6:$C$37)</f>
        <v>0</v>
      </c>
      <c r="BE96" s="110" t="n">
        <f aca="false">SUMPRODUCT(($E$6:$E$37="Investidor estratégico")*(($D$6:$D$37="Realizado")+($D$6:$D$37="Compromisso")+($D$6:$D$37="Previsto")*Premissas!$B$85+($D$6:$D$37="Em negociação")*Premissas!$B$86)*($A$6:$A$37&gt;=BE$90)*($A$6:$A$37&lt;=EOMONTH(BE$90,0))*$C$6:$C$37)</f>
        <v>0</v>
      </c>
      <c r="BF96" s="110" t="n">
        <f aca="false">SUMPRODUCT(($E$6:$E$37="Investidor estratégico")*(($D$6:$D$37="Realizado")+($D$6:$D$37="Compromisso")+($D$6:$D$37="Previsto")*Premissas!$B$85+($D$6:$D$37="Em negociação")*Premissas!$B$86)*($A$6:$A$37&gt;=BF$90)*($A$6:$A$37&lt;=EOMONTH(BF$90,0))*$C$6:$C$37)</f>
        <v>0</v>
      </c>
      <c r="BG96" s="110" t="n">
        <f aca="false">SUMPRODUCT(($E$6:$E$37="Investidor estratégico")*(($D$6:$D$37="Realizado")+($D$6:$D$37="Compromisso")+($D$6:$D$37="Previsto")*Premissas!$B$85+($D$6:$D$37="Em negociação")*Premissas!$B$86)*($A$6:$A$37&gt;=BG$90)*($A$6:$A$37&lt;=EOMONTH(BG$90,0))*$C$6:$C$37)</f>
        <v>0</v>
      </c>
      <c r="BH96" s="110" t="n">
        <f aca="false">SUMPRODUCT(($E$6:$E$37="Investidor estratégico")*(($D$6:$D$37="Realizado")+($D$6:$D$37="Compromisso")+($D$6:$D$37="Previsto")*Premissas!$B$85+($D$6:$D$37="Em negociação")*Premissas!$B$86)*($A$6:$A$37&gt;=BH$90)*($A$6:$A$37&lt;=EOMONTH(BH$90,0))*$C$6:$C$37)</f>
        <v>0</v>
      </c>
      <c r="BI96" s="110" t="n">
        <f aca="false">SUMPRODUCT(($E$6:$E$37="Investidor estratégico")*(($D$6:$D$37="Realizado")+($D$6:$D$37="Compromisso")+($D$6:$D$37="Previsto")*Premissas!$B$85+($D$6:$D$37="Em negociação")*Premissas!$B$86)*($A$6:$A$37&gt;=BI$90)*($A$6:$A$37&lt;=EOMONTH(BI$90,0))*$C$6:$C$37)</f>
        <v>0</v>
      </c>
      <c r="BJ96" s="111" t="n">
        <f aca="false">SUM(B96:BI96)</f>
        <v>0</v>
      </c>
    </row>
    <row r="97" customFormat="false" ht="15" hidden="false" customHeight="false" outlineLevel="0" collapsed="false">
      <c r="A97" s="27" t="s">
        <v>666</v>
      </c>
      <c r="B97" s="113" t="n">
        <f aca="false">SUMPRODUCT((($B$43:$B$50="Confirmado")+($B$43:$B$50="Em negociação")*Premissas!$B$86)*($D$43:$D$50&gt;=B$90)*($D$43:$D$50&lt;=EOMONTH(B$90,0))*$C$43:$C$50)</f>
        <v>0</v>
      </c>
      <c r="C97" s="113" t="n">
        <f aca="false">SUMPRODUCT((($B$43:$B$50="Confirmado")+($B$43:$B$50="Em negociação")*Premissas!$B$86)*($D$43:$D$50&gt;=C$90)*($D$43:$D$50&lt;=EOMONTH(C$90,0))*$C$43:$C$50)</f>
        <v>0</v>
      </c>
      <c r="D97" s="113" t="n">
        <f aca="false">SUMPRODUCT((($B$43:$B$50="Confirmado")+($B$43:$B$50="Em negociação")*Premissas!$B$86)*($D$43:$D$50&gt;=D$90)*($D$43:$D$50&lt;=EOMONTH(D$90,0))*$C$43:$C$50)</f>
        <v>0</v>
      </c>
      <c r="E97" s="113" t="n">
        <f aca="false">SUMPRODUCT((($B$43:$B$50="Confirmado")+($B$43:$B$50="Em negociação")*Premissas!$B$86)*($D$43:$D$50&gt;=E$90)*($D$43:$D$50&lt;=EOMONTH(E$90,0))*$C$43:$C$50)</f>
        <v>0</v>
      </c>
      <c r="F97" s="113" t="n">
        <f aca="false">SUMPRODUCT((($B$43:$B$50="Confirmado")+($B$43:$B$50="Em negociação")*Premissas!$B$86)*($D$43:$D$50&gt;=F$90)*($D$43:$D$50&lt;=EOMONTH(F$90,0))*$C$43:$C$50)</f>
        <v>0</v>
      </c>
      <c r="G97" s="113" t="n">
        <f aca="false">SUMPRODUCT((($B$43:$B$50="Confirmado")+($B$43:$B$50="Em negociação")*Premissas!$B$86)*($D$43:$D$50&gt;=G$90)*($D$43:$D$50&lt;=EOMONTH(G$90,0))*$C$43:$C$50)</f>
        <v>0</v>
      </c>
      <c r="H97" s="113" t="n">
        <f aca="false">SUMPRODUCT((($B$43:$B$50="Confirmado")+($B$43:$B$50="Em negociação")*Premissas!$B$86)*($D$43:$D$50&gt;=H$90)*($D$43:$D$50&lt;=EOMONTH(H$90,0))*$C$43:$C$50)</f>
        <v>0</v>
      </c>
      <c r="I97" s="113" t="n">
        <f aca="false">SUMPRODUCT((($B$43:$B$50="Confirmado")+($B$43:$B$50="Em negociação")*Premissas!$B$86)*($D$43:$D$50&gt;=I$90)*($D$43:$D$50&lt;=EOMONTH(I$90,0))*$C$43:$C$50)</f>
        <v>0</v>
      </c>
      <c r="J97" s="113" t="n">
        <f aca="false">SUMPRODUCT((($B$43:$B$50="Confirmado")+($B$43:$B$50="Em negociação")*Premissas!$B$86)*($D$43:$D$50&gt;=J$90)*($D$43:$D$50&lt;=EOMONTH(J$90,0))*$C$43:$C$50)</f>
        <v>0</v>
      </c>
      <c r="K97" s="113" t="n">
        <f aca="false">SUMPRODUCT((($B$43:$B$50="Confirmado")+($B$43:$B$50="Em negociação")*Premissas!$B$86)*($D$43:$D$50&gt;=K$90)*($D$43:$D$50&lt;=EOMONTH(K$90,0))*$C$43:$C$50)</f>
        <v>0</v>
      </c>
      <c r="L97" s="113" t="n">
        <f aca="false">SUMPRODUCT((($B$43:$B$50="Confirmado")+($B$43:$B$50="Em negociação")*Premissas!$B$86)*($D$43:$D$50&gt;=L$90)*($D$43:$D$50&lt;=EOMONTH(L$90,0))*$C$43:$C$50)</f>
        <v>0</v>
      </c>
      <c r="M97" s="113" t="n">
        <f aca="false">SUMPRODUCT((($B$43:$B$50="Confirmado")+($B$43:$B$50="Em negociação")*Premissas!$B$86)*($D$43:$D$50&gt;=M$90)*($D$43:$D$50&lt;=EOMONTH(M$90,0))*$C$43:$C$50)</f>
        <v>0</v>
      </c>
      <c r="N97" s="113" t="n">
        <f aca="false">SUMPRODUCT((($B$43:$B$50="Confirmado")+($B$43:$B$50="Em negociação")*Premissas!$B$86)*($D$43:$D$50&gt;=N$90)*($D$43:$D$50&lt;=EOMONTH(N$90,0))*$C$43:$C$50)</f>
        <v>0</v>
      </c>
      <c r="O97" s="113" t="n">
        <f aca="false">SUMPRODUCT((($B$43:$B$50="Confirmado")+($B$43:$B$50="Em negociação")*Premissas!$B$86)*($D$43:$D$50&gt;=O$90)*($D$43:$D$50&lt;=EOMONTH(O$90,0))*$C$43:$C$50)</f>
        <v>0</v>
      </c>
      <c r="P97" s="113" t="n">
        <f aca="false">SUMPRODUCT((($B$43:$B$50="Confirmado")+($B$43:$B$50="Em negociação")*Premissas!$B$86)*($D$43:$D$50&gt;=P$90)*($D$43:$D$50&lt;=EOMONTH(P$90,0))*$C$43:$C$50)</f>
        <v>0</v>
      </c>
      <c r="Q97" s="113" t="n">
        <f aca="false">SUMPRODUCT((($B$43:$B$50="Confirmado")+($B$43:$B$50="Em negociação")*Premissas!$B$86)*($D$43:$D$50&gt;=Q$90)*($D$43:$D$50&lt;=EOMONTH(Q$90,0))*$C$43:$C$50)</f>
        <v>0</v>
      </c>
      <c r="R97" s="113" t="n">
        <f aca="false">SUMPRODUCT((($B$43:$B$50="Confirmado")+($B$43:$B$50="Em negociação")*Premissas!$B$86)*($D$43:$D$50&gt;=R$90)*($D$43:$D$50&lt;=EOMONTH(R$90,0))*$C$43:$C$50)</f>
        <v>0</v>
      </c>
      <c r="S97" s="113" t="n">
        <f aca="false">SUMPRODUCT((($B$43:$B$50="Confirmado")+($B$43:$B$50="Em negociação")*Premissas!$B$86)*($D$43:$D$50&gt;=S$90)*($D$43:$D$50&lt;=EOMONTH(S$90,0))*$C$43:$C$50)</f>
        <v>0</v>
      </c>
      <c r="T97" s="113" t="n">
        <f aca="false">SUMPRODUCT((($B$43:$B$50="Confirmado")+($B$43:$B$50="Em negociação")*Premissas!$B$86)*($D$43:$D$50&gt;=T$90)*($D$43:$D$50&lt;=EOMONTH(T$90,0))*$C$43:$C$50)</f>
        <v>0</v>
      </c>
      <c r="U97" s="113" t="n">
        <f aca="false">SUMPRODUCT((($B$43:$B$50="Confirmado")+($B$43:$B$50="Em negociação")*Premissas!$B$86)*($D$43:$D$50&gt;=U$90)*($D$43:$D$50&lt;=EOMONTH(U$90,0))*$C$43:$C$50)</f>
        <v>0</v>
      </c>
      <c r="V97" s="113" t="n">
        <f aca="false">SUMPRODUCT((($B$43:$B$50="Confirmado")+($B$43:$B$50="Em negociação")*Premissas!$B$86)*($D$43:$D$50&gt;=V$90)*($D$43:$D$50&lt;=EOMONTH(V$90,0))*$C$43:$C$50)</f>
        <v>0</v>
      </c>
      <c r="W97" s="113" t="n">
        <f aca="false">SUMPRODUCT((($B$43:$B$50="Confirmado")+($B$43:$B$50="Em negociação")*Premissas!$B$86)*($D$43:$D$50&gt;=W$90)*($D$43:$D$50&lt;=EOMONTH(W$90,0))*$C$43:$C$50)</f>
        <v>0</v>
      </c>
      <c r="X97" s="113" t="n">
        <f aca="false">SUMPRODUCT((($B$43:$B$50="Confirmado")+($B$43:$B$50="Em negociação")*Premissas!$B$86)*($D$43:$D$50&gt;=X$90)*($D$43:$D$50&lt;=EOMONTH(X$90,0))*$C$43:$C$50)</f>
        <v>0</v>
      </c>
      <c r="Y97" s="113" t="n">
        <f aca="false">SUMPRODUCT((($B$43:$B$50="Confirmado")+($B$43:$B$50="Em negociação")*Premissas!$B$86)*($D$43:$D$50&gt;=Y$90)*($D$43:$D$50&lt;=EOMONTH(Y$90,0))*$C$43:$C$50)</f>
        <v>0</v>
      </c>
      <c r="Z97" s="113" t="n">
        <f aca="false">SUMPRODUCT((($B$43:$B$50="Confirmado")+($B$43:$B$50="Em negociação")*Premissas!$B$86)*($D$43:$D$50&gt;=Z$90)*($D$43:$D$50&lt;=EOMONTH(Z$90,0))*$C$43:$C$50)</f>
        <v>0</v>
      </c>
      <c r="AA97" s="113" t="n">
        <f aca="false">SUMPRODUCT((($B$43:$B$50="Confirmado")+($B$43:$B$50="Em negociação")*Premissas!$B$86)*($D$43:$D$50&gt;=AA$90)*($D$43:$D$50&lt;=EOMONTH(AA$90,0))*$C$43:$C$50)</f>
        <v>0</v>
      </c>
      <c r="AB97" s="113" t="n">
        <f aca="false">SUMPRODUCT((($B$43:$B$50="Confirmado")+($B$43:$B$50="Em negociação")*Premissas!$B$86)*($D$43:$D$50&gt;=AB$90)*($D$43:$D$50&lt;=EOMONTH(AB$90,0))*$C$43:$C$50)</f>
        <v>0</v>
      </c>
      <c r="AC97" s="113" t="n">
        <f aca="false">SUMPRODUCT((($B$43:$B$50="Confirmado")+($B$43:$B$50="Em negociação")*Premissas!$B$86)*($D$43:$D$50&gt;=AC$90)*($D$43:$D$50&lt;=EOMONTH(AC$90,0))*$C$43:$C$50)</f>
        <v>0</v>
      </c>
      <c r="AD97" s="113" t="n">
        <f aca="false">SUMPRODUCT((($B$43:$B$50="Confirmado")+($B$43:$B$50="Em negociação")*Premissas!$B$86)*($D$43:$D$50&gt;=AD$90)*($D$43:$D$50&lt;=EOMONTH(AD$90,0))*$C$43:$C$50)</f>
        <v>0</v>
      </c>
      <c r="AE97" s="113" t="n">
        <f aca="false">SUMPRODUCT((($B$43:$B$50="Confirmado")+($B$43:$B$50="Em negociação")*Premissas!$B$86)*($D$43:$D$50&gt;=AE$90)*($D$43:$D$50&lt;=EOMONTH(AE$90,0))*$C$43:$C$50)</f>
        <v>0</v>
      </c>
      <c r="AF97" s="113" t="n">
        <f aca="false">SUMPRODUCT((($B$43:$B$50="Confirmado")+($B$43:$B$50="Em negociação")*Premissas!$B$86)*($D$43:$D$50&gt;=AF$90)*($D$43:$D$50&lt;=EOMONTH(AF$90,0))*$C$43:$C$50)</f>
        <v>0</v>
      </c>
      <c r="AG97" s="113" t="n">
        <f aca="false">SUMPRODUCT((($B$43:$B$50="Confirmado")+($B$43:$B$50="Em negociação")*Premissas!$B$86)*($D$43:$D$50&gt;=AG$90)*($D$43:$D$50&lt;=EOMONTH(AG$90,0))*$C$43:$C$50)</f>
        <v>0</v>
      </c>
      <c r="AH97" s="113" t="n">
        <f aca="false">SUMPRODUCT((($B$43:$B$50="Confirmado")+($B$43:$B$50="Em negociação")*Premissas!$B$86)*($D$43:$D$50&gt;=AH$90)*($D$43:$D$50&lt;=EOMONTH(AH$90,0))*$C$43:$C$50)</f>
        <v>0</v>
      </c>
      <c r="AI97" s="113" t="n">
        <f aca="false">SUMPRODUCT((($B$43:$B$50="Confirmado")+($B$43:$B$50="Em negociação")*Premissas!$B$86)*($D$43:$D$50&gt;=AI$90)*($D$43:$D$50&lt;=EOMONTH(AI$90,0))*$C$43:$C$50)</f>
        <v>0</v>
      </c>
      <c r="AJ97" s="113" t="n">
        <f aca="false">SUMPRODUCT((($B$43:$B$50="Confirmado")+($B$43:$B$50="Em negociação")*Premissas!$B$86)*($D$43:$D$50&gt;=AJ$90)*($D$43:$D$50&lt;=EOMONTH(AJ$90,0))*$C$43:$C$50)</f>
        <v>0</v>
      </c>
      <c r="AK97" s="113" t="n">
        <f aca="false">SUMPRODUCT((($B$43:$B$50="Confirmado")+($B$43:$B$50="Em negociação")*Premissas!$B$86)*($D$43:$D$50&gt;=AK$90)*($D$43:$D$50&lt;=EOMONTH(AK$90,0))*$C$43:$C$50)</f>
        <v>0</v>
      </c>
      <c r="AL97" s="113" t="n">
        <f aca="false">SUMPRODUCT((($B$43:$B$50="Confirmado")+($B$43:$B$50="Em negociação")*Premissas!$B$86)*($D$43:$D$50&gt;=AL$90)*($D$43:$D$50&lt;=EOMONTH(AL$90,0))*$C$43:$C$50)</f>
        <v>0</v>
      </c>
      <c r="AM97" s="113" t="n">
        <f aca="false">SUMPRODUCT((($B$43:$B$50="Confirmado")+($B$43:$B$50="Em negociação")*Premissas!$B$86)*($D$43:$D$50&gt;=AM$90)*($D$43:$D$50&lt;=EOMONTH(AM$90,0))*$C$43:$C$50)</f>
        <v>0</v>
      </c>
      <c r="AN97" s="113" t="n">
        <f aca="false">SUMPRODUCT((($B$43:$B$50="Confirmado")+($B$43:$B$50="Em negociação")*Premissas!$B$86)*($D$43:$D$50&gt;=AN$90)*($D$43:$D$50&lt;=EOMONTH(AN$90,0))*$C$43:$C$50)</f>
        <v>0</v>
      </c>
      <c r="AO97" s="113" t="n">
        <f aca="false">SUMPRODUCT((($B$43:$B$50="Confirmado")+($B$43:$B$50="Em negociação")*Premissas!$B$86)*($D$43:$D$50&gt;=AO$90)*($D$43:$D$50&lt;=EOMONTH(AO$90,0))*$C$43:$C$50)</f>
        <v>0</v>
      </c>
      <c r="AP97" s="113" t="n">
        <f aca="false">SUMPRODUCT((($B$43:$B$50="Confirmado")+($B$43:$B$50="Em negociação")*Premissas!$B$86)*($D$43:$D$50&gt;=AP$90)*($D$43:$D$50&lt;=EOMONTH(AP$90,0))*$C$43:$C$50)</f>
        <v>0</v>
      </c>
      <c r="AQ97" s="113" t="n">
        <f aca="false">SUMPRODUCT((($B$43:$B$50="Confirmado")+($B$43:$B$50="Em negociação")*Premissas!$B$86)*($D$43:$D$50&gt;=AQ$90)*($D$43:$D$50&lt;=EOMONTH(AQ$90,0))*$C$43:$C$50)</f>
        <v>0</v>
      </c>
      <c r="AR97" s="113" t="n">
        <f aca="false">SUMPRODUCT((($B$43:$B$50="Confirmado")+($B$43:$B$50="Em negociação")*Premissas!$B$86)*($D$43:$D$50&gt;=AR$90)*($D$43:$D$50&lt;=EOMONTH(AR$90,0))*$C$43:$C$50)</f>
        <v>0</v>
      </c>
      <c r="AS97" s="113" t="n">
        <f aca="false">SUMPRODUCT((($B$43:$B$50="Confirmado")+($B$43:$B$50="Em negociação")*Premissas!$B$86)*($D$43:$D$50&gt;=AS$90)*($D$43:$D$50&lt;=EOMONTH(AS$90,0))*$C$43:$C$50)</f>
        <v>0</v>
      </c>
      <c r="AT97" s="113" t="n">
        <f aca="false">SUMPRODUCT((($B$43:$B$50="Confirmado")+($B$43:$B$50="Em negociação")*Premissas!$B$86)*($D$43:$D$50&gt;=AT$90)*($D$43:$D$50&lt;=EOMONTH(AT$90,0))*$C$43:$C$50)</f>
        <v>0</v>
      </c>
      <c r="AU97" s="113" t="n">
        <f aca="false">SUMPRODUCT((($B$43:$B$50="Confirmado")+($B$43:$B$50="Em negociação")*Premissas!$B$86)*($D$43:$D$50&gt;=AU$90)*($D$43:$D$50&lt;=EOMONTH(AU$90,0))*$C$43:$C$50)</f>
        <v>0</v>
      </c>
      <c r="AV97" s="113" t="n">
        <f aca="false">SUMPRODUCT((($B$43:$B$50="Confirmado")+($B$43:$B$50="Em negociação")*Premissas!$B$86)*($D$43:$D$50&gt;=AV$90)*($D$43:$D$50&lt;=EOMONTH(AV$90,0))*$C$43:$C$50)</f>
        <v>0</v>
      </c>
      <c r="AW97" s="113" t="n">
        <f aca="false">SUMPRODUCT((($B$43:$B$50="Confirmado")+($B$43:$B$50="Em negociação")*Premissas!$B$86)*($D$43:$D$50&gt;=AW$90)*($D$43:$D$50&lt;=EOMONTH(AW$90,0))*$C$43:$C$50)</f>
        <v>0</v>
      </c>
      <c r="AX97" s="113" t="n">
        <f aca="false">SUMPRODUCT((($B$43:$B$50="Confirmado")+($B$43:$B$50="Em negociação")*Premissas!$B$86)*($D$43:$D$50&gt;=AX$90)*($D$43:$D$50&lt;=EOMONTH(AX$90,0))*$C$43:$C$50)</f>
        <v>0</v>
      </c>
      <c r="AY97" s="113" t="n">
        <f aca="false">SUMPRODUCT((($B$43:$B$50="Confirmado")+($B$43:$B$50="Em negociação")*Premissas!$B$86)*($D$43:$D$50&gt;=AY$90)*($D$43:$D$50&lt;=EOMONTH(AY$90,0))*$C$43:$C$50)</f>
        <v>0</v>
      </c>
      <c r="AZ97" s="113" t="n">
        <f aca="false">SUMPRODUCT((($B$43:$B$50="Confirmado")+($B$43:$B$50="Em negociação")*Premissas!$B$86)*($D$43:$D$50&gt;=AZ$90)*($D$43:$D$50&lt;=EOMONTH(AZ$90,0))*$C$43:$C$50)</f>
        <v>0</v>
      </c>
      <c r="BA97" s="113" t="n">
        <f aca="false">SUMPRODUCT((($B$43:$B$50="Confirmado")+($B$43:$B$50="Em negociação")*Premissas!$B$86)*($D$43:$D$50&gt;=BA$90)*($D$43:$D$50&lt;=EOMONTH(BA$90,0))*$C$43:$C$50)</f>
        <v>0</v>
      </c>
      <c r="BB97" s="113" t="n">
        <f aca="false">SUMPRODUCT((($B$43:$B$50="Confirmado")+($B$43:$B$50="Em negociação")*Premissas!$B$86)*($D$43:$D$50&gt;=BB$90)*($D$43:$D$50&lt;=EOMONTH(BB$90,0))*$C$43:$C$50)</f>
        <v>0</v>
      </c>
      <c r="BC97" s="113" t="n">
        <f aca="false">SUMPRODUCT((($B$43:$B$50="Confirmado")+($B$43:$B$50="Em negociação")*Premissas!$B$86)*($D$43:$D$50&gt;=BC$90)*($D$43:$D$50&lt;=EOMONTH(BC$90,0))*$C$43:$C$50)</f>
        <v>0</v>
      </c>
      <c r="BD97" s="113" t="n">
        <f aca="false">SUMPRODUCT((($B$43:$B$50="Confirmado")+($B$43:$B$50="Em negociação")*Premissas!$B$86)*($D$43:$D$50&gt;=BD$90)*($D$43:$D$50&lt;=EOMONTH(BD$90,0))*$C$43:$C$50)</f>
        <v>0</v>
      </c>
      <c r="BE97" s="113" t="n">
        <f aca="false">SUMPRODUCT((($B$43:$B$50="Confirmado")+($B$43:$B$50="Em negociação")*Premissas!$B$86)*($D$43:$D$50&gt;=BE$90)*($D$43:$D$50&lt;=EOMONTH(BE$90,0))*$C$43:$C$50)</f>
        <v>0</v>
      </c>
      <c r="BF97" s="113" t="n">
        <f aca="false">SUMPRODUCT((($B$43:$B$50="Confirmado")+($B$43:$B$50="Em negociação")*Premissas!$B$86)*($D$43:$D$50&gt;=BF$90)*($D$43:$D$50&lt;=EOMONTH(BF$90,0))*$C$43:$C$50)</f>
        <v>0</v>
      </c>
      <c r="BG97" s="113" t="n">
        <f aca="false">SUMPRODUCT((($B$43:$B$50="Confirmado")+($B$43:$B$50="Em negociação")*Premissas!$B$86)*($D$43:$D$50&gt;=BG$90)*($D$43:$D$50&lt;=EOMONTH(BG$90,0))*$C$43:$C$50)</f>
        <v>0</v>
      </c>
      <c r="BH97" s="113" t="n">
        <f aca="false">SUMPRODUCT((($B$43:$B$50="Confirmado")+($B$43:$B$50="Em negociação")*Premissas!$B$86)*($D$43:$D$50&gt;=BH$90)*($D$43:$D$50&lt;=EOMONTH(BH$90,0))*$C$43:$C$50)</f>
        <v>0</v>
      </c>
      <c r="BI97" s="113" t="n">
        <f aca="false">SUMPRODUCT((($B$43:$B$50="Confirmado")+($B$43:$B$50="Em negociação")*Premissas!$B$86)*($D$43:$D$50&gt;=BI$90)*($D$43:$D$50&lt;=EOMONTH(BI$90,0))*$C$43:$C$50)</f>
        <v>0</v>
      </c>
      <c r="BJ97" s="111" t="n">
        <f aca="false">SUM(B97:BI97)</f>
        <v>0</v>
      </c>
    </row>
    <row r="98" customFormat="false" ht="15" hidden="false" customHeight="false" outlineLevel="0" collapsed="false">
      <c r="A98" s="51" t="s">
        <v>667</v>
      </c>
      <c r="B98" s="111" t="n">
        <f aca="false">SUM(B94:B97)</f>
        <v>0</v>
      </c>
      <c r="C98" s="111" t="n">
        <f aca="false">SUM(C94:C97)</f>
        <v>0</v>
      </c>
      <c r="D98" s="111" t="n">
        <f aca="false">SUM(D94:D97)</f>
        <v>0</v>
      </c>
      <c r="E98" s="111" t="n">
        <f aca="false">SUM(E94:E97)</f>
        <v>10000</v>
      </c>
      <c r="F98" s="111" t="n">
        <f aca="false">SUM(F94:F97)</f>
        <v>0</v>
      </c>
      <c r="G98" s="111" t="n">
        <f aca="false">SUM(G94:G97)</f>
        <v>0</v>
      </c>
      <c r="H98" s="111" t="n">
        <f aca="false">SUM(H94:H97)</f>
        <v>5000</v>
      </c>
      <c r="I98" s="111" t="n">
        <f aca="false">SUM(I94:I97)</f>
        <v>18000</v>
      </c>
      <c r="J98" s="111" t="n">
        <f aca="false">SUM(J94:J97)</f>
        <v>0</v>
      </c>
      <c r="K98" s="111" t="n">
        <f aca="false">SUM(K94:K97)</f>
        <v>80000</v>
      </c>
      <c r="L98" s="111" t="n">
        <f aca="false">SUM(L94:L97)</f>
        <v>40000</v>
      </c>
      <c r="M98" s="111" t="n">
        <f aca="false">SUM(M94:M97)</f>
        <v>17000</v>
      </c>
      <c r="N98" s="111" t="n">
        <f aca="false">SUM(N94:N97)</f>
        <v>0</v>
      </c>
      <c r="O98" s="111" t="n">
        <f aca="false">SUM(O94:O97)</f>
        <v>0</v>
      </c>
      <c r="P98" s="111" t="n">
        <f aca="false">SUM(P94:P97)</f>
        <v>0</v>
      </c>
      <c r="Q98" s="111" t="n">
        <f aca="false">SUM(Q94:Q97)</f>
        <v>0</v>
      </c>
      <c r="R98" s="111" t="n">
        <f aca="false">SUM(R94:R97)</f>
        <v>0</v>
      </c>
      <c r="S98" s="111" t="n">
        <f aca="false">SUM(S94:S97)</f>
        <v>15000</v>
      </c>
      <c r="T98" s="111" t="n">
        <f aca="false">SUM(T94:T97)</f>
        <v>0</v>
      </c>
      <c r="U98" s="111" t="n">
        <f aca="false">SUM(U94:U97)</f>
        <v>0</v>
      </c>
      <c r="V98" s="111" t="n">
        <f aca="false">SUM(V94:V97)</f>
        <v>0</v>
      </c>
      <c r="W98" s="111" t="n">
        <f aca="false">SUM(W94:W97)</f>
        <v>0</v>
      </c>
      <c r="X98" s="111" t="n">
        <f aca="false">SUM(X94:X97)</f>
        <v>0</v>
      </c>
      <c r="Y98" s="111" t="n">
        <f aca="false">SUM(Y94:Y97)</f>
        <v>15000</v>
      </c>
      <c r="Z98" s="111" t="n">
        <f aca="false">SUM(Z94:Z97)</f>
        <v>0</v>
      </c>
      <c r="AA98" s="111" t="n">
        <f aca="false">SUM(AA94:AA97)</f>
        <v>0</v>
      </c>
      <c r="AB98" s="111" t="n">
        <f aca="false">SUM(AB94:AB97)</f>
        <v>0</v>
      </c>
      <c r="AC98" s="111" t="n">
        <f aca="false">SUM(AC94:AC97)</f>
        <v>0</v>
      </c>
      <c r="AD98" s="111" t="n">
        <f aca="false">SUM(AD94:AD97)</f>
        <v>0</v>
      </c>
      <c r="AE98" s="111" t="n">
        <f aca="false">SUM(AE94:AE97)</f>
        <v>0</v>
      </c>
      <c r="AF98" s="111" t="n">
        <f aca="false">SUM(AF94:AF97)</f>
        <v>0</v>
      </c>
      <c r="AG98" s="111" t="n">
        <f aca="false">SUM(AG94:AG97)</f>
        <v>0</v>
      </c>
      <c r="AH98" s="111" t="n">
        <f aca="false">SUM(AH94:AH97)</f>
        <v>0</v>
      </c>
      <c r="AI98" s="111" t="n">
        <f aca="false">SUM(AI94:AI97)</f>
        <v>0</v>
      </c>
      <c r="AJ98" s="111" t="n">
        <f aca="false">SUM(AJ94:AJ97)</f>
        <v>0</v>
      </c>
      <c r="AK98" s="111" t="n">
        <f aca="false">SUM(AK94:AK97)</f>
        <v>0</v>
      </c>
      <c r="AL98" s="111" t="n">
        <f aca="false">SUM(AL94:AL97)</f>
        <v>0</v>
      </c>
      <c r="AM98" s="111" t="n">
        <f aca="false">SUM(AM94:AM97)</f>
        <v>0</v>
      </c>
      <c r="AN98" s="111" t="n">
        <f aca="false">SUM(AN94:AN97)</f>
        <v>0</v>
      </c>
      <c r="AO98" s="111" t="n">
        <f aca="false">SUM(AO94:AO97)</f>
        <v>0</v>
      </c>
      <c r="AP98" s="111" t="n">
        <f aca="false">SUM(AP94:AP97)</f>
        <v>0</v>
      </c>
      <c r="AQ98" s="111" t="n">
        <f aca="false">SUM(AQ94:AQ97)</f>
        <v>0</v>
      </c>
      <c r="AR98" s="111" t="n">
        <f aca="false">SUM(AR94:AR97)</f>
        <v>0</v>
      </c>
      <c r="AS98" s="111" t="n">
        <f aca="false">SUM(AS94:AS97)</f>
        <v>0</v>
      </c>
      <c r="AT98" s="111" t="n">
        <f aca="false">SUM(AT94:AT97)</f>
        <v>0</v>
      </c>
      <c r="AU98" s="111" t="n">
        <f aca="false">SUM(AU94:AU97)</f>
        <v>0</v>
      </c>
      <c r="AV98" s="111" t="n">
        <f aca="false">SUM(AV94:AV97)</f>
        <v>0</v>
      </c>
      <c r="AW98" s="111" t="n">
        <f aca="false">SUM(AW94:AW97)</f>
        <v>0</v>
      </c>
      <c r="AX98" s="111" t="n">
        <f aca="false">SUM(AX94:AX97)</f>
        <v>0</v>
      </c>
      <c r="AY98" s="111" t="n">
        <f aca="false">SUM(AY94:AY97)</f>
        <v>0</v>
      </c>
      <c r="AZ98" s="111" t="n">
        <f aca="false">SUM(AZ94:AZ97)</f>
        <v>0</v>
      </c>
      <c r="BA98" s="111" t="n">
        <f aca="false">SUM(BA94:BA97)</f>
        <v>0</v>
      </c>
      <c r="BB98" s="111" t="n">
        <f aca="false">SUM(BB94:BB97)</f>
        <v>0</v>
      </c>
      <c r="BC98" s="111" t="n">
        <f aca="false">SUM(BC94:BC97)</f>
        <v>0</v>
      </c>
      <c r="BD98" s="111" t="n">
        <f aca="false">SUM(BD94:BD97)</f>
        <v>0</v>
      </c>
      <c r="BE98" s="111" t="n">
        <f aca="false">SUM(BE94:BE97)</f>
        <v>0</v>
      </c>
      <c r="BF98" s="111" t="n">
        <f aca="false">SUM(BF94:BF97)</f>
        <v>0</v>
      </c>
      <c r="BG98" s="111" t="n">
        <f aca="false">SUM(BG94:BG97)</f>
        <v>0</v>
      </c>
      <c r="BH98" s="111" t="n">
        <f aca="false">SUM(BH94:BH97)</f>
        <v>0</v>
      </c>
      <c r="BI98" s="111" t="n">
        <f aca="false">SUM(BI94:BI97)</f>
        <v>0</v>
      </c>
      <c r="BJ98" s="111" t="n">
        <f aca="false">SUM(B98:BI98)</f>
        <v>200000</v>
      </c>
    </row>
    <row r="99" customFormat="false" ht="15" hidden="false" customHeight="false" outlineLevel="0" collapsed="false">
      <c r="A99" s="57" t="s">
        <v>668</v>
      </c>
      <c r="B99" s="115" t="n">
        <f aca="false">B98</f>
        <v>0</v>
      </c>
      <c r="C99" s="115" t="n">
        <f aca="false">B99+C98</f>
        <v>0</v>
      </c>
      <c r="D99" s="115" t="n">
        <f aca="false">C99+D98</f>
        <v>0</v>
      </c>
      <c r="E99" s="115" t="n">
        <f aca="false">D99+E98</f>
        <v>10000</v>
      </c>
      <c r="F99" s="115" t="n">
        <f aca="false">E99+F98</f>
        <v>10000</v>
      </c>
      <c r="G99" s="115" t="n">
        <f aca="false">F99+G98</f>
        <v>10000</v>
      </c>
      <c r="H99" s="115" t="n">
        <f aca="false">G99+H98</f>
        <v>15000</v>
      </c>
      <c r="I99" s="115" t="n">
        <f aca="false">H99+I98</f>
        <v>33000</v>
      </c>
      <c r="J99" s="115" t="n">
        <f aca="false">I99+J98</f>
        <v>33000</v>
      </c>
      <c r="K99" s="115" t="n">
        <f aca="false">J99+K98</f>
        <v>113000</v>
      </c>
      <c r="L99" s="115" t="n">
        <f aca="false">K99+L98</f>
        <v>153000</v>
      </c>
      <c r="M99" s="115" t="n">
        <f aca="false">L99+M98</f>
        <v>170000</v>
      </c>
      <c r="N99" s="115" t="n">
        <f aca="false">M99+N98</f>
        <v>170000</v>
      </c>
      <c r="O99" s="115" t="n">
        <f aca="false">N99+O98</f>
        <v>170000</v>
      </c>
      <c r="P99" s="115" t="n">
        <f aca="false">O99+P98</f>
        <v>170000</v>
      </c>
      <c r="Q99" s="115" t="n">
        <f aca="false">P99+Q98</f>
        <v>170000</v>
      </c>
      <c r="R99" s="115" t="n">
        <f aca="false">Q99+R98</f>
        <v>170000</v>
      </c>
      <c r="S99" s="115" t="n">
        <f aca="false">R99+S98</f>
        <v>185000</v>
      </c>
      <c r="T99" s="115" t="n">
        <f aca="false">S99+T98</f>
        <v>185000</v>
      </c>
      <c r="U99" s="115" t="n">
        <f aca="false">T99+U98</f>
        <v>185000</v>
      </c>
      <c r="V99" s="115" t="n">
        <f aca="false">U99+V98</f>
        <v>185000</v>
      </c>
      <c r="W99" s="115" t="n">
        <f aca="false">V99+W98</f>
        <v>185000</v>
      </c>
      <c r="X99" s="115" t="n">
        <f aca="false">W99+X98</f>
        <v>185000</v>
      </c>
      <c r="Y99" s="115" t="n">
        <f aca="false">X99+Y98</f>
        <v>200000</v>
      </c>
      <c r="Z99" s="115" t="n">
        <f aca="false">Y99+Z98</f>
        <v>200000</v>
      </c>
      <c r="AA99" s="115" t="n">
        <f aca="false">Z99+AA98</f>
        <v>200000</v>
      </c>
      <c r="AB99" s="115" t="n">
        <f aca="false">AA99+AB98</f>
        <v>200000</v>
      </c>
      <c r="AC99" s="115" t="n">
        <f aca="false">AB99+AC98</f>
        <v>200000</v>
      </c>
      <c r="AD99" s="115" t="n">
        <f aca="false">AC99+AD98</f>
        <v>200000</v>
      </c>
      <c r="AE99" s="115" t="n">
        <f aca="false">AD99+AE98</f>
        <v>200000</v>
      </c>
      <c r="AF99" s="115" t="n">
        <f aca="false">AE99+AF98</f>
        <v>200000</v>
      </c>
      <c r="AG99" s="115" t="n">
        <f aca="false">AF99+AG98</f>
        <v>200000</v>
      </c>
      <c r="AH99" s="115" t="n">
        <f aca="false">AG99+AH98</f>
        <v>200000</v>
      </c>
      <c r="AI99" s="115" t="n">
        <f aca="false">AH99+AI98</f>
        <v>200000</v>
      </c>
      <c r="AJ99" s="115" t="n">
        <f aca="false">AI99+AJ98</f>
        <v>200000</v>
      </c>
      <c r="AK99" s="115" t="n">
        <f aca="false">AJ99+AK98</f>
        <v>200000</v>
      </c>
      <c r="AL99" s="115" t="n">
        <f aca="false">AK99+AL98</f>
        <v>200000</v>
      </c>
      <c r="AM99" s="115" t="n">
        <f aca="false">AL99+AM98</f>
        <v>200000</v>
      </c>
      <c r="AN99" s="115" t="n">
        <f aca="false">AM99+AN98</f>
        <v>200000</v>
      </c>
      <c r="AO99" s="115" t="n">
        <f aca="false">AN99+AO98</f>
        <v>200000</v>
      </c>
      <c r="AP99" s="115" t="n">
        <f aca="false">AO99+AP98</f>
        <v>200000</v>
      </c>
      <c r="AQ99" s="115" t="n">
        <f aca="false">AP99+AQ98</f>
        <v>200000</v>
      </c>
      <c r="AR99" s="115" t="n">
        <f aca="false">AQ99+AR98</f>
        <v>200000</v>
      </c>
      <c r="AS99" s="115" t="n">
        <f aca="false">AR99+AS98</f>
        <v>200000</v>
      </c>
      <c r="AT99" s="115" t="n">
        <f aca="false">AS99+AT98</f>
        <v>200000</v>
      </c>
      <c r="AU99" s="115" t="n">
        <f aca="false">AT99+AU98</f>
        <v>200000</v>
      </c>
      <c r="AV99" s="115" t="n">
        <f aca="false">AU99+AV98</f>
        <v>200000</v>
      </c>
      <c r="AW99" s="115" t="n">
        <f aca="false">AV99+AW98</f>
        <v>200000</v>
      </c>
      <c r="AX99" s="115" t="n">
        <f aca="false">AW99+AX98</f>
        <v>200000</v>
      </c>
      <c r="AY99" s="115" t="n">
        <f aca="false">AX99+AY98</f>
        <v>200000</v>
      </c>
      <c r="AZ99" s="115" t="n">
        <f aca="false">AY99+AZ98</f>
        <v>200000</v>
      </c>
      <c r="BA99" s="115" t="n">
        <f aca="false">AZ99+BA98</f>
        <v>200000</v>
      </c>
      <c r="BB99" s="115" t="n">
        <f aca="false">BA99+BB98</f>
        <v>200000</v>
      </c>
      <c r="BC99" s="115" t="n">
        <f aca="false">BB99+BC98</f>
        <v>200000</v>
      </c>
      <c r="BD99" s="115" t="n">
        <f aca="false">BC99+BD98</f>
        <v>200000</v>
      </c>
      <c r="BE99" s="115" t="n">
        <f aca="false">BD99+BE98</f>
        <v>200000</v>
      </c>
      <c r="BF99" s="115" t="n">
        <f aca="false">BE99+BF98</f>
        <v>200000</v>
      </c>
      <c r="BG99" s="115" t="n">
        <f aca="false">BF99+BG98</f>
        <v>200000</v>
      </c>
      <c r="BH99" s="115" t="n">
        <f aca="false">BG99+BH98</f>
        <v>200000</v>
      </c>
      <c r="BI99" s="115" t="n">
        <f aca="false">BH99+BI98</f>
        <v>200000</v>
      </c>
    </row>
    <row r="100" customFormat="false" ht="15" hidden="false" customHeight="false" outlineLevel="0" collapsed="false">
      <c r="A100" s="57" t="s">
        <v>669</v>
      </c>
      <c r="B100" s="113" t="n">
        <f aca="false">SUMPRODUCT((($B$43:$B$50="Confirmado")+($B$43:$B$50="Em negociação")*Premissas!$B$86)*($F$43:$F$50&lt;=B$90)*($G$43:$G$50&gt;=B$90)*$E$43:$E$50)</f>
        <v>0</v>
      </c>
      <c r="C100" s="113" t="n">
        <f aca="false">SUMPRODUCT((($B$43:$B$50="Confirmado")+($B$43:$B$50="Em negociação")*Premissas!$B$86)*($F$43:$F$50&lt;=C$90)*($G$43:$G$50&gt;=C$90)*$E$43:$E$50)</f>
        <v>0</v>
      </c>
      <c r="D100" s="113" t="n">
        <f aca="false">SUMPRODUCT((($B$43:$B$50="Confirmado")+($B$43:$B$50="Em negociação")*Premissas!$B$86)*($F$43:$F$50&lt;=D$90)*($G$43:$G$50&gt;=D$90)*$E$43:$E$50)</f>
        <v>0</v>
      </c>
      <c r="E100" s="113" t="n">
        <f aca="false">SUMPRODUCT((($B$43:$B$50="Confirmado")+($B$43:$B$50="Em negociação")*Premissas!$B$86)*($F$43:$F$50&lt;=E$90)*($G$43:$G$50&gt;=E$90)*$E$43:$E$50)</f>
        <v>0</v>
      </c>
      <c r="F100" s="113" t="n">
        <f aca="false">SUMPRODUCT((($B$43:$B$50="Confirmado")+($B$43:$B$50="Em negociação")*Premissas!$B$86)*($F$43:$F$50&lt;=F$90)*($G$43:$G$50&gt;=F$90)*$E$43:$E$50)</f>
        <v>0</v>
      </c>
      <c r="G100" s="113" t="n">
        <f aca="false">SUMPRODUCT((($B$43:$B$50="Confirmado")+($B$43:$B$50="Em negociação")*Premissas!$B$86)*($F$43:$F$50&lt;=G$90)*($G$43:$G$50&gt;=G$90)*$E$43:$E$50)</f>
        <v>0</v>
      </c>
      <c r="H100" s="113" t="n">
        <f aca="false">SUMPRODUCT((($B$43:$B$50="Confirmado")+($B$43:$B$50="Em negociação")*Premissas!$B$86)*($F$43:$F$50&lt;=H$90)*($G$43:$G$50&gt;=H$90)*$E$43:$E$50)</f>
        <v>0</v>
      </c>
      <c r="I100" s="113" t="n">
        <f aca="false">SUMPRODUCT((($B$43:$B$50="Confirmado")+($B$43:$B$50="Em negociação")*Premissas!$B$86)*($F$43:$F$50&lt;=I$90)*($G$43:$G$50&gt;=I$90)*$E$43:$E$50)</f>
        <v>0</v>
      </c>
      <c r="J100" s="113" t="n">
        <f aca="false">SUMPRODUCT((($B$43:$B$50="Confirmado")+($B$43:$B$50="Em negociação")*Premissas!$B$86)*($F$43:$F$50&lt;=J$90)*($G$43:$G$50&gt;=J$90)*$E$43:$E$50)</f>
        <v>0</v>
      </c>
      <c r="K100" s="113" t="n">
        <f aca="false">SUMPRODUCT((($B$43:$B$50="Confirmado")+($B$43:$B$50="Em negociação")*Premissas!$B$86)*($F$43:$F$50&lt;=K$90)*($G$43:$G$50&gt;=K$90)*$E$43:$E$50)</f>
        <v>0</v>
      </c>
      <c r="L100" s="113" t="n">
        <f aca="false">SUMPRODUCT((($B$43:$B$50="Confirmado")+($B$43:$B$50="Em negociação")*Premissas!$B$86)*($F$43:$F$50&lt;=L$90)*($G$43:$G$50&gt;=L$90)*$E$43:$E$50)</f>
        <v>0</v>
      </c>
      <c r="M100" s="113" t="n">
        <f aca="false">SUMPRODUCT((($B$43:$B$50="Confirmado")+($B$43:$B$50="Em negociação")*Premissas!$B$86)*($F$43:$F$50&lt;=M$90)*($G$43:$G$50&gt;=M$90)*$E$43:$E$50)</f>
        <v>0</v>
      </c>
      <c r="N100" s="113" t="n">
        <f aca="false">SUMPRODUCT((($B$43:$B$50="Confirmado")+($B$43:$B$50="Em negociação")*Premissas!$B$86)*($F$43:$F$50&lt;=N$90)*($G$43:$G$50&gt;=N$90)*$E$43:$E$50)</f>
        <v>0</v>
      </c>
      <c r="O100" s="113" t="n">
        <f aca="false">SUMPRODUCT((($B$43:$B$50="Confirmado")+($B$43:$B$50="Em negociação")*Premissas!$B$86)*($F$43:$F$50&lt;=O$90)*($G$43:$G$50&gt;=O$90)*$E$43:$E$50)</f>
        <v>0</v>
      </c>
      <c r="P100" s="113" t="n">
        <f aca="false">SUMPRODUCT((($B$43:$B$50="Confirmado")+($B$43:$B$50="Em negociação")*Premissas!$B$86)*($F$43:$F$50&lt;=P$90)*($G$43:$G$50&gt;=P$90)*$E$43:$E$50)</f>
        <v>0</v>
      </c>
      <c r="Q100" s="113" t="n">
        <f aca="false">SUMPRODUCT((($B$43:$B$50="Confirmado")+($B$43:$B$50="Em negociação")*Premissas!$B$86)*($F$43:$F$50&lt;=Q$90)*($G$43:$G$50&gt;=Q$90)*$E$43:$E$50)</f>
        <v>0</v>
      </c>
      <c r="R100" s="113" t="n">
        <f aca="false">SUMPRODUCT((($B$43:$B$50="Confirmado")+($B$43:$B$50="Em negociação")*Premissas!$B$86)*($F$43:$F$50&lt;=R$90)*($G$43:$G$50&gt;=R$90)*$E$43:$E$50)</f>
        <v>0</v>
      </c>
      <c r="S100" s="113" t="n">
        <f aca="false">SUMPRODUCT((($B$43:$B$50="Confirmado")+($B$43:$B$50="Em negociação")*Premissas!$B$86)*($F$43:$F$50&lt;=S$90)*($G$43:$G$50&gt;=S$90)*$E$43:$E$50)</f>
        <v>0</v>
      </c>
      <c r="T100" s="113" t="n">
        <f aca="false">SUMPRODUCT((($B$43:$B$50="Confirmado")+($B$43:$B$50="Em negociação")*Premissas!$B$86)*($F$43:$F$50&lt;=T$90)*($G$43:$G$50&gt;=T$90)*$E$43:$E$50)</f>
        <v>0</v>
      </c>
      <c r="U100" s="113" t="n">
        <f aca="false">SUMPRODUCT((($B$43:$B$50="Confirmado")+($B$43:$B$50="Em negociação")*Premissas!$B$86)*($F$43:$F$50&lt;=U$90)*($G$43:$G$50&gt;=U$90)*$E$43:$E$50)</f>
        <v>0</v>
      </c>
      <c r="V100" s="113" t="n">
        <f aca="false">SUMPRODUCT((($B$43:$B$50="Confirmado")+($B$43:$B$50="Em negociação")*Premissas!$B$86)*($F$43:$F$50&lt;=V$90)*($G$43:$G$50&gt;=V$90)*$E$43:$E$50)</f>
        <v>0</v>
      </c>
      <c r="W100" s="113" t="n">
        <f aca="false">SUMPRODUCT((($B$43:$B$50="Confirmado")+($B$43:$B$50="Em negociação")*Premissas!$B$86)*($F$43:$F$50&lt;=W$90)*($G$43:$G$50&gt;=W$90)*$E$43:$E$50)</f>
        <v>0</v>
      </c>
      <c r="X100" s="113" t="n">
        <f aca="false">SUMPRODUCT((($B$43:$B$50="Confirmado")+($B$43:$B$50="Em negociação")*Premissas!$B$86)*($F$43:$F$50&lt;=X$90)*($G$43:$G$50&gt;=X$90)*$E$43:$E$50)</f>
        <v>0</v>
      </c>
      <c r="Y100" s="113" t="n">
        <f aca="false">SUMPRODUCT((($B$43:$B$50="Confirmado")+($B$43:$B$50="Em negociação")*Premissas!$B$86)*($F$43:$F$50&lt;=Y$90)*($G$43:$G$50&gt;=Y$90)*$E$43:$E$50)</f>
        <v>0</v>
      </c>
      <c r="Z100" s="113" t="n">
        <f aca="false">SUMPRODUCT((($B$43:$B$50="Confirmado")+($B$43:$B$50="Em negociação")*Premissas!$B$86)*($F$43:$F$50&lt;=Z$90)*($G$43:$G$50&gt;=Z$90)*$E$43:$E$50)</f>
        <v>0</v>
      </c>
      <c r="AA100" s="113" t="n">
        <f aca="false">SUMPRODUCT((($B$43:$B$50="Confirmado")+($B$43:$B$50="Em negociação")*Premissas!$B$86)*($F$43:$F$50&lt;=AA$90)*($G$43:$G$50&gt;=AA$90)*$E$43:$E$50)</f>
        <v>0</v>
      </c>
      <c r="AB100" s="113" t="n">
        <f aca="false">SUMPRODUCT((($B$43:$B$50="Confirmado")+($B$43:$B$50="Em negociação")*Premissas!$B$86)*($F$43:$F$50&lt;=AB$90)*($G$43:$G$50&gt;=AB$90)*$E$43:$E$50)</f>
        <v>0</v>
      </c>
      <c r="AC100" s="113" t="n">
        <f aca="false">SUMPRODUCT((($B$43:$B$50="Confirmado")+($B$43:$B$50="Em negociação")*Premissas!$B$86)*($F$43:$F$50&lt;=AC$90)*($G$43:$G$50&gt;=AC$90)*$E$43:$E$50)</f>
        <v>0</v>
      </c>
      <c r="AD100" s="113" t="n">
        <f aca="false">SUMPRODUCT((($B$43:$B$50="Confirmado")+($B$43:$B$50="Em negociação")*Premissas!$B$86)*($F$43:$F$50&lt;=AD$90)*($G$43:$G$50&gt;=AD$90)*$E$43:$E$50)</f>
        <v>0</v>
      </c>
      <c r="AE100" s="113" t="n">
        <f aca="false">SUMPRODUCT((($B$43:$B$50="Confirmado")+($B$43:$B$50="Em negociação")*Premissas!$B$86)*($F$43:$F$50&lt;=AE$90)*($G$43:$G$50&gt;=AE$90)*$E$43:$E$50)</f>
        <v>0</v>
      </c>
      <c r="AF100" s="113" t="n">
        <f aca="false">SUMPRODUCT((($B$43:$B$50="Confirmado")+($B$43:$B$50="Em negociação")*Premissas!$B$86)*($F$43:$F$50&lt;=AF$90)*($G$43:$G$50&gt;=AF$90)*$E$43:$E$50)</f>
        <v>0</v>
      </c>
      <c r="AG100" s="113" t="n">
        <f aca="false">SUMPRODUCT((($B$43:$B$50="Confirmado")+($B$43:$B$50="Em negociação")*Premissas!$B$86)*($F$43:$F$50&lt;=AG$90)*($G$43:$G$50&gt;=AG$90)*$E$43:$E$50)</f>
        <v>0</v>
      </c>
      <c r="AH100" s="113" t="n">
        <f aca="false">SUMPRODUCT((($B$43:$B$50="Confirmado")+($B$43:$B$50="Em negociação")*Premissas!$B$86)*($F$43:$F$50&lt;=AH$90)*($G$43:$G$50&gt;=AH$90)*$E$43:$E$50)</f>
        <v>0</v>
      </c>
      <c r="AI100" s="113" t="n">
        <f aca="false">SUMPRODUCT((($B$43:$B$50="Confirmado")+($B$43:$B$50="Em negociação")*Premissas!$B$86)*($F$43:$F$50&lt;=AI$90)*($G$43:$G$50&gt;=AI$90)*$E$43:$E$50)</f>
        <v>0</v>
      </c>
      <c r="AJ100" s="113" t="n">
        <f aca="false">SUMPRODUCT((($B$43:$B$50="Confirmado")+($B$43:$B$50="Em negociação")*Premissas!$B$86)*($F$43:$F$50&lt;=AJ$90)*($G$43:$G$50&gt;=AJ$90)*$E$43:$E$50)</f>
        <v>0</v>
      </c>
      <c r="AK100" s="113" t="n">
        <f aca="false">SUMPRODUCT((($B$43:$B$50="Confirmado")+($B$43:$B$50="Em negociação")*Premissas!$B$86)*($F$43:$F$50&lt;=AK$90)*($G$43:$G$50&gt;=AK$90)*$E$43:$E$50)</f>
        <v>0</v>
      </c>
      <c r="AL100" s="113" t="n">
        <f aca="false">SUMPRODUCT((($B$43:$B$50="Confirmado")+($B$43:$B$50="Em negociação")*Premissas!$B$86)*($F$43:$F$50&lt;=AL$90)*($G$43:$G$50&gt;=AL$90)*$E$43:$E$50)</f>
        <v>0</v>
      </c>
      <c r="AM100" s="113" t="n">
        <f aca="false">SUMPRODUCT((($B$43:$B$50="Confirmado")+($B$43:$B$50="Em negociação")*Premissas!$B$86)*($F$43:$F$50&lt;=AM$90)*($G$43:$G$50&gt;=AM$90)*$E$43:$E$50)</f>
        <v>0</v>
      </c>
      <c r="AN100" s="113" t="n">
        <f aca="false">SUMPRODUCT((($B$43:$B$50="Confirmado")+($B$43:$B$50="Em negociação")*Premissas!$B$86)*($F$43:$F$50&lt;=AN$90)*($G$43:$G$50&gt;=AN$90)*$E$43:$E$50)</f>
        <v>0</v>
      </c>
      <c r="AO100" s="113" t="n">
        <f aca="false">SUMPRODUCT((($B$43:$B$50="Confirmado")+($B$43:$B$50="Em negociação")*Premissas!$B$86)*($F$43:$F$50&lt;=AO$90)*($G$43:$G$50&gt;=AO$90)*$E$43:$E$50)</f>
        <v>0</v>
      </c>
      <c r="AP100" s="113" t="n">
        <f aca="false">SUMPRODUCT((($B$43:$B$50="Confirmado")+($B$43:$B$50="Em negociação")*Premissas!$B$86)*($F$43:$F$50&lt;=AP$90)*($G$43:$G$50&gt;=AP$90)*$E$43:$E$50)</f>
        <v>0</v>
      </c>
      <c r="AQ100" s="113" t="n">
        <f aca="false">SUMPRODUCT((($B$43:$B$50="Confirmado")+($B$43:$B$50="Em negociação")*Premissas!$B$86)*($F$43:$F$50&lt;=AQ$90)*($G$43:$G$50&gt;=AQ$90)*$E$43:$E$50)</f>
        <v>0</v>
      </c>
      <c r="AR100" s="113" t="n">
        <f aca="false">SUMPRODUCT((($B$43:$B$50="Confirmado")+($B$43:$B$50="Em negociação")*Premissas!$B$86)*($F$43:$F$50&lt;=AR$90)*($G$43:$G$50&gt;=AR$90)*$E$43:$E$50)</f>
        <v>0</v>
      </c>
      <c r="AS100" s="113" t="n">
        <f aca="false">SUMPRODUCT((($B$43:$B$50="Confirmado")+($B$43:$B$50="Em negociação")*Premissas!$B$86)*($F$43:$F$50&lt;=AS$90)*($G$43:$G$50&gt;=AS$90)*$E$43:$E$50)</f>
        <v>0</v>
      </c>
      <c r="AT100" s="113" t="n">
        <f aca="false">SUMPRODUCT((($B$43:$B$50="Confirmado")+($B$43:$B$50="Em negociação")*Premissas!$B$86)*($F$43:$F$50&lt;=AT$90)*($G$43:$G$50&gt;=AT$90)*$E$43:$E$50)</f>
        <v>0</v>
      </c>
      <c r="AU100" s="113" t="n">
        <f aca="false">SUMPRODUCT((($B$43:$B$50="Confirmado")+($B$43:$B$50="Em negociação")*Premissas!$B$86)*($F$43:$F$50&lt;=AU$90)*($G$43:$G$50&gt;=AU$90)*$E$43:$E$50)</f>
        <v>0</v>
      </c>
      <c r="AV100" s="113" t="n">
        <f aca="false">SUMPRODUCT((($B$43:$B$50="Confirmado")+($B$43:$B$50="Em negociação")*Premissas!$B$86)*($F$43:$F$50&lt;=AV$90)*($G$43:$G$50&gt;=AV$90)*$E$43:$E$50)</f>
        <v>0</v>
      </c>
      <c r="AW100" s="113" t="n">
        <f aca="false">SUMPRODUCT((($B$43:$B$50="Confirmado")+($B$43:$B$50="Em negociação")*Premissas!$B$86)*($F$43:$F$50&lt;=AW$90)*($G$43:$G$50&gt;=AW$90)*$E$43:$E$50)</f>
        <v>0</v>
      </c>
      <c r="AX100" s="113" t="n">
        <f aca="false">SUMPRODUCT((($B$43:$B$50="Confirmado")+($B$43:$B$50="Em negociação")*Premissas!$B$86)*($F$43:$F$50&lt;=AX$90)*($G$43:$G$50&gt;=AX$90)*$E$43:$E$50)</f>
        <v>0</v>
      </c>
      <c r="AY100" s="113" t="n">
        <f aca="false">SUMPRODUCT((($B$43:$B$50="Confirmado")+($B$43:$B$50="Em negociação")*Premissas!$B$86)*($F$43:$F$50&lt;=AY$90)*($G$43:$G$50&gt;=AY$90)*$E$43:$E$50)</f>
        <v>0</v>
      </c>
      <c r="AZ100" s="113" t="n">
        <f aca="false">SUMPRODUCT((($B$43:$B$50="Confirmado")+($B$43:$B$50="Em negociação")*Premissas!$B$86)*($F$43:$F$50&lt;=AZ$90)*($G$43:$G$50&gt;=AZ$90)*$E$43:$E$50)</f>
        <v>0</v>
      </c>
      <c r="BA100" s="113" t="n">
        <f aca="false">SUMPRODUCT((($B$43:$B$50="Confirmado")+($B$43:$B$50="Em negociação")*Premissas!$B$86)*($F$43:$F$50&lt;=BA$90)*($G$43:$G$50&gt;=BA$90)*$E$43:$E$50)</f>
        <v>0</v>
      </c>
      <c r="BB100" s="113" t="n">
        <f aca="false">SUMPRODUCT((($B$43:$B$50="Confirmado")+($B$43:$B$50="Em negociação")*Premissas!$B$86)*($F$43:$F$50&lt;=BB$90)*($G$43:$G$50&gt;=BB$90)*$E$43:$E$50)</f>
        <v>0</v>
      </c>
      <c r="BC100" s="113" t="n">
        <f aca="false">SUMPRODUCT((($B$43:$B$50="Confirmado")+($B$43:$B$50="Em negociação")*Premissas!$B$86)*($F$43:$F$50&lt;=BC$90)*($G$43:$G$50&gt;=BC$90)*$E$43:$E$50)</f>
        <v>0</v>
      </c>
      <c r="BD100" s="113" t="n">
        <f aca="false">SUMPRODUCT((($B$43:$B$50="Confirmado")+($B$43:$B$50="Em negociação")*Premissas!$B$86)*($F$43:$F$50&lt;=BD$90)*($G$43:$G$50&gt;=BD$90)*$E$43:$E$50)</f>
        <v>0</v>
      </c>
      <c r="BE100" s="113" t="n">
        <f aca="false">SUMPRODUCT((($B$43:$B$50="Confirmado")+($B$43:$B$50="Em negociação")*Premissas!$B$86)*($F$43:$F$50&lt;=BE$90)*($G$43:$G$50&gt;=BE$90)*$E$43:$E$50)</f>
        <v>0</v>
      </c>
      <c r="BF100" s="113" t="n">
        <f aca="false">SUMPRODUCT((($B$43:$B$50="Confirmado")+($B$43:$B$50="Em negociação")*Premissas!$B$86)*($F$43:$F$50&lt;=BF$90)*($G$43:$G$50&gt;=BF$90)*$E$43:$E$50)</f>
        <v>0</v>
      </c>
      <c r="BG100" s="113" t="n">
        <f aca="false">SUMPRODUCT((($B$43:$B$50="Confirmado")+($B$43:$B$50="Em negociação")*Premissas!$B$86)*($F$43:$F$50&lt;=BG$90)*($G$43:$G$50&gt;=BG$90)*$E$43:$E$50)</f>
        <v>0</v>
      </c>
      <c r="BH100" s="113" t="n">
        <f aca="false">SUMPRODUCT((($B$43:$B$50="Confirmado")+($B$43:$B$50="Em negociação")*Premissas!$B$86)*($F$43:$F$50&lt;=BH$90)*($G$43:$G$50&gt;=BH$90)*$E$43:$E$50)</f>
        <v>0</v>
      </c>
      <c r="BI100" s="113" t="n">
        <f aca="false">SUMPRODUCT((($B$43:$B$50="Confirmado")+($B$43:$B$50="Em negociação")*Premissas!$B$86)*($F$43:$F$50&lt;=BI$90)*($G$43:$G$50&gt;=BI$90)*$E$43:$E$50)</f>
        <v>0</v>
      </c>
      <c r="BJ100" s="111" t="n">
        <f aca="false">SUM(B100:BI100)</f>
        <v>0</v>
      </c>
      <c r="BK100" s="29" t="s">
        <v>670</v>
      </c>
    </row>
  </sheetData>
  <mergeCells count="35">
    <mergeCell ref="F5:H5"/>
    <mergeCell ref="F6:H6"/>
    <mergeCell ref="F7:H7"/>
    <mergeCell ref="F8:H8"/>
    <mergeCell ref="F9:H9"/>
    <mergeCell ref="F10:H10"/>
    <mergeCell ref="F11:H11"/>
    <mergeCell ref="F12:H12"/>
    <mergeCell ref="F13:H13"/>
    <mergeCell ref="F14:H14"/>
    <mergeCell ref="F15:H15"/>
    <mergeCell ref="F16:H16"/>
    <mergeCell ref="F17:H17"/>
    <mergeCell ref="F18:H18"/>
    <mergeCell ref="F19:H19"/>
    <mergeCell ref="F20:H20"/>
    <mergeCell ref="F21:H21"/>
    <mergeCell ref="F22:H22"/>
    <mergeCell ref="F23:H23"/>
    <mergeCell ref="F24:H24"/>
    <mergeCell ref="F25:H25"/>
    <mergeCell ref="F26:H26"/>
    <mergeCell ref="F27:H27"/>
    <mergeCell ref="F28:H28"/>
    <mergeCell ref="F29:H29"/>
    <mergeCell ref="F30:H30"/>
    <mergeCell ref="F31:H31"/>
    <mergeCell ref="F32:H32"/>
    <mergeCell ref="F33:H33"/>
    <mergeCell ref="F34:H34"/>
    <mergeCell ref="F35:H35"/>
    <mergeCell ref="F36:H36"/>
    <mergeCell ref="F37:H37"/>
    <mergeCell ref="A41:H41"/>
    <mergeCell ref="A71:H71"/>
  </mergeCells>
  <dataValidations count="3">
    <dataValidation allowBlank="true" errorStyle="stop" operator="between" showDropDown="false" showErrorMessage="false" showInputMessage="false" sqref="D6:D37" type="list">
      <formula1>"Realizado,Compromisso,Previsto,Em negociação"</formula1>
      <formula2>0</formula2>
    </dataValidation>
    <dataValidation allowBlank="true" errorStyle="stop" operator="between" showDropDown="false" showErrorMessage="false" showInputMessage="false" sqref="E6:E37" type="list">
      <formula1>"Fundador,Novo sócio,Investidor estratégico"</formula1>
      <formula2>0</formula2>
    </dataValidation>
    <dataValidation allowBlank="true" errorStyle="stop" operator="between" showDropDown="false" showErrorMessage="false" showInputMessage="false" sqref="B43:B50" type="list">
      <formula1>"Confirmado,Em negociação"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H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20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6"/>
    <col collapsed="false" customWidth="true" hidden="false" outlineLevel="0" max="7" min="7" style="0" width="78"/>
    <col collapsed="false" customWidth="true" hidden="false" outlineLevel="0" max="8" min="8" style="0" width="6"/>
  </cols>
  <sheetData>
    <row r="1" customFormat="false" ht="25.5" hidden="false" customHeight="true" outlineLevel="0" collapsed="false">
      <c r="A1" s="1" t="s">
        <v>671</v>
      </c>
      <c r="B1" s="2"/>
      <c r="C1" s="2"/>
      <c r="D1" s="2"/>
      <c r="E1" s="2"/>
      <c r="F1" s="2"/>
      <c r="G1" s="2"/>
      <c r="H1" s="2"/>
    </row>
    <row r="2" customFormat="false" ht="15.75" hidden="false" customHeight="true" outlineLevel="0" collapsed="false">
      <c r="A2" s="3" t="s">
        <v>672</v>
      </c>
    </row>
    <row r="4" customFormat="false" ht="18" hidden="false" customHeight="true" outlineLevel="0" collapsed="false">
      <c r="A4" s="25" t="s">
        <v>673</v>
      </c>
      <c r="B4" s="26"/>
      <c r="C4" s="26"/>
      <c r="D4" s="26"/>
      <c r="E4" s="26"/>
      <c r="F4" s="26"/>
      <c r="G4" s="26"/>
      <c r="H4" s="26"/>
    </row>
    <row r="5" customFormat="false" ht="15" hidden="false" customHeight="false" outlineLevel="0" collapsed="false">
      <c r="A5" s="137" t="s">
        <v>674</v>
      </c>
      <c r="B5" s="137" t="s">
        <v>675</v>
      </c>
      <c r="C5" s="137" t="s">
        <v>676</v>
      </c>
      <c r="D5" s="137" t="s">
        <v>677</v>
      </c>
      <c r="E5" s="137" t="s">
        <v>678</v>
      </c>
      <c r="G5" s="29" t="s">
        <v>679</v>
      </c>
    </row>
    <row r="6" customFormat="false" ht="15" hidden="false" customHeight="false" outlineLevel="0" collapsed="false">
      <c r="A6" s="93" t="n">
        <v>1</v>
      </c>
      <c r="B6" s="94" t="n">
        <v>0</v>
      </c>
      <c r="C6" s="94" t="n">
        <v>180000</v>
      </c>
      <c r="D6" s="209" t="n">
        <v>0.06</v>
      </c>
      <c r="E6" s="94" t="n">
        <v>0</v>
      </c>
    </row>
    <row r="7" customFormat="false" ht="15" hidden="false" customHeight="false" outlineLevel="0" collapsed="false">
      <c r="A7" s="93" t="n">
        <v>2</v>
      </c>
      <c r="B7" s="94" t="n">
        <v>180000.01</v>
      </c>
      <c r="C7" s="94" t="n">
        <v>360000</v>
      </c>
      <c r="D7" s="209" t="n">
        <v>0.112</v>
      </c>
      <c r="E7" s="94" t="n">
        <v>9360</v>
      </c>
    </row>
    <row r="8" customFormat="false" ht="15" hidden="false" customHeight="false" outlineLevel="0" collapsed="false">
      <c r="A8" s="93" t="n">
        <v>3</v>
      </c>
      <c r="B8" s="94" t="n">
        <v>360000.01</v>
      </c>
      <c r="C8" s="94" t="n">
        <v>720000</v>
      </c>
      <c r="D8" s="209" t="n">
        <v>0.135</v>
      </c>
      <c r="E8" s="94" t="n">
        <v>17640</v>
      </c>
    </row>
    <row r="9" customFormat="false" ht="15" hidden="false" customHeight="false" outlineLevel="0" collapsed="false">
      <c r="A9" s="93" t="n">
        <v>4</v>
      </c>
      <c r="B9" s="94" t="n">
        <v>720000.01</v>
      </c>
      <c r="C9" s="94" t="n">
        <v>1800000</v>
      </c>
      <c r="D9" s="209" t="n">
        <v>0.16</v>
      </c>
      <c r="E9" s="94" t="n">
        <v>35640</v>
      </c>
    </row>
    <row r="10" customFormat="false" ht="15" hidden="false" customHeight="false" outlineLevel="0" collapsed="false">
      <c r="A10" s="93" t="n">
        <v>5</v>
      </c>
      <c r="B10" s="94" t="n">
        <v>1800000.01</v>
      </c>
      <c r="C10" s="94" t="n">
        <v>3600000</v>
      </c>
      <c r="D10" s="209" t="n">
        <v>0.21</v>
      </c>
      <c r="E10" s="94" t="n">
        <v>125640</v>
      </c>
    </row>
    <row r="11" customFormat="false" ht="15" hidden="false" customHeight="false" outlineLevel="0" collapsed="false">
      <c r="A11" s="93" t="n">
        <v>6</v>
      </c>
      <c r="B11" s="94" t="n">
        <v>3600000.01</v>
      </c>
      <c r="C11" s="94" t="n">
        <v>4800000</v>
      </c>
      <c r="D11" s="209" t="n">
        <v>0.33</v>
      </c>
      <c r="E11" s="94" t="n">
        <v>648000</v>
      </c>
    </row>
    <row r="13" customFormat="false" ht="18" hidden="false" customHeight="true" outlineLevel="0" collapsed="false">
      <c r="A13" s="25" t="s">
        <v>680</v>
      </c>
      <c r="B13" s="26"/>
      <c r="C13" s="26"/>
      <c r="D13" s="26"/>
      <c r="E13" s="26"/>
      <c r="F13" s="26"/>
      <c r="G13" s="26"/>
      <c r="H13" s="26"/>
    </row>
    <row r="14" customFormat="false" ht="15" hidden="false" customHeight="false" outlineLevel="0" collapsed="false">
      <c r="A14" s="137" t="s">
        <v>674</v>
      </c>
      <c r="B14" s="137" t="s">
        <v>675</v>
      </c>
      <c r="C14" s="137" t="s">
        <v>676</v>
      </c>
      <c r="D14" s="137" t="s">
        <v>677</v>
      </c>
      <c r="E14" s="137" t="s">
        <v>678</v>
      </c>
      <c r="G14" s="29" t="s">
        <v>681</v>
      </c>
    </row>
    <row r="15" customFormat="false" ht="15" hidden="false" customHeight="false" outlineLevel="0" collapsed="false">
      <c r="A15" s="93" t="n">
        <v>1</v>
      </c>
      <c r="B15" s="94" t="n">
        <v>0</v>
      </c>
      <c r="C15" s="94" t="n">
        <v>180000</v>
      </c>
      <c r="D15" s="209" t="n">
        <v>0.155</v>
      </c>
      <c r="E15" s="94" t="n">
        <v>0</v>
      </c>
    </row>
    <row r="16" customFormat="false" ht="15" hidden="false" customHeight="false" outlineLevel="0" collapsed="false">
      <c r="A16" s="93" t="n">
        <v>2</v>
      </c>
      <c r="B16" s="94" t="n">
        <v>180000.01</v>
      </c>
      <c r="C16" s="94" t="n">
        <v>360000</v>
      </c>
      <c r="D16" s="209" t="n">
        <v>0.18</v>
      </c>
      <c r="E16" s="94" t="n">
        <v>4500</v>
      </c>
    </row>
    <row r="17" customFormat="false" ht="15" hidden="false" customHeight="false" outlineLevel="0" collapsed="false">
      <c r="A17" s="93" t="n">
        <v>3</v>
      </c>
      <c r="B17" s="94" t="n">
        <v>360000.01</v>
      </c>
      <c r="C17" s="94" t="n">
        <v>720000</v>
      </c>
      <c r="D17" s="209" t="n">
        <v>0.195</v>
      </c>
      <c r="E17" s="94" t="n">
        <v>9900</v>
      </c>
    </row>
    <row r="18" customFormat="false" ht="15" hidden="false" customHeight="false" outlineLevel="0" collapsed="false">
      <c r="A18" s="93" t="n">
        <v>4</v>
      </c>
      <c r="B18" s="94" t="n">
        <v>720000.01</v>
      </c>
      <c r="C18" s="94" t="n">
        <v>1800000</v>
      </c>
      <c r="D18" s="209" t="n">
        <v>0.205</v>
      </c>
      <c r="E18" s="94" t="n">
        <v>17100</v>
      </c>
    </row>
    <row r="19" customFormat="false" ht="15" hidden="false" customHeight="false" outlineLevel="0" collapsed="false">
      <c r="A19" s="93" t="n">
        <v>5</v>
      </c>
      <c r="B19" s="94" t="n">
        <v>1800000.01</v>
      </c>
      <c r="C19" s="94" t="n">
        <v>3600000</v>
      </c>
      <c r="D19" s="209" t="n">
        <v>0.23</v>
      </c>
      <c r="E19" s="94" t="n">
        <v>62100</v>
      </c>
    </row>
    <row r="20" customFormat="false" ht="15" hidden="false" customHeight="false" outlineLevel="0" collapsed="false">
      <c r="A20" s="93" t="n">
        <v>6</v>
      </c>
      <c r="B20" s="94" t="n">
        <v>3600000.01</v>
      </c>
      <c r="C20" s="94" t="n">
        <v>4800000</v>
      </c>
      <c r="D20" s="209" t="n">
        <v>0.305</v>
      </c>
      <c r="E20" s="94" t="n">
        <v>540000</v>
      </c>
    </row>
    <row r="22" customFormat="false" ht="18" hidden="false" customHeight="true" outlineLevel="0" collapsed="false">
      <c r="A22" s="25" t="s">
        <v>682</v>
      </c>
      <c r="B22" s="26"/>
      <c r="C22" s="26"/>
      <c r="D22" s="26"/>
      <c r="E22" s="26"/>
      <c r="F22" s="26"/>
      <c r="G22" s="26"/>
      <c r="H22" s="26"/>
    </row>
    <row r="23" customFormat="false" ht="15" hidden="false" customHeight="false" outlineLevel="0" collapsed="false">
      <c r="A23" s="137" t="s">
        <v>674</v>
      </c>
      <c r="B23" s="137" t="s">
        <v>675</v>
      </c>
      <c r="C23" s="137" t="s">
        <v>677</v>
      </c>
      <c r="D23" s="137" t="s">
        <v>678</v>
      </c>
    </row>
    <row r="24" customFormat="false" ht="15" hidden="false" customHeight="false" outlineLevel="0" collapsed="false">
      <c r="A24" s="210" t="n">
        <v>1</v>
      </c>
      <c r="B24" s="211" t="n">
        <f aca="false">IF(Premissas!$B$23=2,B15,B6)</f>
        <v>0</v>
      </c>
      <c r="C24" s="212" t="n">
        <f aca="false">IF(Premissas!$B$23=2,D15,D6)</f>
        <v>0.155</v>
      </c>
      <c r="D24" s="211" t="n">
        <f aca="false">IF(Premissas!$B$23=2,E15,E6)</f>
        <v>0</v>
      </c>
    </row>
    <row r="25" customFormat="false" ht="15" hidden="false" customHeight="false" outlineLevel="0" collapsed="false">
      <c r="A25" s="210" t="n">
        <v>2</v>
      </c>
      <c r="B25" s="211" t="n">
        <f aca="false">IF(Premissas!$B$23=2,B16,B7)</f>
        <v>180000.01</v>
      </c>
      <c r="C25" s="212" t="n">
        <f aca="false">IF(Premissas!$B$23=2,D16,D7)</f>
        <v>0.18</v>
      </c>
      <c r="D25" s="211" t="n">
        <f aca="false">IF(Premissas!$B$23=2,E16,E7)</f>
        <v>4500</v>
      </c>
    </row>
    <row r="26" customFormat="false" ht="15" hidden="false" customHeight="false" outlineLevel="0" collapsed="false">
      <c r="A26" s="210" t="n">
        <v>3</v>
      </c>
      <c r="B26" s="211" t="n">
        <f aca="false">IF(Premissas!$B$23=2,B17,B8)</f>
        <v>360000.01</v>
      </c>
      <c r="C26" s="212" t="n">
        <f aca="false">IF(Premissas!$B$23=2,D17,D8)</f>
        <v>0.195</v>
      </c>
      <c r="D26" s="211" t="n">
        <f aca="false">IF(Premissas!$B$23=2,E17,E8)</f>
        <v>9900</v>
      </c>
    </row>
    <row r="27" customFormat="false" ht="15" hidden="false" customHeight="false" outlineLevel="0" collapsed="false">
      <c r="A27" s="210" t="n">
        <v>4</v>
      </c>
      <c r="B27" s="211" t="n">
        <f aca="false">IF(Premissas!$B$23=2,B18,B9)</f>
        <v>720000.01</v>
      </c>
      <c r="C27" s="212" t="n">
        <f aca="false">IF(Premissas!$B$23=2,D18,D9)</f>
        <v>0.205</v>
      </c>
      <c r="D27" s="211" t="n">
        <f aca="false">IF(Premissas!$B$23=2,E18,E9)</f>
        <v>17100</v>
      </c>
    </row>
    <row r="28" customFormat="false" ht="15" hidden="false" customHeight="false" outlineLevel="0" collapsed="false">
      <c r="A28" s="210" t="n">
        <v>5</v>
      </c>
      <c r="B28" s="211" t="n">
        <f aca="false">IF(Premissas!$B$23=2,B19,B10)</f>
        <v>1800000.01</v>
      </c>
      <c r="C28" s="212" t="n">
        <f aca="false">IF(Premissas!$B$23=2,D19,D10)</f>
        <v>0.23</v>
      </c>
      <c r="D28" s="211" t="n">
        <f aca="false">IF(Premissas!$B$23=2,E19,E10)</f>
        <v>62100</v>
      </c>
    </row>
    <row r="29" customFormat="false" ht="15" hidden="false" customHeight="false" outlineLevel="0" collapsed="false">
      <c r="A29" s="210" t="n">
        <v>6</v>
      </c>
      <c r="B29" s="211" t="n">
        <f aca="false">IF(Premissas!$B$23=2,B20,B11)</f>
        <v>3600000.01</v>
      </c>
      <c r="C29" s="212" t="n">
        <f aca="false">IF(Premissas!$B$23=2,D20,D11)</f>
        <v>0.305</v>
      </c>
      <c r="D29" s="211" t="n">
        <f aca="false">IF(Premissas!$B$23=2,E20,E11)</f>
        <v>540000</v>
      </c>
    </row>
    <row r="31" customFormat="false" ht="18" hidden="false" customHeight="true" outlineLevel="0" collapsed="false">
      <c r="A31" s="25" t="s">
        <v>683</v>
      </c>
      <c r="B31" s="26"/>
      <c r="C31" s="26"/>
      <c r="D31" s="26"/>
      <c r="E31" s="26"/>
      <c r="F31" s="26"/>
      <c r="G31" s="26"/>
      <c r="H31" s="26"/>
    </row>
    <row r="32" customFormat="false" ht="15" hidden="false" customHeight="true" outlineLevel="0" collapsed="false">
      <c r="A32" s="213" t="s">
        <v>684</v>
      </c>
      <c r="B32" s="213"/>
      <c r="C32" s="213"/>
      <c r="D32" s="213"/>
      <c r="E32" s="213"/>
      <c r="F32" s="213"/>
      <c r="G32" s="213"/>
    </row>
    <row r="33" customFormat="false" ht="15" hidden="false" customHeight="true" outlineLevel="0" collapsed="false">
      <c r="A33" s="193" t="s">
        <v>685</v>
      </c>
      <c r="B33" s="193"/>
      <c r="C33" s="193"/>
      <c r="D33" s="193"/>
      <c r="E33" s="193"/>
      <c r="F33" s="193"/>
      <c r="G33" s="193"/>
    </row>
    <row r="34" customFormat="false" ht="15" hidden="false" customHeight="true" outlineLevel="0" collapsed="false">
      <c r="A34" s="193" t="s">
        <v>686</v>
      </c>
      <c r="B34" s="193"/>
      <c r="C34" s="193"/>
      <c r="D34" s="193"/>
      <c r="E34" s="193"/>
      <c r="F34" s="193"/>
      <c r="G34" s="193"/>
    </row>
    <row r="35" customFormat="false" ht="15" hidden="false" customHeight="true" outlineLevel="0" collapsed="false">
      <c r="A35" s="193"/>
      <c r="B35" s="193"/>
      <c r="C35" s="193"/>
      <c r="D35" s="193"/>
      <c r="E35" s="193"/>
      <c r="F35" s="193"/>
      <c r="G35" s="193"/>
    </row>
    <row r="36" customFormat="false" ht="43.5" hidden="false" customHeight="true" outlineLevel="0" collapsed="false">
      <c r="A36" s="204" t="s">
        <v>687</v>
      </c>
      <c r="B36" s="204"/>
      <c r="C36" s="204"/>
      <c r="D36" s="204"/>
      <c r="E36" s="204"/>
      <c r="F36" s="204"/>
      <c r="G36" s="204"/>
    </row>
    <row r="37" customFormat="false" ht="15" hidden="false" customHeight="true" outlineLevel="0" collapsed="false">
      <c r="A37" s="193"/>
      <c r="B37" s="193"/>
      <c r="C37" s="193"/>
      <c r="D37" s="193"/>
      <c r="E37" s="193"/>
      <c r="F37" s="193"/>
      <c r="G37" s="193"/>
    </row>
    <row r="38" customFormat="false" ht="43.5" hidden="false" customHeight="true" outlineLevel="0" collapsed="false">
      <c r="A38" s="193" t="s">
        <v>688</v>
      </c>
      <c r="B38" s="193"/>
      <c r="C38" s="193"/>
      <c r="D38" s="193"/>
      <c r="E38" s="193"/>
      <c r="F38" s="193"/>
      <c r="G38" s="193"/>
    </row>
    <row r="40" customFormat="false" ht="18" hidden="false" customHeight="true" outlineLevel="0" collapsed="false">
      <c r="A40" s="25" t="s">
        <v>689</v>
      </c>
      <c r="B40" s="26"/>
      <c r="C40" s="26"/>
      <c r="D40" s="26"/>
      <c r="E40" s="26"/>
      <c r="F40" s="26"/>
      <c r="G40" s="26"/>
      <c r="H40" s="26"/>
    </row>
    <row r="41" customFormat="false" ht="15" hidden="false" customHeight="false" outlineLevel="0" collapsed="false">
      <c r="A41" s="137" t="s">
        <v>690</v>
      </c>
      <c r="B41" s="137" t="s">
        <v>691</v>
      </c>
      <c r="C41" s="137" t="s">
        <v>692</v>
      </c>
      <c r="D41" s="137" t="s">
        <v>693</v>
      </c>
      <c r="E41" s="137" t="s">
        <v>694</v>
      </c>
    </row>
    <row r="42" customFormat="false" ht="15" hidden="false" customHeight="false" outlineLevel="0" collapsed="false">
      <c r="A42" s="128" t="n">
        <v>180000</v>
      </c>
      <c r="B42" s="214" t="n">
        <f aca="false">($A42*INDEX($D$6:$D$11,MATCH($A42,$B$6:$B$11,1))-INDEX($E$6:$E$11,MATCH($A42,$B$6:$B$11,1)))/$A42</f>
        <v>0.06</v>
      </c>
      <c r="C42" s="214" t="n">
        <f aca="false">($A42*INDEX($D$15:$D$20,MATCH($A42,$B$15:$B$20,1))-INDEX($E$15:$E$20,MATCH($A42,$B$15:$B$20,1)))/$A42</f>
        <v>0.155</v>
      </c>
      <c r="D42" s="214" t="n">
        <f aca="false">$C42-$B42</f>
        <v>0.095</v>
      </c>
      <c r="E42" s="215" t="n">
        <f aca="false">$D42*$A42</f>
        <v>17100</v>
      </c>
      <c r="G42" s="29" t="s">
        <v>695</v>
      </c>
    </row>
    <row r="43" customFormat="false" ht="15" hidden="false" customHeight="false" outlineLevel="0" collapsed="false">
      <c r="A43" s="128" t="n">
        <v>360000</v>
      </c>
      <c r="B43" s="214" t="n">
        <f aca="false">($A43*INDEX($D$6:$D$11,MATCH($A43,$B$6:$B$11,1))-INDEX($E$6:$E$11,MATCH($A43,$B$6:$B$11,1)))/$A43</f>
        <v>0.086</v>
      </c>
      <c r="C43" s="214" t="n">
        <f aca="false">($A43*INDEX($D$15:$D$20,MATCH($A43,$B$15:$B$20,1))-INDEX($E$15:$E$20,MATCH($A43,$B$15:$B$20,1)))/$A43</f>
        <v>0.1675</v>
      </c>
      <c r="D43" s="214" t="n">
        <f aca="false">$C43-$B43</f>
        <v>0.0815</v>
      </c>
      <c r="E43" s="215" t="n">
        <f aca="false">$D43*$A43</f>
        <v>29340</v>
      </c>
    </row>
    <row r="44" customFormat="false" ht="15" hidden="false" customHeight="false" outlineLevel="0" collapsed="false">
      <c r="A44" s="128" t="n">
        <v>720000</v>
      </c>
      <c r="B44" s="214" t="n">
        <f aca="false">($A44*INDEX($D$6:$D$11,MATCH($A44,$B$6:$B$11,1))-INDEX($E$6:$E$11,MATCH($A44,$B$6:$B$11,1)))/$A44</f>
        <v>0.1105</v>
      </c>
      <c r="C44" s="214" t="n">
        <f aca="false">($A44*INDEX($D$15:$D$20,MATCH($A44,$B$15:$B$20,1))-INDEX($E$15:$E$20,MATCH($A44,$B$15:$B$20,1)))/$A44</f>
        <v>0.18125</v>
      </c>
      <c r="D44" s="214" t="n">
        <f aca="false">$C44-$B44</f>
        <v>0.07075</v>
      </c>
      <c r="E44" s="215" t="n">
        <f aca="false">$D44*$A44</f>
        <v>50940</v>
      </c>
    </row>
    <row r="45" customFormat="false" ht="15" hidden="false" customHeight="false" outlineLevel="0" collapsed="false">
      <c r="A45" s="128" t="n">
        <v>1800000</v>
      </c>
      <c r="B45" s="214" t="n">
        <f aca="false">($A45*INDEX($D$6:$D$11,MATCH($A45,$B$6:$B$11,1))-INDEX($E$6:$E$11,MATCH($A45,$B$6:$B$11,1)))/$A45</f>
        <v>0.1402</v>
      </c>
      <c r="C45" s="214" t="n">
        <f aca="false">($A45*INDEX($D$15:$D$20,MATCH($A45,$B$15:$B$20,1))-INDEX($E$15:$E$20,MATCH($A45,$B$15:$B$20,1)))/$A45</f>
        <v>0.1955</v>
      </c>
      <c r="D45" s="214" t="n">
        <f aca="false">$C45-$B45</f>
        <v>0.0553</v>
      </c>
      <c r="E45" s="215" t="n">
        <f aca="false">$D45*$A45</f>
        <v>99540</v>
      </c>
    </row>
    <row r="46" customFormat="false" ht="15" hidden="false" customHeight="false" outlineLevel="0" collapsed="false">
      <c r="A46" s="128" t="n">
        <v>3600000</v>
      </c>
      <c r="B46" s="214" t="n">
        <f aca="false">($A46*INDEX($D$6:$D$11,MATCH($A46,$B$6:$B$11,1))-INDEX($E$6:$E$11,MATCH($A46,$B$6:$B$11,1)))/$A46</f>
        <v>0.1751</v>
      </c>
      <c r="C46" s="214" t="n">
        <f aca="false">($A46*INDEX($D$15:$D$20,MATCH($A46,$B$15:$B$20,1))-INDEX($E$15:$E$20,MATCH($A46,$B$15:$B$20,1)))/$A46</f>
        <v>0.21275</v>
      </c>
      <c r="D46" s="214" t="n">
        <f aca="false">$C46-$B46</f>
        <v>0.03765</v>
      </c>
      <c r="E46" s="215" t="n">
        <f aca="false">$D46*$A46</f>
        <v>135540</v>
      </c>
    </row>
    <row r="47" customFormat="false" ht="15" hidden="false" customHeight="false" outlineLevel="0" collapsed="false">
      <c r="A47" s="128" t="n">
        <v>4800000</v>
      </c>
      <c r="B47" s="214" t="n">
        <f aca="false">($A47*INDEX($D$6:$D$11,MATCH($A47,$B$6:$B$11,1))-INDEX($E$6:$E$11,MATCH($A47,$B$6:$B$11,1)))/$A47</f>
        <v>0.195</v>
      </c>
      <c r="C47" s="214" t="n">
        <f aca="false">($A47*INDEX($D$15:$D$20,MATCH($A47,$B$15:$B$20,1))-INDEX($E$15:$E$20,MATCH($A47,$B$15:$B$20,1)))/$A47</f>
        <v>0.1925</v>
      </c>
      <c r="D47" s="214" t="n">
        <f aca="false">$C47-$B47</f>
        <v>-0.0025</v>
      </c>
      <c r="E47" s="215" t="n">
        <f aca="false">$D47*$A47</f>
        <v>-12000</v>
      </c>
    </row>
  </sheetData>
  <mergeCells count="7">
    <mergeCell ref="A32:G32"/>
    <mergeCell ref="A33:G33"/>
    <mergeCell ref="A34:G34"/>
    <mergeCell ref="A35:G35"/>
    <mergeCell ref="A36:G36"/>
    <mergeCell ref="A37:G37"/>
    <mergeCell ref="A38:G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2026-08-30T04:00:38Z</dcterms:created>
  <dc:creator>openpyxl</dc:creator>
  <dc:description/>
  <dc:language>en-US</dc:language>
  <cp:lastModifiedBy/>
  <dcterms:modified xsi:type="dcterms:W3CDTF">2026-08-30T04:00:39Z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